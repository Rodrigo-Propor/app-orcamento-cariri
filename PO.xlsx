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E:\APP_2\_APP_ORGCAMENTO_EBERH\"/>
    </mc:Choice>
  </mc:AlternateContent>
  <xr:revisionPtr revIDLastSave="0" documentId="8_{745DFF16-4402-47F9-89BA-83B8BA025E31}" xr6:coauthVersionLast="47" xr6:coauthVersionMax="47" xr10:uidLastSave="{00000000-0000-0000-0000-000000000000}"/>
  <bookViews>
    <workbookView xWindow="51480" yWindow="-120" windowWidth="29040" windowHeight="15720" xr2:uid="{5607B980-5911-4034-B304-AB5C8FE4AF61}"/>
  </bookViews>
  <sheets>
    <sheet name="PO" sheetId="1" r:id="rId1"/>
  </sheets>
  <externalReferences>
    <externalReference r:id="rId2"/>
  </externalReferences>
  <definedNames>
    <definedName name="JR_PAGE_ANCHOR_0_1">#REF!</definedName>
    <definedName name="VALOR_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19" i="1" l="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alcChain>
</file>

<file path=xl/sharedStrings.xml><?xml version="1.0" encoding="utf-8"?>
<sst xmlns="http://schemas.openxmlformats.org/spreadsheetml/2006/main" count="7466" uniqueCount="4181">
  <si>
    <t xml:space="preserve"> </t>
  </si>
  <si>
    <t xml:space="preserve">NOME DA EMPRESA: </t>
  </si>
  <si>
    <t>Preço Total Orçado (com BDI):</t>
  </si>
  <si>
    <t>Prazo (dias):</t>
  </si>
  <si>
    <t>ES Horistas:</t>
  </si>
  <si>
    <t>BDI Serviços:</t>
  </si>
  <si>
    <t xml:space="preserve">Data base: </t>
  </si>
  <si>
    <t xml:space="preserve">Versão: </t>
  </si>
  <si>
    <t>R07</t>
  </si>
  <si>
    <t>ES Mens.:</t>
  </si>
  <si>
    <t>BDI Fornecim.:</t>
  </si>
  <si>
    <t>PLANILHA DE ORÇAMENTO GLOBAL</t>
  </si>
  <si>
    <t>ITEM</t>
  </si>
  <si>
    <t>FONTE REFERÊNCIA</t>
  </si>
  <si>
    <t>CÓDIGO DE REFERÊNCIA</t>
  </si>
  <si>
    <t>DESCRIÇÃO</t>
  </si>
  <si>
    <t>UN</t>
  </si>
  <si>
    <t>QUANT</t>
  </si>
  <si>
    <t>VALOR UNITÁRIO</t>
  </si>
  <si>
    <t>VALOR TOTAL</t>
  </si>
  <si>
    <t>BDI</t>
  </si>
  <si>
    <t>VALOR UNITÁRIO COM BDI</t>
  </si>
  <si>
    <t>VALOR TOTAL COM BDI</t>
  </si>
  <si>
    <t>MATERIAL</t>
  </si>
  <si>
    <t>MAO OBRA</t>
  </si>
  <si>
    <t>TOTAL</t>
  </si>
  <si>
    <t>1</t>
  </si>
  <si>
    <t>SERVIÇOS PRELIMINARES E INDIRETOS</t>
  </si>
  <si>
    <t>1.1</t>
  </si>
  <si>
    <t>CANTEIRO DE OBRAS</t>
  </si>
  <si>
    <t>1.1.1</t>
  </si>
  <si>
    <t>SINAPI</t>
  </si>
  <si>
    <t>93208</t>
  </si>
  <si>
    <t>EXECUÇÃO DE ALMOXARIFADO EM CANTEIRO DE OBRA EM CHAPA DE MADEIRA COMPENSADA, INCLUSO PRATELEIRAS</t>
  </si>
  <si>
    <t>M2</t>
  </si>
  <si>
    <t>1.1.2</t>
  </si>
  <si>
    <t>93582</t>
  </si>
  <si>
    <t>EXECUÇÃO DE CENTRAL DE ARMADURA EM CANTEIRO DE OBRA, NÃO INCLUSO MOBILIÁRIO E EQUIPAMENTOS</t>
  </si>
  <si>
    <t>1.1.3</t>
  </si>
  <si>
    <t>93210</t>
  </si>
  <si>
    <t>EXECUÇÃO DE REFEITÓRIO EM CANTEIRO DE OBRA EM CHAPA DE MADEIRA COMPENSADA, NÃO INCLUSO MOBILIÁRIO E EQUIPAMENTOS</t>
  </si>
  <si>
    <t>1.1.4</t>
  </si>
  <si>
    <t>93212</t>
  </si>
  <si>
    <t>EXECUÇÃO DE SANITÁRIO E VESTIÁRIO EM CANTEIRO DE OBRA EM CHAPA DE MADEIRA COMPENSADA, NÃO INCLUSO MOBILIÁRIO</t>
  </si>
  <si>
    <t>1.1.5</t>
  </si>
  <si>
    <t>SP OBRAS</t>
  </si>
  <si>
    <t>02.02.130</t>
  </si>
  <si>
    <t>LOCAÇÃO DE CONTAINER TIPO ESCRITÓRIO COM 1 VASO SANITÁRIO, 1 LAVATÓRIO E 1 PONTO PARA CHUVEIRO - ÁREA MÍNIMA DE 13,80 M² (DESTINADO A CONSTRUTORA)</t>
  </si>
  <si>
    <t>UNMES</t>
  </si>
  <si>
    <t>1.1.6</t>
  </si>
  <si>
    <t>LOCAÇÃO DE CONTAINER TIPO ESCRITÓRIO COM 1 VASO SANITÁRIO, 1 LAVATÓRIO E 1 PONTO PARA CHUVEIRO - ÁREA MÍNIMA DE 13,80 M² (DESTINADO A EMPRESA FISCALIZADORA)</t>
  </si>
  <si>
    <t>1.1.7</t>
  </si>
  <si>
    <t>LOCAÇÃO DE CONTAINER TIPO ESCRITÓRIO COM 1 VASO SANITÁRIO, 1 LAVATÓRIO E 1 PONTO PARA CHUVEIRO - ÁREA MÍNIMA DE 13,80 M² (DESTINADO A EBSERH)</t>
  </si>
  <si>
    <t>1.1.8</t>
  </si>
  <si>
    <t>02.02.160</t>
  </si>
  <si>
    <t>LOCAÇÃO DE CONTAINER TIPO GUARITA - ÁREA MÍNIMA DE 4,60 M²</t>
  </si>
  <si>
    <t>1.1.9</t>
  </si>
  <si>
    <t>101509</t>
  </si>
  <si>
    <t>ENTRADA DE ENERGIA ELÉTRICA, AÉREA, TRIFÁSICA, COM CAIXA DE EMBUTIR, CABO DE 10 MM2 E DISJUNTOR DIN 50A</t>
  </si>
  <si>
    <t>1.1.10</t>
  </si>
  <si>
    <t>95648</t>
  </si>
  <si>
    <t>KIT CAVALETE PARA MEDIÇÃO DE ÁGUA - ENTRADA INDIVIDUALIZADA, EM CPVC DN 28 MM (1"), PARA 1 MEDIDOR - FORNECIMENTO E INSTALAÇÃO (EXCLUSIVE HIDRÔMETRO)</t>
  </si>
  <si>
    <t>1.1.11</t>
  </si>
  <si>
    <t>95673</t>
  </si>
  <si>
    <t>HIDRÔMETRO DN 20 (½ ), 1,5 M³/H FORNECIMENTO E INSTALAÇÃO</t>
  </si>
  <si>
    <t>1.1.12</t>
  </si>
  <si>
    <t>93214</t>
  </si>
  <si>
    <t>EXECUÇÃO DE RESERVATÓRIO ELEVADO DE ÁGUA (1000 LITROS) EM CANTEIRO DE OBRA, APOIADO EM ESTRUTURA DE MADEIRA</t>
  </si>
  <si>
    <t>1.1.13</t>
  </si>
  <si>
    <t>104142</t>
  </si>
  <si>
    <t>LIGAÇÃO PROVISÓRIA DE ESGOTO PARA CANTEIRO DE OBRAS</t>
  </si>
  <si>
    <t>1.1.14</t>
  </si>
  <si>
    <t>103689</t>
  </si>
  <si>
    <t>FORNECIMENTO E INSTALAÇÃO DE PLACA DE OBRA COM CHAPA GALVANIZADA E ESTRUTURA DE MADEIRA</t>
  </si>
  <si>
    <t>1.1.15</t>
  </si>
  <si>
    <t>CPOS</t>
  </si>
  <si>
    <t>05.07.040</t>
  </si>
  <si>
    <t>REMOÇÃO DE ENTULHO SEPARADO DE OBRA COM CAÇAMBA METÁLICA - TERRA, ALVENARIA, CONCRETO, ARGAMASSA, MADEIRA, PAPEL, PLÁSTICO OU METAL</t>
  </si>
  <si>
    <t>M3</t>
  </si>
  <si>
    <t>1.1.16</t>
  </si>
  <si>
    <t>98459</t>
  </si>
  <si>
    <t>TAPUME COM TELHA METÁLICA</t>
  </si>
  <si>
    <t>1.1.17</t>
  </si>
  <si>
    <t>101907</t>
  </si>
  <si>
    <t>EXTINTOR DE INCÊNDIO PORTÁTIL COM CARGA DE CO2 DE 6 KG, CLASSE BC</t>
  </si>
  <si>
    <t>1.1.18</t>
  </si>
  <si>
    <t>EMOP</t>
  </si>
  <si>
    <t>15.058.0050-0</t>
  </si>
  <si>
    <t>FORNECIMENTO DE AGUA,PARA OBRAS PUBLICAS</t>
  </si>
  <si>
    <t>M3XME</t>
  </si>
  <si>
    <t>1.1.19</t>
  </si>
  <si>
    <t>99059</t>
  </si>
  <si>
    <t>LOCAÇÃO CONVENCIONAL DE OBRA, UTILIZANDO GABARITO DE TÁBUAS CORRIDAS PONTALETADAS A CADA 2,00M - 2 UTILIZAÇÕES. AF_03/2024</t>
  </si>
  <si>
    <t>M</t>
  </si>
  <si>
    <t>1.1.20</t>
  </si>
  <si>
    <t>PRÓPRIA</t>
  </si>
  <si>
    <t>CPU-002</t>
  </si>
  <si>
    <t>CONSUMO DE ENERGIA MENSAL MÉDIO PARA O PERÍODO DE OBRA</t>
  </si>
  <si>
    <t>MÊS</t>
  </si>
  <si>
    <t>1.1.21</t>
  </si>
  <si>
    <t>SUDECAP</t>
  </si>
  <si>
    <t>01.13.02</t>
  </si>
  <si>
    <t>BAIA DUPLA PARA RESÍDUOS DA CONSTRUÇÃO CIVIL</t>
  </si>
  <si>
    <t>1.1.22</t>
  </si>
  <si>
    <t>SETOP</t>
  </si>
  <si>
    <t>ED-33228</t>
  </si>
  <si>
    <t>BAIA PARA ACONDICIONAMENTO DE AGREGADOS (FORNECIMENTO E INSTALAÇÃO)</t>
  </si>
  <si>
    <t>1.1.23</t>
  </si>
  <si>
    <t>CPU-PPR</t>
  </si>
  <si>
    <t>CPU-EBSERH-03030</t>
  </si>
  <si>
    <t>DESMOBILIZAÇÃO DE CANTEIRO DE OBRAS</t>
  </si>
  <si>
    <t>UND</t>
  </si>
  <si>
    <t>1.2</t>
  </si>
  <si>
    <t>ADMINISTRAÇÃO LOCAL DA OBRA</t>
  </si>
  <si>
    <t>1.2.1</t>
  </si>
  <si>
    <t>CPU-003</t>
  </si>
  <si>
    <t>EQUIPE DE GESTÃO DA OBRA COM ENCARGOS COMPLEMENTARES</t>
  </si>
  <si>
    <t>1.2.2</t>
  </si>
  <si>
    <t>CPU-004</t>
  </si>
  <si>
    <t>ART - ANOTAÇÃO DE RESPONSABILIDADE TÉCNICA (VALOR ÚNICO PARA ESTE PORTE DE OBRA EM TODO O TERRITÓRIO NACIONAL)</t>
  </si>
  <si>
    <t>1.2.3</t>
  </si>
  <si>
    <t>CO-19622</t>
  </si>
  <si>
    <t>ELABORAÇÃO DO PLANO DE GERENCIAMENTO DE RESÍDUOS DE CONSTRUÇÃO CIVIL (PGRCC)</t>
  </si>
  <si>
    <t>1.2.4</t>
  </si>
  <si>
    <t>CPU-005</t>
  </si>
  <si>
    <t>PROGRAMA DE GERENCIAMENTO DE RISCOS (PGR)</t>
  </si>
  <si>
    <t>1.2.5</t>
  </si>
  <si>
    <t>CPU-006</t>
  </si>
  <si>
    <t>PROGRAMA DE CONTROLE MÉDICO DE SAÚDE OCUPACIONAL (PCMSO)</t>
  </si>
  <si>
    <t>1.2.6</t>
  </si>
  <si>
    <t>CLARO</t>
  </si>
  <si>
    <t>CPU-007</t>
  </si>
  <si>
    <t>CONSUMO TELEFONE</t>
  </si>
  <si>
    <t>1.2.7</t>
  </si>
  <si>
    <t>CPU-008</t>
  </si>
  <si>
    <t>INTERNET FIXA VIA FIBRA ÓTICA PARA ESCRITÓRIO / CANTEIRO DE OBRAS</t>
  </si>
  <si>
    <t>1.2.8</t>
  </si>
  <si>
    <t>CPU-009</t>
  </si>
  <si>
    <t>TAXA DE ALVARÁ DE CONSTRUÇÃO</t>
  </si>
  <si>
    <t>1.2.9</t>
  </si>
  <si>
    <t>CPU-010</t>
  </si>
  <si>
    <t>MANUTENÇÃO MENSAL DE CANTEIROS</t>
  </si>
  <si>
    <t>1.3</t>
  </si>
  <si>
    <t>EQUIPAMENTOS DE MOVIMEMENTAÇÃO E SEGURANÇA</t>
  </si>
  <si>
    <t>1.3.1</t>
  </si>
  <si>
    <t>00020193</t>
  </si>
  <si>
    <t>LOCACAO DE ANDAIME METALICO TIPO FACHADEIRO, PECAS COM APROXIMADAMENTE 1,20 M DE LARGURA E 2,0 M DE ALTURA, INCLUINDO DIAGONAIS EM X, BARRAS DE LIGACAO, SAPATAS E DEMAIS ITENS NECESSARIOS A MONTAGEM (NAO INCLUI INSTALACAO)</t>
  </si>
  <si>
    <t>M2XME</t>
  </si>
  <si>
    <t>1.3.2</t>
  </si>
  <si>
    <t>00010527</t>
  </si>
  <si>
    <t>LOCACAO DE ANDAIME METALICO TUBULAR DE ENCAIXE, TIPO DE TORRE, CADA PAINEL COM LARGURA DE 1 ATE 1,5 M E ALTURA DE *1,00* M, INCLUINDO DIAGONAL, BARRAS DE LIGACAO, SAPATAS OU RODIZIOS E DEMAIS ITENS NECESSARIOS A MONTAGEM (NAO INCLUI INSTALACAO)</t>
  </si>
  <si>
    <t>MXMES</t>
  </si>
  <si>
    <t>1.3.3</t>
  </si>
  <si>
    <t>97064</t>
  </si>
  <si>
    <t>MONTAGEM E DESMONTAGEM DE ANDAIME TUBULAR TIPO "TORRE" (EXCLUSIVE ANDAIME E LIMPEZA). AF_03/2024</t>
  </si>
  <si>
    <t>1.3.4</t>
  </si>
  <si>
    <t>97062</t>
  </si>
  <si>
    <t>COLOCAÇÃO DE TELA EM ANDAIME FACHADEIRO. AF_03/2024</t>
  </si>
  <si>
    <t>1.3.5</t>
  </si>
  <si>
    <t>97063</t>
  </si>
  <si>
    <t>MONTAGEM E DESMONTAGEM DE ANDAIME MODULAR FACHADEIRO, COM PISO METÁLICO, PARA EDIFÍCIOS COM MULTIPLOS PAVIMENTOS (EXCLUSIVE ANDAIME E LIMPEZA). AF_03/2024</t>
  </si>
  <si>
    <t>1.3.6</t>
  </si>
  <si>
    <t>COLOCAÇÃO DE TELA EM FACHADA</t>
  </si>
  <si>
    <t>1.3.7</t>
  </si>
  <si>
    <t>ED-9176</t>
  </si>
  <si>
    <t>LINHA DE VIDA HORIZONTAL PROVISÓRIA EM CABO DE AÇO PARA CONSTRUÇÃO DE ESTRUTURAS, INCLUSIVE POSTE E PROLONGADOR, EXCLUSIVE PROJETO E ART</t>
  </si>
  <si>
    <t>1.3.8</t>
  </si>
  <si>
    <t>97015</t>
  </si>
  <si>
    <t>GUARDA-CORPO FIXADO EM FÔRMA DE MADEIRA COM MONTANTES E TRAVESSÕES EM MADEIRA E FECHAMENTO EM PLACA COMPENSADO PARA EDIFÍCIOS COM ALTURA IGUAL OU SUPERIOR A 4 PAVIMENTOS. INCLUSIVE TELA.</t>
  </si>
  <si>
    <t>1.3.9</t>
  </si>
  <si>
    <t>105110</t>
  </si>
  <si>
    <t>ASCENSÃO DE GRUA ASCENSIONAL. AF_03/2024</t>
  </si>
  <si>
    <t>1.3.10</t>
  </si>
  <si>
    <t>DER-ES</t>
  </si>
  <si>
    <t>10364</t>
  </si>
  <si>
    <t>CONE PARA SINALIZAÇAO ( NBR-15.071, H=75CM)</t>
  </si>
  <si>
    <t>UD</t>
  </si>
  <si>
    <t>1.3.11</t>
  </si>
  <si>
    <t>A.05.000.080110</t>
  </si>
  <si>
    <t>BALANCIM ELÉTRICO TIPO PLATAFORMA DE 3 M DE COMPRIMENTO, PARA TRANSPORTE VERTICAL, COM CABO PASSANTE DE 60M, COM GANCHO, CLIPS, SAPATILHAS, PONTA DE CABO, ETC.</t>
  </si>
  <si>
    <t>1.3.12</t>
  </si>
  <si>
    <t>55.10.030</t>
  </si>
  <si>
    <t>LOCAÇÃO DE DUTO COLETOR DE ENTULHO</t>
  </si>
  <si>
    <t>1.3.13</t>
  </si>
  <si>
    <t>ORSE</t>
  </si>
  <si>
    <t>S12895</t>
  </si>
  <si>
    <t>PLACA DE SINALIZACAO, FOTOLUMINESCENTE, EM PVC , ROTA DE FUGA</t>
  </si>
  <si>
    <t>1.3.14</t>
  </si>
  <si>
    <t>ED-28493</t>
  </si>
  <si>
    <t>BANDEJA SALVA VIDAS, TIPO PRIMÁRIA, EM SUPORTE METÁLICO COM FORRO EM COMPENSADO RESINADO E TÁBUA, COMPRIMENTO DE 250CM COM COMPLEMENTO DE 80CM, INCLUSIVE ACESSÓRIOS DE FIXAÇÃO E INSTALAÇÃO</t>
  </si>
  <si>
    <t>1.3.15</t>
  </si>
  <si>
    <t>ED-28494</t>
  </si>
  <si>
    <t>BANDEJA SALVA VIDAS, TIPO SECUNDÁRIA, EM SUPORTE METÁLICO COM FORRO EM COMPENSADO RESINADO E TÁBUA, COMPRIMENTO DE 140CM COM COMPLEMENTO DE 80CM, INCLUSIVE ACESSÓRIOS DE FIXAÇÃO E INSTALAÇÃO</t>
  </si>
  <si>
    <t>1.3.16</t>
  </si>
  <si>
    <t>18.025.0005-0</t>
  </si>
  <si>
    <t>BEBEDOURO PURIFICADOR,DE COLUNA,EM ACO INOXIDAVEL,MODELO PRESSAO,COM 2 TORNEIRAS,VAZAO MINIMA DE 30L/H,CONFORME ABNT NBR16236.FORNECIMENTO</t>
  </si>
  <si>
    <t>1.3.17</t>
  </si>
  <si>
    <t>S12259</t>
  </si>
  <si>
    <t>MANUTENÇÃO DE ELEVADOR CREMALHEIRA OMG12 COM 45,50M DE ALTURA, PREVISTA APÓS 30 DIAS DE OPERAÇÃO. COBRADO MENSALMENTE, INCLUSIVE TESTE DE FREIO A CADA 90 DIAS</t>
  </si>
  <si>
    <t>MES</t>
  </si>
  <si>
    <t>1.3.18</t>
  </si>
  <si>
    <t>I13099</t>
  </si>
  <si>
    <t>MONTAGEM DE ELEVADOR CREMALHEIRA OMG12 COM 45,50M DE ALTURA, CABINE SIMPLES - 1.200KG OU 17 PESSOAS</t>
  </si>
  <si>
    <t>1.3.19</t>
  </si>
  <si>
    <t>S12258</t>
  </si>
  <si>
    <t>DESMONTAGEM DE ELEVADOR CREMALHEIRA OMG12 COM 45,50M DE ALTURA, CABINE SIMPLES - 1.200KG OU 17 PESSOAS</t>
  </si>
  <si>
    <t>1.3.20</t>
  </si>
  <si>
    <t>S12260</t>
  </si>
  <si>
    <t>LOCAÇÃO DE ELEVADOR CREMALHEIRA COM 45,50M DE ALTURA, 03 CANCELAS, CABINE SIMPLES - 1.200KG OU 17 PESSOAS.</t>
  </si>
  <si>
    <t>1.3.21</t>
  </si>
  <si>
    <t>95212</t>
  </si>
  <si>
    <t>GRUA ASCENCIONAL, LANCA DE 42 M, CAPACIDADE DE 1,5 T A 30 M, ALTURA ATE 39 M - CHP DIURNO. AF_05/2023</t>
  </si>
  <si>
    <t>CHP</t>
  </si>
  <si>
    <t>1.3.22</t>
  </si>
  <si>
    <t>95213</t>
  </si>
  <si>
    <t>GRUA ASCENCIONAL, LANÇA DE 42 M, CAPACIDADE DE 1,5 T A 30 M, ALTURA ATÉ 39 M - CHI DIURNO. AF_05/2023</t>
  </si>
  <si>
    <t>CHI</t>
  </si>
  <si>
    <t>1.3.23</t>
  </si>
  <si>
    <t>GRUA ASCENCIONAL, LANÇA DE 42 M, CAPACIDADE DE 1,5 T A 30 M, ALTURA ATÉ 39 M - CHI NOTURNO</t>
  </si>
  <si>
    <t>2</t>
  </si>
  <si>
    <t>ELABORAÇÃO DE PROJETOS EXECUTIVO, LIBERAÇÕES, APROVAÇÕES E TAXAS</t>
  </si>
  <si>
    <t>2.1</t>
  </si>
  <si>
    <t>CPU-011</t>
  </si>
  <si>
    <t>ELABORAÇÃO DE PROJETO EXECUTIVO DE ARQUITETURA HOSPITALAR, ESTRUTURAS DE CONCRETO ARMAÇO E ESTRUTURAS METÁLICAS, MOVIMENTAÇÃO DE TERRA (TERRAPLENAGEM), DRENAGEM PLUVIAL, PAVIMENTAÇÃO, ELÉTRICA, SONORIZAÇÃO E COMUNICAÇÃO, TELEFONIA, PROTEÇÃO CONTRA DESCARGAS ELÉTRICAS, INDICADOR SONORO E SINALIZAÇÃO DE EMERGÊNCIA, ILUMINAÇÃO, SISTEMA DE DETECÇÃO DE ALARME DE INCÊNDIO, SUBESTAÇÃO TRANSFORMADORA, PEINASL DE MÉDIA TENSÃO, SUBESTAÇÃO, ARCONDICIONADO, VENTILAÇÃO, E RENOVAÇÃO DE AR, IMPLANTAÇÃO DE REDE DE ESGOTO, INSTALAÇÃO DE ´RESERVATÓRIOS, ÁGUA FRIA, ÁGUA QUENTEE, REDE DE ÁGUA REEUSO, ACÚSTICA E CLIMATIZAÇÃO, GASES, GLP, DIESEL, AUTOMAÇÃO E QUADRO DE COMANDO, PREVENÇÃO E COMBATE A INCÊNDIO, LINHAS DE VIDA E ANCORAGEM, MOVEIS, LOUÇAS, METAIS, TAMPOS E MARCENARIA.</t>
  </si>
  <si>
    <t>3</t>
  </si>
  <si>
    <t>TERRAPLENAGEM</t>
  </si>
  <si>
    <t>3.1</t>
  </si>
  <si>
    <t>43335</t>
  </si>
  <si>
    <t>REGULARIZAÇÃO DE BOTA-FORA COM ESPALHAMENTO E COMPACTAÇÃO</t>
  </si>
  <si>
    <t>3.2</t>
  </si>
  <si>
    <t>98525</t>
  </si>
  <si>
    <t>LIMPEZA MECANIZADA DE CAMADA VEGETAL, VEGETAÇÃO E PEQUENAS ÁRVORES (DIÂMETRO DE TRONCO MENOR QUE 0,20 M), COM TRATOR DE ESTEIRAS. AF_03/2024</t>
  </si>
  <si>
    <t>3.3</t>
  </si>
  <si>
    <t>SICRO NOVO</t>
  </si>
  <si>
    <t>5502109</t>
  </si>
  <si>
    <t>ESCAVAÇÃO, CARGA E TRANSPORTE DE MATERIAL DE 1ª CATEGORIA - DMT DE 50 A 200 M - CAMINHO DE SERVIÇO EM LEITO NATURAL - COM ESCAVADEIRA E CAMINHÃO BASCULANTE DE 14 M³</t>
  </si>
  <si>
    <t>M³</t>
  </si>
  <si>
    <t>3.4</t>
  </si>
  <si>
    <t>5502611</t>
  </si>
  <si>
    <t>ESCAVAÇÃO, CARGA E TRANSPORTE DE MATERIAL DE 2ª CATEGORIA - DMT DE 50 A 200 M - CAMINHO DE SERVIÇO EM LEITO NATURAL - COM ESCAVADEIRA E CAMINHÃO BASCULANTE DE 14 M³</t>
  </si>
  <si>
    <t>3.5</t>
  </si>
  <si>
    <t>5502742</t>
  </si>
  <si>
    <t>ESCAVAÇÃO, CARGA E TRANSPORTE DE MATERIAL DE 3ª CATEGORIA - DMT DE 50 A 200 M - CAMINHO DE SERVIÇO EM LEITO NATURAL COM CAMINHÃO BASCULANTE DE 12 M³</t>
  </si>
  <si>
    <t>3.6</t>
  </si>
  <si>
    <t>100576</t>
  </si>
  <si>
    <t>REGULARIZAÇÃO DO SUBLEITO - 100% PROCTOR INTERMEDIÁRIO</t>
  </si>
  <si>
    <t>3.7</t>
  </si>
  <si>
    <t>4413985</t>
  </si>
  <si>
    <t>REGULARIZAÇÃO MANUAL DE TALUDES DE CORTES E ATERROS</t>
  </si>
  <si>
    <t>M²</t>
  </si>
  <si>
    <t>3.8</t>
  </si>
  <si>
    <t>CPU-92933449</t>
  </si>
  <si>
    <t>MATERIAL DE PRIMEIRA CATEGORIA PROVENIENTE DE EMPRÉSTIMO COMERCIAL (ARGILA OU SAIBRO) COM CARACTERÍSTICAS ADEQUADAS PARA UTILIZAÇÃO NO ATERRO CONFORME INDICAÇÃO DO PROJETO DE TERRAPLENAGEM.</t>
  </si>
  <si>
    <t>3.9</t>
  </si>
  <si>
    <t>S02522</t>
  </si>
  <si>
    <t>COMPACTAÇÃO DE ATERROS A 100% DO PROCTOR NORMAL</t>
  </si>
  <si>
    <t>3.10</t>
  </si>
  <si>
    <t>98529</t>
  </si>
  <si>
    <t>CORTE RASO E RECORTE DE ÁRVORE COM DIÂMETRO DE TRONCO MAIOR OU IGUAL A 0,20 M E MENOR QUE 0,40 M. AF_03/2024</t>
  </si>
  <si>
    <t>3.11</t>
  </si>
  <si>
    <t>98526</t>
  </si>
  <si>
    <t>REMOÇÃO DE RAÍZES REMANESCENTES DE TRONCO DE ÁRVORE COM DIÂMETRO MAIOR OU IGUAL A 0,20 M E MENOR QUE 0,40 M. AF_03/2024</t>
  </si>
  <si>
    <t>3.12</t>
  </si>
  <si>
    <t>4016096</t>
  </si>
  <si>
    <t>ESCAVAÇÃO E CARGA DE MATERIAL DE JAZIDA COM ESCAVADEIRA HIDRÁULICA DE 1,56 M³</t>
  </si>
  <si>
    <t>3.13</t>
  </si>
  <si>
    <t>5914449</t>
  </si>
  <si>
    <t>TRANSPORTE COM CAMINHÃO CARROCERIA DE 15 T - RODOVIA EM LEITO NATURAL</t>
  </si>
  <si>
    <t>TKM</t>
  </si>
  <si>
    <t>3.14</t>
  </si>
  <si>
    <t>5914464</t>
  </si>
  <si>
    <t>TRANSPORTE COM CAMINHÃO CARROCERIA DE 15 T - RODOVIA EM REVESTIMENTO PRIMÁRIO</t>
  </si>
  <si>
    <t>3.15</t>
  </si>
  <si>
    <t>5914479</t>
  </si>
  <si>
    <t>TRANSPORTE COM CAMINHÃO CARROCERIA DE 15 T - RODOVIA PAVIMENTADA</t>
  </si>
  <si>
    <t>3.16</t>
  </si>
  <si>
    <t>3.17</t>
  </si>
  <si>
    <t>3.18</t>
  </si>
  <si>
    <t>3.19</t>
  </si>
  <si>
    <t>74022/011</t>
  </si>
  <si>
    <t>ENSAIO DE COMPACTACAO - AMOSTRAS NAO TRABALHADAS - ENERGIA INTERMEDIARIA - SOLOS</t>
  </si>
  <si>
    <t>3.20</t>
  </si>
  <si>
    <t>C67.01.13</t>
  </si>
  <si>
    <t>ÍNDICE DE SUPORTE CALIFÓRNIA DE SOLOS (ISC/CBR) C/3 CP (DNIT 172/016-ME / NBR 9895:2017)</t>
  </si>
  <si>
    <t>3.21</t>
  </si>
  <si>
    <t>74022/006</t>
  </si>
  <si>
    <t>ENSAIO DE GRANULOMETRIA POR PENEIRAMENTO - SOLOS</t>
  </si>
  <si>
    <t>4</t>
  </si>
  <si>
    <t>PAVIMENTAÇÃO EXTERNA</t>
  </si>
  <si>
    <t>4.1</t>
  </si>
  <si>
    <t>4011304</t>
  </si>
  <si>
    <t>REFORÇO DO SUBLEITO DE SOLO MELHORADO COM 4% DE CAL E MISTURA NA PISTA COM MATERIAL DE JAZIDA - 100% PROCTOR INTERMEDIÁRIO</t>
  </si>
  <si>
    <t>4.2</t>
  </si>
  <si>
    <t>105730</t>
  </si>
  <si>
    <t>CONSTRUÇÃO DE BASE E SUB-BASE PARA PAVIMENTAÇÃO DE BRITA GRADUADA SIMPLES, COM ESPESSURA DE 20 CM - EXCLUSIVE CARGA E TRANSPORTE. AF_09/2024</t>
  </si>
  <si>
    <t>4.3</t>
  </si>
  <si>
    <t>94275</t>
  </si>
  <si>
    <t>MEIO-FIO DE CONCRETO - MFC 05 - AREIA E BRITA COMERCIAIS - FÔRMA DE MADEIRA</t>
  </si>
  <si>
    <t>4.4</t>
  </si>
  <si>
    <t>92404</t>
  </si>
  <si>
    <t>EXECUÇÃO DE PAVIMENTO EM PISO INTERTRAVADO, COM BLOCO 16 FACES DE 22 X 11 CM, ESPESSURA 8 CM. AF_10/2022</t>
  </si>
  <si>
    <t>4.5</t>
  </si>
  <si>
    <t>92406</t>
  </si>
  <si>
    <t>EXECUÇÃO DE PAVIMENTO EM PISO INTERTRAVADO, COM BLOCO 16 FACES DE 22 X 11 CM, ESPESSURA 10 CM. AF_10/2022</t>
  </si>
  <si>
    <t>4.6</t>
  </si>
  <si>
    <t>92392</t>
  </si>
  <si>
    <t>EXECUÇÃO DE PAVIMENTO EM PISO INTERTRAVADO, COM BLOCO PISOGRAMA DE 35 X 15 CM, ESPESSURA 8 CM. AF_10/2022</t>
  </si>
  <si>
    <t>5</t>
  </si>
  <si>
    <t>DRENAGEM ESTACIONAMENTO E ÁREA EXTERNA</t>
  </si>
  <si>
    <t>5.1</t>
  </si>
  <si>
    <t>94116</t>
  </si>
  <si>
    <t>LASTRO COM PREPARO DE FUNDO, LARGURA MAIOR OU IGUAL A 1,5 M, COM CAMADA DE BRITA, LANÇAMENTO MECANIZADO, EM LOCAL COM NÍVEL BAIXO DE INTERFERÊNCIA. AF_06/2016</t>
  </si>
  <si>
    <t>5.2</t>
  </si>
  <si>
    <t>5502806</t>
  </si>
  <si>
    <t>CAMADA DRENANTE COM CONFORMAÇÃO DE TRATOR DE ESTEIRA - AREIA COMERCIAL</t>
  </si>
  <si>
    <t>5.3</t>
  </si>
  <si>
    <t>M1433</t>
  </si>
  <si>
    <t>GRELHA METÁLICA PARA CANALETAS - C = 0,50 M E L = 0,50 M</t>
  </si>
  <si>
    <t>5.4</t>
  </si>
  <si>
    <t>M1434</t>
  </si>
  <si>
    <t>PORTA-GRELHA METÁLICA - C = 0,50 M E L = 0,50 M</t>
  </si>
  <si>
    <t>5.5</t>
  </si>
  <si>
    <t>M1733</t>
  </si>
  <si>
    <t>MANTA DRENANTE EM MALHA DE POLIETILENO E GEOTÊXTIL DE POLIPROPILENO EM UMA DAS FACES</t>
  </si>
  <si>
    <t>5.6</t>
  </si>
  <si>
    <t>2003630</t>
  </si>
  <si>
    <t>BOCA DE LOBO SIMPLES - GRELHA DE CONCRETO - BLSG 03 - AREIA E BRITA COMERCIAIS</t>
  </si>
  <si>
    <t>5.7</t>
  </si>
  <si>
    <t>S06337</t>
  </si>
  <si>
    <t>TUBO PVC, SÉRIE R, ÁGUA PLUVIAL, DN 200 MM, FORNECIDO E INSTALADO</t>
  </si>
  <si>
    <t>5.8</t>
  </si>
  <si>
    <t>M2160</t>
  </si>
  <si>
    <t>TUBO PEAD CORRUGADO PERFURADO PARA DRENAGEM - D = 100 MM</t>
  </si>
  <si>
    <t>5.9</t>
  </si>
  <si>
    <t>92210</t>
  </si>
  <si>
    <t>TUBO DE CONCRETO ARMADO PA2 - D = 0,40 M</t>
  </si>
  <si>
    <t>5.10</t>
  </si>
  <si>
    <t>92212</t>
  </si>
  <si>
    <t>TUBO DE CONCRETO PA3 COMERCIAL PARA DRENAGEM - D = 0,60 M - FORNECIMENTO E INSTALAÇÃO</t>
  </si>
  <si>
    <t>5.11</t>
  </si>
  <si>
    <t>92214</t>
  </si>
  <si>
    <t>TUBO DE CONCRETO PA3 COMERCIAL PARA DRENAGEM - D = 0,80 M - FORNECIMENTO E INSTALAÇÃO</t>
  </si>
  <si>
    <t>5.12</t>
  </si>
  <si>
    <t>92216</t>
  </si>
  <si>
    <t>TUBO DE CONCRETO PA3 COMERCIAL PARA DRENAGEM - D = 1,00 M - FORNECIMENTO E INSTALAÇÃO</t>
  </si>
  <si>
    <t>5.13</t>
  </si>
  <si>
    <t>92816</t>
  </si>
  <si>
    <t>TUBO DE CONCRETO PA2 COMERCIAL PARA DRENAGEM - D = 1,20 M - FORNECIMENTO E INSTALAÇÃO</t>
  </si>
  <si>
    <t>5.14</t>
  </si>
  <si>
    <t>92818</t>
  </si>
  <si>
    <t>TUBO DE CONCRETO PA3 COMERCIAL PARA DRENAGEM - D = 1,50 M - FORNECIMENTO E INSTALAÇÃO</t>
  </si>
  <si>
    <t>5.15</t>
  </si>
  <si>
    <t>2003678</t>
  </si>
  <si>
    <t>POÇO DE VISITA - PVI 01 - AREIA E BRITA COMERCIAIS</t>
  </si>
  <si>
    <t>5.16</t>
  </si>
  <si>
    <t>2003680</t>
  </si>
  <si>
    <t>POÇO DE VISITA - PVI 02 - AREIA E BRITA COMERCIAIS</t>
  </si>
  <si>
    <t>5.17</t>
  </si>
  <si>
    <t>2003682</t>
  </si>
  <si>
    <t>POÇO DE VISITA - PVI 03 - AREIA E BRITA COMERCIAIS</t>
  </si>
  <si>
    <t>5.18</t>
  </si>
  <si>
    <t>2003684</t>
  </si>
  <si>
    <t>POÇO DE VISITA - PVI 04 - AREIA E BRITA COMERCIAIS</t>
  </si>
  <si>
    <t>5.19</t>
  </si>
  <si>
    <t>2003686</t>
  </si>
  <si>
    <t>POÇO DE VISITA - PVI 05 - AREIA E BRITA COMERCIAIS</t>
  </si>
  <si>
    <t>5.20</t>
  </si>
  <si>
    <t>2003720</t>
  </si>
  <si>
    <t>CHAMINÉ DOS POÇOS DE VISITA - CPV 04 - AREIA E BRITA COMERCIAIS</t>
  </si>
  <si>
    <t>5.21</t>
  </si>
  <si>
    <t>90091</t>
  </si>
  <si>
    <t>ESCAVAÇÃO MECÂNICA DE VALA EM MATERIAL DE 1ª CATEGORIA</t>
  </si>
  <si>
    <t>5.22</t>
  </si>
  <si>
    <t>102315</t>
  </si>
  <si>
    <t>ESCAVAÇÃO MECÂNICA DE VALA EM MATERIAL DE 2ª CATEGORIA</t>
  </si>
  <si>
    <t>5.23</t>
  </si>
  <si>
    <t>102355</t>
  </si>
  <si>
    <t>ESCAVAÇÃO DE VALA EM MATERIAL DE 3ª CATEGORIA</t>
  </si>
  <si>
    <t>5.24</t>
  </si>
  <si>
    <t>93382</t>
  </si>
  <si>
    <t>REATERRO E COMPACTAÇÃO COM SOQUETE VIBRATÓRIO</t>
  </si>
  <si>
    <t>5.25</t>
  </si>
  <si>
    <t>SP EDUCAÇÃO</t>
  </si>
  <si>
    <t>02.02.021</t>
  </si>
  <si>
    <t>AÇO CA 50</t>
  </si>
  <si>
    <t>KG</t>
  </si>
  <si>
    <t>5.26</t>
  </si>
  <si>
    <t>1107896</t>
  </si>
  <si>
    <t>CONCRETO FCK = 25 MPA - CONFECÇÃO EM BETONEIRA E LANÇAMENTO MANUAL - AREIA E BRITA COMERCIAIS</t>
  </si>
  <si>
    <t>5.27</t>
  </si>
  <si>
    <t>0804121</t>
  </si>
  <si>
    <t>BOCA DE BSTC D = 1,00 M - ESCONSIDADE 0° - AREIA E BRITA COMERCIAIS - ALAS RETAS</t>
  </si>
  <si>
    <t>5.28</t>
  </si>
  <si>
    <t>0804080</t>
  </si>
  <si>
    <t>BOCA DE BSTC D = 0,60 M - ESCONSIDADE 0° - AREIA EXTRAÍDA E BRITA PRODUZIDA - ALAS RETAS</t>
  </si>
  <si>
    <t>5.29</t>
  </si>
  <si>
    <t>2003173</t>
  </si>
  <si>
    <t>DESCIDA D'ÁGUA DE CORTES EM DEGRAUS - DCD 100-50 - AREIA E BRITA COMERCIAIS</t>
  </si>
  <si>
    <t>5.30</t>
  </si>
  <si>
    <t>2003399</t>
  </si>
  <si>
    <t>DESCIDA D'ÁGUA DE CORTES EM DEGRAUS - DCD 60-30 - AREIA E BRITA COMERCIAIS</t>
  </si>
  <si>
    <t>5.31</t>
  </si>
  <si>
    <t>103796</t>
  </si>
  <si>
    <t>FABRICAÇÃO, MONTAGEM E DESMONTAGEM DE FÔRMA</t>
  </si>
  <si>
    <t>5.32</t>
  </si>
  <si>
    <t>05.081.0100-0</t>
  </si>
  <si>
    <t>ESCORAMENTO PARA VALAS "TIPO BLINDAGEM", COM LARGURA DE 1, 50MA 2, 50M, PROFUNDIDADE DE 1, 50M A 3, 00M, INCLUSIVE MOVIMENTACAO COM ESCAVADEIRA HIDRAULICA E MAO DE OBRA. A MEDICAO SERA FEITA PELO PRODUTO DAS ALTURAS DAS PAREDES ESCORADAS (2 LADOS) VEZES O COMPRIMENTO DA VALA</t>
  </si>
  <si>
    <t>5.33</t>
  </si>
  <si>
    <t>5.34</t>
  </si>
  <si>
    <t>5.35</t>
  </si>
  <si>
    <t>ESPALHAMENTO / REGULARIZAÇÃO / COMPACTAÇÃO DE MATERIAL EM BOTA-FORA</t>
  </si>
  <si>
    <t>6</t>
  </si>
  <si>
    <t>ESTRUTURAS DE CONCRETO ARMADO</t>
  </si>
  <si>
    <t>6.1</t>
  </si>
  <si>
    <t>MOVIMENTAÇÃ DE SOLO</t>
  </si>
  <si>
    <t>6.1.1</t>
  </si>
  <si>
    <t>96521</t>
  </si>
  <si>
    <t>ESCAVAÇÃO MECANIZADA PARA BLOCO DE COROAMENTO OU SAPATA COM RETROESCAVADEIRA (INCLUINDO ESCAVAÇÃO PARA COLOCAÇÃO DE FÔRMAS). AF_01/2024</t>
  </si>
  <si>
    <t>6.1.2</t>
  </si>
  <si>
    <t>DESMONTE DE MATERIAL DE 3ª CATEGORIA (BLOCOS DE ROCHAS OU MATACOS), EM VALA, COM MARTELETE PNEUMÁTICO MANUAL - EXCLUSIVE RETIRADA, CARGA E TRANSPORTE. AF_03/2021</t>
  </si>
  <si>
    <t>6.1.3</t>
  </si>
  <si>
    <t>REATERRO MANUAL DE VALAS, COM COMPACTADOR DE SOLOS DE PERCUSSÃO. AF_08/2023</t>
  </si>
  <si>
    <t>6.1.4</t>
  </si>
  <si>
    <t>ESCAVAÇÃO MECANIZADA DE VALA COM PROF. ATÉ 1,5 M (MÉDIA MONTANTE E JUSANTE/UMA COMPOSIÇÃO POR TRECHO), ESCAVADEIRA (0,8 M3), LARG. DE 1,5 M A 2,5 M, EM SOLO DE 1A CATEGORIA, LOCAIS COM BAIXO NÍVEL DE INTERFERÊNCIA. AF_09/2024</t>
  </si>
  <si>
    <t>6.1.5</t>
  </si>
  <si>
    <t>6.1.6</t>
  </si>
  <si>
    <t>6.1.7</t>
  </si>
  <si>
    <t>6.2</t>
  </si>
  <si>
    <t>FUNDAÇÃO</t>
  </si>
  <si>
    <t>6.2.1</t>
  </si>
  <si>
    <t>96616</t>
  </si>
  <si>
    <t>LASTRO DE CONCRETO MAGRO, APLICADO EM BLOCOS DE COROAMENTO OU SAPATAS. AF_01/2024</t>
  </si>
  <si>
    <t>6.2.2</t>
  </si>
  <si>
    <t>98557</t>
  </si>
  <si>
    <t>IMPERMEABILIZAÇÃO DE SUPERFÍCIE COM EMULSÃO ASFÁLTICA, 2 DEMÃOS. AF_09/2023</t>
  </si>
  <si>
    <t>6.2.3</t>
  </si>
  <si>
    <t>104918</t>
  </si>
  <si>
    <t>ARMAÇÃO DE SAPATA ISOLADA, VIGA BALDRAME E SAPATA CORRIDA UTILIZANDO AÇO CA-50 DE 8 MM - MONTAGEM. AF_01/2024</t>
  </si>
  <si>
    <t>6.2.4</t>
  </si>
  <si>
    <t>104919</t>
  </si>
  <si>
    <t>ARMAÇÃO DE SAPATA ISOLADA, VIGA BALDRAME E SAPATA CORRIDA UTILIZANDO AÇO CA-50 DE 10 MM - MONTAGEM. AF_01/2024</t>
  </si>
  <si>
    <t>6.2.5</t>
  </si>
  <si>
    <t>104920</t>
  </si>
  <si>
    <t>ARMAÇÃO DE BLOCO, SAPATA ISOLADA, VIGA BALDRAME E SAPATA CORRIDA UTILIZANDO AÇO CA-50 DE 12,5 MM - MONTAGEM. AF_01/2024</t>
  </si>
  <si>
    <t>6.2.6</t>
  </si>
  <si>
    <t>104921</t>
  </si>
  <si>
    <t>ARMAÇÃO DE BLOCO, SAPATA ISOLADA, VIGA BALDRAME E SAPATA CORRIDA UTILIZANDO AÇO CA-50 DE 16 MM - MONTAGEM. AF_01/2024</t>
  </si>
  <si>
    <t>6.2.7</t>
  </si>
  <si>
    <t>104922</t>
  </si>
  <si>
    <t>ARMAÇÃO DE BLOCO, SAPATA ISOLADA E SAPATA CORRIDA UTILIZANDO AÇO CA-50 DE 20 MM - MONTAGEM. AF_01/2024</t>
  </si>
  <si>
    <t>6.2.8</t>
  </si>
  <si>
    <t>96535</t>
  </si>
  <si>
    <t>FABRICAÇÃO, MONTAGEM E DESMONTAGEM DE FÔRMA PARA SAPATA, EM MADEIRA SERRADA, E=25 MM, 4 UTILIZAÇÕES. AF_01/2024</t>
  </si>
  <si>
    <t>6.2.9</t>
  </si>
  <si>
    <t>104924</t>
  </si>
  <si>
    <t>CONCRETAGEM DE SAPATA, FCK 25 MPA, COM USO DE BOMBA - LANÇAMENTO, ADENSAMENTO E ACABAMENTO.</t>
  </si>
  <si>
    <t>6.2.10</t>
  </si>
  <si>
    <t>CONCRETAGEM DE SAPATA, FCK 30 MPA, COM USO DE BOMBA - LANÇAMENTO, ADENSAMENTO E ACABAMENTO.</t>
  </si>
  <si>
    <t>6.3</t>
  </si>
  <si>
    <t>MUROS DE CONTENÇÃO E CORTINAS DE CONCRETO ARMADO</t>
  </si>
  <si>
    <t>6.3.1</t>
  </si>
  <si>
    <t>100341</t>
  </si>
  <si>
    <t>FABRICAÇÃO, MONTAGEM E DESMONTAGEM DE FÔRMA PARA CORTINA DE CONTENÇÃO, EM CHAPA DE MADEIRA COMPENSADA PLASTIFICADA, E = 18 MM, 10 UTILIZAÇÕES. AF_11/2024</t>
  </si>
  <si>
    <t>6.3.2</t>
  </si>
  <si>
    <t>92915</t>
  </si>
  <si>
    <t>ARMAÇÃO DE ESTRUTURAS DIVERSAS DE CONCRETO ARMADO, EXCETO VIGAS, PILARES, LAJES E FUNDAÇÕES, UTILIZANDO AÇO CA-60 DE 5,0 MM - MONTAGEM. AF_06/2022</t>
  </si>
  <si>
    <t>6.3.3</t>
  </si>
  <si>
    <t>100342</t>
  </si>
  <si>
    <t>ARMAÇÃO DE CORTINA DE CONTENÇÃO EM CONCRETO ARMADO, COM AÇO CA-50 DE 6,3 MM - MONTAGEM. AF_11/2024</t>
  </si>
  <si>
    <t>6.3.4</t>
  </si>
  <si>
    <t>100343</t>
  </si>
  <si>
    <t>ARMAÇÃO DE CORTINA DE CONTENÇÃO EM CONCRETO ARMADO, COM AÇO CA-50 DE 8 MM - MONTAGEM. AF_11/2024</t>
  </si>
  <si>
    <t>6.3.5</t>
  </si>
  <si>
    <t>100344</t>
  </si>
  <si>
    <t>ARMAÇÃO DE CORTINA DE CONTENÇÃO EM CONCRETO ARMADO, COM AÇO CA-50 DE 10 MM - MONTAGEM. AF_11/2024</t>
  </si>
  <si>
    <t>6.3.6</t>
  </si>
  <si>
    <t>100347</t>
  </si>
  <si>
    <t>ARMAÇÃO DE CORTINA DE CONTENÇÃO EM CONCRETO ARMADO, COM AÇO CA-50 DE 20 MM - MONTAGEM. AF_11/2024</t>
  </si>
  <si>
    <t>6.3.7</t>
  </si>
  <si>
    <t>99439</t>
  </si>
  <si>
    <t>CONCRETAGEM DE EDIFICAÇÕES (PAREDES E LAJES) FEITAS COM SISTEMA DE FÔRMAS MANUSEÁVEIS, COM CONCRETO USINADO BOMBEÁVEL FCK 30 MPA - LANÇAMENTO, ADENSAMENTO E ACABAMENTO.</t>
  </si>
  <si>
    <t>6.3.8</t>
  </si>
  <si>
    <t>102722</t>
  </si>
  <si>
    <t>DRENO EM MURO DE CONTENÇÃO, EXECUTADO NO PÉ DO MURO, COM TUBO DE PEAD CORRUGADO FLEXÍVEL PERFURADO, ENCHIMENTO COM BRITA, ENVOLVIDO COM MANTA GEOTÊXTIL. AF_07/2021</t>
  </si>
  <si>
    <t>6.3.9</t>
  </si>
  <si>
    <t>06.085.0010-A</t>
  </si>
  <si>
    <t>DRENO VERTICAL NO PARAMENTO INTERNO DE MUROS DE ARRIMO, EXECUTADO EM PRISMAS DE 0, 25 X O, 25M DE SECAO, CHEIOS DE BRITA 3, ADMITINDO AS BARBACAS ESPACADAS DE 1, 50M VERTICALMENTE E 2, 00M HORIZONTALMENTE, MEDINDO-SE O SERVICO PELA AREA DO MUROESTE PERCENTUAL REFERE-SE A DESGASTE DE FERRAMENTASESTE PERCENTUAL REFERE-SE A DESGASTE DE FERRAMENTAS</t>
  </si>
  <si>
    <t>6.3.10</t>
  </si>
  <si>
    <t>GOINFRA CIVIL</t>
  </si>
  <si>
    <t>121101</t>
  </si>
  <si>
    <t>IMPERMEABILIZAÇÃO MURO DE ARRIMO COM 4 DEMÃOS DE EMULSÃO ASFÁLTICA</t>
  </si>
  <si>
    <t>6.4</t>
  </si>
  <si>
    <t>PILARES E VIGAS</t>
  </si>
  <si>
    <t>6.4.1</t>
  </si>
  <si>
    <t>92431</t>
  </si>
  <si>
    <t>MONTAGEM E DESMONTAGEM DE FÔRMA DE PILARES RETANGULARES E ESTRUTURAS SIMILARES, PÉ-DIREITO SIMPLES, EM CHAPA DE MADEIRA COMPENSADA PLASTIFICADA, 10 UTILIZAÇÕES. AF_09/2020</t>
  </si>
  <si>
    <t>6.4.2</t>
  </si>
  <si>
    <t>92467</t>
  </si>
  <si>
    <t>MONTAGEM E DESMONTAGEM DE FÔRMA DE VIGA, ESCORAMENTO COM GARFO DE MADEIRA, PÉ-DIREITO SIMPLES, EM CHAPA DE MADEIRA PLASTIFICADA, 10 UTILIZAÇÕES. AF_09/2020</t>
  </si>
  <si>
    <t>6.4.3</t>
  </si>
  <si>
    <t>103672</t>
  </si>
  <si>
    <t>CONCRETAGEM DE PILARES, FCK = 30 MPA, COM USO DE BOMBA - LANÇAMENTO, ADENSAMENTO E ACABAMENTO. AF_02/2022_PS</t>
  </si>
  <si>
    <t>6.4.4</t>
  </si>
  <si>
    <t>103675</t>
  </si>
  <si>
    <t>CONCRETAGEM DE VIGAS E LAJES, FCK=30 MPA, PARA LAJES MACIÇAS OU NERVURADAS COM USO DE BOMBA - LANÇAMENTO, ADENSAMENTO E ACABAMENTO.</t>
  </si>
  <si>
    <t>6.4.5</t>
  </si>
  <si>
    <t>CONCRETAGEM DE VIGAS E LAJES, FCK=25 MPA, PARA LAJES MACIÇAS OU NERVURADAS COM USO DE BOMBA - LANÇAMENTO, ADENSAMENTO E ACABAMENTO. AF_02/2022_PS</t>
  </si>
  <si>
    <t>6.4.6</t>
  </si>
  <si>
    <t>CONCRETAGEM DE PILARES, FCK = 25 MPA, COM USO DE BOMBA - LANÇAMENTO, ADENSAMENTO E ACABAMENTO.</t>
  </si>
  <si>
    <t>6.4.7</t>
  </si>
  <si>
    <t>92759</t>
  </si>
  <si>
    <t>ARMAÇÃO DE PILAR OU VIGA DE ESTRUTURA CONVENCIONAL DE CONCRETO ARMADO UTILIZANDO AÇO CA-60 DE 5,0 MM - MONTAGEM. AF_06/2022</t>
  </si>
  <si>
    <t>6.4.8</t>
  </si>
  <si>
    <t>92760</t>
  </si>
  <si>
    <t>ARMAÇÃO DE PILAR OU VIGA DE ESTRUTURA CONVENCIONAL DE CONCRETO ARMADO UTILIZANDO AÇO CA-50 DE 6,3 MM - MONTAGEM. AF_06/2022</t>
  </si>
  <si>
    <t>6.4.9</t>
  </si>
  <si>
    <t>92761</t>
  </si>
  <si>
    <t>ARMAÇÃO DE PILAR OU VIGA DE ESTRUTURA CONVENCIONAL DE CONCRETO ARMADO UTILIZANDO AÇO CA-50 DE 8,0 MM - MONTAGEM. AF_06/2022</t>
  </si>
  <si>
    <t>6.4.10</t>
  </si>
  <si>
    <t>92762</t>
  </si>
  <si>
    <t>ARMAÇÃO DE PILAR OU VIGA DE ESTRUTURA CONVENCIONAL DE CONCRETO ARMADO UTILIZANDO AÇO CA-50 DE 10,0 MM - MONTAGEM. AF_06/2022</t>
  </si>
  <si>
    <t>6.4.11</t>
  </si>
  <si>
    <t>92763</t>
  </si>
  <si>
    <t>ARMAÇÃO DE PILAR OU VIGA DE ESTRUTURA CONVENCIONAL DE CONCRETO ARMADO UTILIZANDO AÇO CA-50 DE 12,5 MM - MONTAGEM. AF_06/2022</t>
  </si>
  <si>
    <t>6.4.12</t>
  </si>
  <si>
    <t>92764</t>
  </si>
  <si>
    <t>ARMAÇÃO DE PILAR OU VIGA DE ESTRUTURA CONVENCIONAL DE CONCRETO ARMADO UTILIZANDO AÇO CA-50 DE 16,0 MM - MONTAGEM. AF_06/2022</t>
  </si>
  <si>
    <t>6.4.13</t>
  </si>
  <si>
    <t>92765</t>
  </si>
  <si>
    <t>ARMAÇÃO DE PILAR OU VIGA DE ESTRUTURA CONVENCIONAL DE CONCRETO ARMADO UTILIZANDO AÇO CA-50 DE 20,0 MM - MONTAGEM. AF_06/2022</t>
  </si>
  <si>
    <t>6.4.14</t>
  </si>
  <si>
    <t>92766</t>
  </si>
  <si>
    <t>ARMAÇÃO DE PILAR OU VIGA DE ESTRUTURA CONVENCIONAL DE CONCRETO ARMADO UTILIZANDO AÇO CA-50 DE 25,0 MM - MONTAGEM. AF_06/2022</t>
  </si>
  <si>
    <t>6.5</t>
  </si>
  <si>
    <t>LAJE</t>
  </si>
  <si>
    <t>6.5.1</t>
  </si>
  <si>
    <t>6.5.2</t>
  </si>
  <si>
    <t>92526</t>
  </si>
  <si>
    <t>MONTAGEM E DESMONTAGEM DE FÔRMA DE LAJE MACIÇA, PÉ-DIREITO SIMPLES, EM CHAPA DE MADEIRA COMPENSADA PLASTIFICADA, 4 UTILIZAÇÕES</t>
  </si>
  <si>
    <t>6.5.3</t>
  </si>
  <si>
    <t>92768</t>
  </si>
  <si>
    <t>ARMAÇÃO DE LAJE DE ESTRUTURA CONVENCIONAL DE CONCRETO ARMADO UTILIZANDO AÇO CA-60 DE 5,0 MM - MONTAGEM. AF_06/2022</t>
  </si>
  <si>
    <t>6.5.4</t>
  </si>
  <si>
    <t>92769</t>
  </si>
  <si>
    <t>ARMAÇÃO DE LAJE DE ESTRUTURA CONVENCIONAL DE CONCRETO ARMADO UTILIZANDO AÇO CA-50 DE 6,3 MM - MONTAGEM. AF_06/2022</t>
  </si>
  <si>
    <t>6.5.5</t>
  </si>
  <si>
    <t>92770</t>
  </si>
  <si>
    <t>ARMAÇÃO DE LAJE DE ESTRUTURA CONVENCIONAL DE CONCRETO ARMADO UTILIZANDO AÇO CA-50 DE 8,0 MM - MONTAGEM. AF_06/2022</t>
  </si>
  <si>
    <t>6.5.6</t>
  </si>
  <si>
    <t>92771</t>
  </si>
  <si>
    <t>ARMAÇÃO DE LAJE DE ESTRUTURA CONVENCIONAL DE CONCRETO ARMADO UTILIZANDO AÇO CA-50 DE 10,0 MM - MONTAGEM. AF_06/2022</t>
  </si>
  <si>
    <t>6.5.7</t>
  </si>
  <si>
    <t>92774</t>
  </si>
  <si>
    <t>ARMAÇÃO DE LAJE DE ESTRUTURA CONVENCIONAL DE CONCRETO ARMADO UTILIZANDO AÇO CA-50 DE 20,0 MM - MONTAGEM. AF_06/2022</t>
  </si>
  <si>
    <t>6.5.8</t>
  </si>
  <si>
    <t>92772</t>
  </si>
  <si>
    <t>ARMAÇÃO DE LAJE DE ESTRUTURA CONVENCIONAL DE CONCRETO ARMADO UTILIZANDO AÇO CA-50 DE 12,5 MM - MONTAGEM. AF_06/2022</t>
  </si>
  <si>
    <t>6.5.9</t>
  </si>
  <si>
    <t>92773</t>
  </si>
  <si>
    <t>ARMAÇÃO DE LAJE DE ESTRUTURA CONVENCIONAL DE CONCRETO ARMADO UTILIZANDO AÇO CA-50 DE 16,0 MM - MONTAGEM. AF_06/2022</t>
  </si>
  <si>
    <t>6.5.10</t>
  </si>
  <si>
    <t>ARMAÇÃO DE LAJE DE ESTRUTURA CONVENCIONAL DE CONCRETO ARMADO UTILIZANDO AÇO CA-50 DE 25,0 MM</t>
  </si>
  <si>
    <t>6.6</t>
  </si>
  <si>
    <t>ESCADAS</t>
  </si>
  <si>
    <t>6.6.1</t>
  </si>
  <si>
    <t>102003</t>
  </si>
  <si>
    <t>MONTAGEM E DESMONTAGEM DE FÔRMA PARA ESCADAS, COM 2 LANCES EM "U" E LAJE CASCATA, EM CHAPA DE MADEIRA COMPENSADA RESINADA, 4 UTILIZAÇÕES. AF_11/2020</t>
  </si>
  <si>
    <t>6.6.2</t>
  </si>
  <si>
    <t>103183</t>
  </si>
  <si>
    <t>CONCRETAGEM DE ESCADAS EM EDIFICAÇÕES MULTIFAMILIARES FEITAS COM SISTEMA DE FÔRMAS MANUSEÁVEIS COM CONCRETO USINADO BOMBEÁVEL, FCK 30 MPA - LANÇAMENTO, ADENSAMENTO E ACABAMENTO. AF_09/2024</t>
  </si>
  <si>
    <t>6.6.3</t>
  </si>
  <si>
    <t>95943</t>
  </si>
  <si>
    <t>ARMAÇÃO DE ESCADA, DE UMA ESTRUTURA CONVENCIONAL DE CONCRETO ARMADO UTILIZANDO AÇO CA-60 DE 5,0 MM - MONTAGEM. AF_11/2020</t>
  </si>
  <si>
    <t>6.6.4</t>
  </si>
  <si>
    <t>95944</t>
  </si>
  <si>
    <t>ARMAÇÃO DE ESCADA, DE UMA ESTRUTURA CONVENCIONAL DE CONCRETO ARMADO UTILIZANDO AÇO CA-50 DE 6,3 MM - MONTAGEM. AF_11/2020</t>
  </si>
  <si>
    <t>6.6.5</t>
  </si>
  <si>
    <t>95945</t>
  </si>
  <si>
    <t>ARMAÇÃO DE ESCADA, DE UMA ESTRUTURA CONVENCIONAL DE CONCRETO ARMADO UTILIZANDO AÇO CA-50 DE 8,0 MM - MONTAGEM. AF_11/2020</t>
  </si>
  <si>
    <t>6.6.6</t>
  </si>
  <si>
    <t>95946</t>
  </si>
  <si>
    <t>ARMAÇÃO DE ESCADA, DE UMA ESTRUTURA CONVENCIONAL DE CONCRETO ARMADO UTILIZANDO AÇO CA-50 DE 10,0 MM - MONTAGEM. AF_11/2020</t>
  </si>
  <si>
    <t>6.6.7</t>
  </si>
  <si>
    <t>95947</t>
  </si>
  <si>
    <t>ARMAÇÃO DE ESCADA, DE UMA ESTRUTURA CONVENCIONAL DE CONCRETO ARMADO UTILIZANDO AÇO CA-50 DE 12,5 MM - MONTAGEM. AF_11/2020</t>
  </si>
  <si>
    <t>6.6.8</t>
  </si>
  <si>
    <t>92923</t>
  </si>
  <si>
    <t>ARMAÇÃO DE ESTRUTURAS DIVERSAS DE CONCRETO ARMADO, EXCETO VIGAS, PILARES, LAJES E FUNDAÇÕES, UTILIZANDO AÇO CA-50 DE 20,0 MM - MONTAGEM. AF_06/2022</t>
  </si>
  <si>
    <t>6.7</t>
  </si>
  <si>
    <t>ENSAIOS DE LABORATÓRIO</t>
  </si>
  <si>
    <t>6.7.1</t>
  </si>
  <si>
    <t>I12000</t>
  </si>
  <si>
    <t>CONTROLE TECNOLÓGICO DE CONCRETO - POR ROMPIMENTO DE CORPO DE PROVA</t>
  </si>
  <si>
    <t>7</t>
  </si>
  <si>
    <t>JUNTAS DE DILATAÇÃO</t>
  </si>
  <si>
    <t>7.1</t>
  </si>
  <si>
    <t>98575</t>
  </si>
  <si>
    <t>TRATAMENTO DE JUNTA DE DILATAÇÃO, COM TARUGO DE POLIETILENO E SELANTE PU, INCLUSO PREENCHIMENTO COM ESPUMA EXPANSIVA PU. AF_09/2023</t>
  </si>
  <si>
    <t>7.2</t>
  </si>
  <si>
    <t>32.07.260</t>
  </si>
  <si>
    <t>PERFIL DE ACABAMENTO COM BORRACHA TERMOPLÁSTICA VULCANIZADA CONTÍNUA FLEXÍVEL, PARA JUNTA DE DILATAÇÃO DE EMBUTIR - PAREDE-PAREDE OU FORRO-FORRO - CANTO</t>
  </si>
  <si>
    <t>7.3</t>
  </si>
  <si>
    <t>32.07.230</t>
  </si>
  <si>
    <t>PERFIL DE ACABAMENTO COM BORRACHA TERMOPLÁSTICA VULCANIZADA CONTÍNUA FLEXÍVEL, PARA JUNTA DE DILATAÇÃO DE EMBUTIR - PISO-PISO</t>
  </si>
  <si>
    <t>8</t>
  </si>
  <si>
    <t>IMPERMEABILIZAÇÃO E PROTEÇÃO DIVERSA</t>
  </si>
  <si>
    <t>8.1</t>
  </si>
  <si>
    <t>98555</t>
  </si>
  <si>
    <t>IMPERMEABILIZAÇÃO DE SUPERFÍCIE COM ARGAMASSA POLIMÉRICA / MEMBRANA ACRÍLICA, 3 DEMÃOS. AF_09/2023</t>
  </si>
  <si>
    <t>8.2</t>
  </si>
  <si>
    <t>98565</t>
  </si>
  <si>
    <t>PROTEÇÃO MECÂNICA DE SUPERFICIE HORIZONTAL COM ARGAMASSA DE CIMENTO E AREIA, TRAÇO 1:3, E=3CM. AF_09/2023</t>
  </si>
  <si>
    <t>8.3</t>
  </si>
  <si>
    <t>88477</t>
  </si>
  <si>
    <t>CONTRAPISO COM ARGAMASSA AUTONIVELANTE, APLICADO SOBRE LAJE, ADERIDO, ESPESSURA 3CM. AF_07/2021</t>
  </si>
  <si>
    <t>8.4</t>
  </si>
  <si>
    <t>00003409</t>
  </si>
  <si>
    <t>POLIESTIRENO EXPANDIDO/EPS (ISOPOR), TIPO 2F, PLACA, ISOLAMENTO TERMOACUSTICO, E = 50 MM, 1000 X 500 MM</t>
  </si>
  <si>
    <t>8.5</t>
  </si>
  <si>
    <t>00004720</t>
  </si>
  <si>
    <t>PEDRA BRITADA N. 0, OU PEDRISCO (4,8 A 9,5 MM) POSTO PEDREIRA/FORNECEDOR, SEM FRETE</t>
  </si>
  <si>
    <t>8.6</t>
  </si>
  <si>
    <t>CPTM</t>
  </si>
  <si>
    <t>09.01.10.130.44</t>
  </si>
  <si>
    <t>NEM 10_MANTA LÍQUIDA FLEXÍVEL IMPERMEABILIZANTE À BASE DE RESINAS ACRÍLICAS ELÁSTICAS E FLEXÍVEIS E COM MICRO ESFERAR POLIMÉRICAS, APLICADO A FRIO, PARA LAJES COBERTAS SUJEITAS A INFILTRAÇÃO</t>
  </si>
  <si>
    <t>8.7</t>
  </si>
  <si>
    <t>ED-50169</t>
  </si>
  <si>
    <t>IMPERMEABILIZAÇÃO COM MANTA ASFÁLTICA ANTIRRAIZ, TIPO III, CLASSE A, ESP. 4MM, INCLUSIVE APLICAÇÃO DE PRIMER ASFÁLTICO</t>
  </si>
  <si>
    <t>9</t>
  </si>
  <si>
    <t>ALVENARIAS DE VEDAÇÃO</t>
  </si>
  <si>
    <t>9.1</t>
  </si>
  <si>
    <t>103368</t>
  </si>
  <si>
    <t>ALVENARIA DE VEDAÇÃO DE BLOCOS CERÂMICOS FURADOS NA HORIZONTAL DE 14X19X39 CM (ESPESSURA 14 CM) E ARGAMASSA DE ASSENTAMENTO COM PREPARO EM BETONEIRA. AF_12/2021</t>
  </si>
  <si>
    <t>9.2</t>
  </si>
  <si>
    <t>103326</t>
  </si>
  <si>
    <t>ALVENARIA DE VEDAÇÃO DE BLOCOS CERÂMICOS FURADOS NA VERTICAL DE 19X19X39 CM (ESPESSURA 19 CM) E ARGAMASSA DE ASSENTAMENTO COM PREPARO EM BETONEIRA. AF_12/2021</t>
  </si>
  <si>
    <t>9.3</t>
  </si>
  <si>
    <t>ED-48228</t>
  </si>
  <si>
    <t>ALVENARIA DE VEDAÇÃO COM TIJOLO MACIÇO REQUEIMADO, ESP. 20CM, PARA REVESTIMENTO, INCLUSIVE ARGAMASSA PARA ASSENTAMENTO</t>
  </si>
  <si>
    <t>9.4</t>
  </si>
  <si>
    <t>93203</t>
  </si>
  <si>
    <t>FIXAÇÃO (ENCUNHAMENTO) DE ALVENARIA DE VEDAÇÃO COM ESPUMA DE POLIURETANO EXPANSIVA. AF_03/2024</t>
  </si>
  <si>
    <t>9.5</t>
  </si>
  <si>
    <t>93187</t>
  </si>
  <si>
    <t>VERGA E CONTRA VERGA MOLDADA IN LOCO EM CONCRETO, ESPESSURA DE *20* CM. AF_03/2024</t>
  </si>
  <si>
    <t>9.6</t>
  </si>
  <si>
    <t>98551</t>
  </si>
  <si>
    <t>TRATAMENTO DE RODAPÉ COM MANTA ASFÁLTICA COLADA COM ASFALTO DERRETIDO, E=4MM. AF_09/2023</t>
  </si>
  <si>
    <t>9.7</t>
  </si>
  <si>
    <t>14.30.070</t>
  </si>
  <si>
    <t>DIVISÓRIA SANITÁRIA EM PAINEL LAMINADO MELAMÍNICO ESTRUTURAL COM PERFIS EM ALUMÍNIO, INCLUSIVE FERRAGEM COMPLETA PARA VÃO DE PORTA</t>
  </si>
  <si>
    <t>10</t>
  </si>
  <si>
    <t>PAREDES DE GESSO ACARTONADO DIVISÕES INTERNAS</t>
  </si>
  <si>
    <t>10.1</t>
  </si>
  <si>
    <t>96374</t>
  </si>
  <si>
    <t>INSTALAÇÃO DE REFORÇO DE MADEIRA EM PAREDE DRYWALL. AF_07/2023</t>
  </si>
  <si>
    <t>10.2</t>
  </si>
  <si>
    <t>32.06.030</t>
  </si>
  <si>
    <t>LÃ DE VIDRO E/OU LÃ DE ROCHA COM ESPESSURA DE 2´</t>
  </si>
  <si>
    <t>10.3</t>
  </si>
  <si>
    <t>CPU-HSP-1117</t>
  </si>
  <si>
    <t>ISOLAMENTO ACÚSTICO EM PLACAS DE ESPUMA EM MELAMINA INCOMBUSTÍVEL, COM DIMENSÕES 625X625X50MM, COR CINZA FOG, DENSIDADE DE 35KG/M3</t>
  </si>
  <si>
    <t>10.4</t>
  </si>
  <si>
    <t>14.30.310</t>
  </si>
  <si>
    <t>DIVISÓRIA EM PLACAS DE GESSO ACARTONADO, RESISTÊNCIA AO FOGO 30 MINUTOS, ESPESSURA 100/70MM - 1ST / 1ST</t>
  </si>
  <si>
    <t>10.5</t>
  </si>
  <si>
    <t>14.30.410</t>
  </si>
  <si>
    <t>DIVISÓRIA EM PLACAS DE GESSO ACARTONADO, RESISTÊNCIA AO FOGO 30 MINUTOS, ESPESSURA 100/70MM - 1RU / 1RU</t>
  </si>
  <si>
    <t>10.6</t>
  </si>
  <si>
    <t>S08372</t>
  </si>
  <si>
    <t>REVESTIMENTO COM PLACA MDF 6MM REVESTIDO EM CHAPA AÇO INOX ESCOVADO - REV 01</t>
  </si>
  <si>
    <t>11</t>
  </si>
  <si>
    <t>REVESTIMENTOS DAS PAREDES INTERNAS</t>
  </si>
  <si>
    <t>11.1</t>
  </si>
  <si>
    <t>87879</t>
  </si>
  <si>
    <t>CHAPISCO APLICADO EM ALVENARIAS E ESTRUTURAS DE CONCRETO INTERNAS, COM COLHER DE PEDREIRO. ARGAMASSA TRAÇO 1:3 COM PREPARO EM BETONEIRA 400L. AF_10/2022</t>
  </si>
  <si>
    <t>11.2</t>
  </si>
  <si>
    <t>87529</t>
  </si>
  <si>
    <t>MASSA ÚNICA, EM ARGAMASSA TRAÇO 1:2:8, PREPARO MECÂNICO, APLICADA MANUALMENTE EM PAREDES INTERNAS DE AMBIENTES COM ÁREA ENTRE 5M² E 10M², E = 17,5MM, COM TALISCAS. AF_03/2024</t>
  </si>
  <si>
    <t>11.3</t>
  </si>
  <si>
    <t>87257</t>
  </si>
  <si>
    <t>REVESTIMENTO CERÂMICO RETIFICADO, DIMENSÃO 30X60 CM, COR BRANCO, ACETINADO, REF. WHITE PLAIN LUX PORTINARI OU EQUIVALENTE TÉCNICO, APLICADO COM ARGAMASSA INDUSTIALIZADA E REJUNTE EPÓXI</t>
  </si>
  <si>
    <t>11.4</t>
  </si>
  <si>
    <t>104598</t>
  </si>
  <si>
    <t>REVESTIMENTO EM PORCELANATO BOLD, DIMENSÃO 29,5X59,5CM, ACETINADO, REF: LOFT WH E LOFT SGR PORTINARI OU EQUIVALENTE TÉCNICO, APLICADO COM ARGAMASSA INDUSTRIALIZADA E REJUNTE EPÓXI</t>
  </si>
  <si>
    <t>11.5</t>
  </si>
  <si>
    <t>101727</t>
  </si>
  <si>
    <t>REVESTIMENTO VINÍLICO HETEROGÊNEO FLEXÍVEL EM RÉGUAS AMADEIRADO, ESPESSURA DE 3 MM, COM IMPERMEABILIZANTE ACRÍLICO, REF. TARKETT INJOY PAPOULA OU EQUIVALENTE TÉCNICO</t>
  </si>
  <si>
    <t>11.6</t>
  </si>
  <si>
    <t>88485</t>
  </si>
  <si>
    <t>FUNDO SELADOR ACRÍLICO, APLICAÇÃO MANUAL EM PAREDE, UMA DEMÃO. AF_04/2023</t>
  </si>
  <si>
    <t>11.7</t>
  </si>
  <si>
    <t>88497</t>
  </si>
  <si>
    <t>EMASSAMENTO COM MASSA LÁTEX, APLICAÇÃO EM PAREDE, DUAS DEMÃOS, LIXAMENTO MANUAL. AF_04/2023</t>
  </si>
  <si>
    <t>11.8</t>
  </si>
  <si>
    <t>88489</t>
  </si>
  <si>
    <t>PINTURA LÁTEX ACRÍLICA PREMIUM, APLICAÇÃO MANUAL EM PAREDES, DUAS DEMÃOS, COR BRANCA OU COLORIDA</t>
  </si>
  <si>
    <t>11.9</t>
  </si>
  <si>
    <t>S10716</t>
  </si>
  <si>
    <t>REVESTIMENTO EM ARGAMASSA BARITA, ESPESSURA 2,00 CM</t>
  </si>
  <si>
    <t>12</t>
  </si>
  <si>
    <t>REVESTIMENTOS FACHADAS - PAREDES EXTERNAS</t>
  </si>
  <si>
    <t>12.1</t>
  </si>
  <si>
    <t>2408149</t>
  </si>
  <si>
    <t>ESTRUTURA EM PERFIL DE AÇO ASTM A36 CORTE, SOLDA E MONTAGEM - FORNECIMENTO E INSTALAÇÃO</t>
  </si>
  <si>
    <t>12.2</t>
  </si>
  <si>
    <t>SEINFRA</t>
  </si>
  <si>
    <t>C2040</t>
  </si>
  <si>
    <t>PINTURA C/ PRIMER EPOXI EM ESTRUTURA DE AÇO CARBONO 25 MICRA C/REVÓLVER</t>
  </si>
  <si>
    <t>12.3</t>
  </si>
  <si>
    <t>C2473</t>
  </si>
  <si>
    <t>PINTURA C/ TINTA EPOXI EM ESTRUTURA DE AÇO CARBONO 50 MICRA C/REVÓLVER</t>
  </si>
  <si>
    <t>12.4</t>
  </si>
  <si>
    <t>00043105</t>
  </si>
  <si>
    <t>CHAPA DE ACO CARBONO GALVANIZADA, PERFURADA (GRADE FUROS) E = 1,5 MM, DIAMETRO DO FURO = 9,52 MM (FUROS ALTERNADOS HORIZ.) - 4,5 KG / M2</t>
  </si>
  <si>
    <t>12.5</t>
  </si>
  <si>
    <t>87905</t>
  </si>
  <si>
    <t>CHAPISCO APLICADO EM ALVENARIA (COM PRESENÇA DE VÃOS) E ESTRUTURAS DE CONCRETO DE FACHADA, COM COLHER DE PEDREIRO. ARGAMASSA TRAÇO 1:3 COM PREPARO EM BETONEIRA 400L. AF_10/2022</t>
  </si>
  <si>
    <t>12.6</t>
  </si>
  <si>
    <t>87775</t>
  </si>
  <si>
    <t>EMBOÇO OU MASSA ÚNICA EM ARGAMASSA TRAÇO 1:2:8, PREPARO MECÂNICO COM BETONEIRA 400 L, APLICADA MANUALMENTE EM PANOS DE FACHADA COM PRESENÇA DE VÃOS, ESPESSURA DE 25 MM. AF_08/2022</t>
  </si>
  <si>
    <t>12.7</t>
  </si>
  <si>
    <t>88424</t>
  </si>
  <si>
    <t>APLICAÇÃO MANUAL DE PINTURA COM TINTA TEXTURIZADA ACRÍLICA EM PANOS COM PRESENÇA DE VÃOS DE EDIFÍCIOS DE MÚLTIPLOS PAVIMENTOS, DUAS CORES. AF_03/2024</t>
  </si>
  <si>
    <t>12.8</t>
  </si>
  <si>
    <t>21.03.153</t>
  </si>
  <si>
    <t>REVESTIMENTO EM PLACA DE ALUMÍNIO COMPOSTO "ACM", ESPESSURA DE 3 MM E ACABAMENTO EM POLIÉSTER - USO INTERNO</t>
  </si>
  <si>
    <t>12.9</t>
  </si>
  <si>
    <t>S12182</t>
  </si>
  <si>
    <t>PAINEL METÁLICO TIPO LINEAR PADRÃO 10 X 15 MM, ESP. 0,5MM PARA FIXAÇÃO COM LINHAS NA HORIZONTAL EM PERFIS PORTA-PAINEIS TIPO “V”</t>
  </si>
  <si>
    <t>12.10</t>
  </si>
  <si>
    <t>22.06.240</t>
  </si>
  <si>
    <t>BRISE EM ALUMÍNIO COM PAINÉIS DE GEOMETRIA RETANGULAR E INTERIOR EM CÉLULAS ESTRUTURAIS EM ALUMÍNIO (HONEYCOMB)</t>
  </si>
  <si>
    <t>13</t>
  </si>
  <si>
    <t>PISOS E RODAPÉS</t>
  </si>
  <si>
    <t>13.1</t>
  </si>
  <si>
    <t>PISOS</t>
  </si>
  <si>
    <t>13.1.1</t>
  </si>
  <si>
    <t>21.02.060</t>
  </si>
  <si>
    <t>REVESTIMENTO VINÍLICO, ESPESSURA DE 3,2 MM, PARA TRÁFEGO INTENSO, COM IMPERMEABILIZANTE ACRÍLICO</t>
  </si>
  <si>
    <t>13.1.2</t>
  </si>
  <si>
    <t>13.390.0039-0</t>
  </si>
  <si>
    <t>PISO VINÍLICO EM MANTA CONDUTIVO PARA TRÁFEGO INTENSO, COM ESPESSURA DE 3,2MM E CAPA DE USO DE 0,4MM. COR E PADRÃO CONFORME ESPECIFICADO. SISTEMA DE FIXAÇÃO: COLADO SOBRE BASE REGULARIZADA DE CONCRETO, COM JUNTAS SOLDADAS A QUENTE.</t>
  </si>
  <si>
    <t>13.1.3</t>
  </si>
  <si>
    <t>PISO VINÍLICO EM PLACAS 80X80CM, COM ESPESSURA DE 3,2MM E CAPADE USO DE 0,4MM. COR E PADRÃO CONFORME ESPECIFICADO. SISTEMA DE FIXAÇÃO: COLADO SOBRE BASE REGULARIZADA DE CONCRETO, COM JUNTAS SOLDADAS A QUENTE.</t>
  </si>
  <si>
    <t>13.1.4</t>
  </si>
  <si>
    <t>13.331.0020-0</t>
  </si>
  <si>
    <t>PISO PORCELANATO 90X90CM, ACABAMENTO NATURAL ANTIDERRAPANTE E BORDAS RETIFICADAS. COR CONFORME ESPECIFICADO. ÍNDICE DE ABSORÇÃO DE ÁGUA IGUAL OU MENOR QUE 0,5%, RESISTENCIA QUÍMICA DA CLASSE A E COEFICIENTE DE ATRITO IGUAL OU MAIOR QUE 0,4. REJUNTE DE 2MM, FLEXÍVEL À BASE DE EPÓXI, COR NO PADRÃO DO PORCELANATO.</t>
  </si>
  <si>
    <t>13.1.5</t>
  </si>
  <si>
    <t>88476</t>
  </si>
  <si>
    <t>PISO COM CIMENTO ALISADO COM ARGAMASSA AUTONIVELANTE</t>
  </si>
  <si>
    <t>13.1.6</t>
  </si>
  <si>
    <t>102494</t>
  </si>
  <si>
    <t>PINTURA DE PISO COM TINTA EPÓXI, APLICAÇÃO MANUAL, 2 DEMÃOS, INCLUSO PRIMER EPÓXI. AF_05/2021</t>
  </si>
  <si>
    <t>13.1.7</t>
  </si>
  <si>
    <t>101731</t>
  </si>
  <si>
    <t>PISO QUATZITO PERLA SANTANA 60X60CM. TODAS AS BORDAS E FACES DAS PEÇAS DEVERÃO SER POLIDAS.</t>
  </si>
  <si>
    <t>13.1.8</t>
  </si>
  <si>
    <t>104658</t>
  </si>
  <si>
    <t>PISO PODOTÁTIL DE ALERTA OU DIRECIONAL, DE CONCRETO, ASSENTADO SOBRE ARGAMASSA. AF_03/2024</t>
  </si>
  <si>
    <t>13.1.9</t>
  </si>
  <si>
    <t>105002</t>
  </si>
  <si>
    <t>RAMPA DE ACESSIBILIDADE EM CONCRETO MOLDADO IN LOCO, EM CALÇADA NOVA COM LARGURA MAIOR OU IGUAL À 3,00 M, FCK 25MPA, COM PISO PODOTÁTIL. AF_03/2024</t>
  </si>
  <si>
    <t>13.1.10</t>
  </si>
  <si>
    <t>87642</t>
  </si>
  <si>
    <t>CONTRAPISO EM ARGAMASSA TRAÇO 1:4 (CIMENTO E AREIA), PREPARO MANUAL, APLICADO EM ÁREAS SECAS SOBRE LAJE, ADERIDO, ACABAMENTO NÃO REFORÇADO, ESPESSURA 4CM. AF_07/2021</t>
  </si>
  <si>
    <t>13.1.11</t>
  </si>
  <si>
    <t>101091</t>
  </si>
  <si>
    <t>PISO EM LADRILHO HIDRÁULICO APLICADO EM AMBIENTES EXTERNOS. AF_05/2020</t>
  </si>
  <si>
    <t>13.2</t>
  </si>
  <si>
    <t>RODAPÉS</t>
  </si>
  <si>
    <t>13.2.1</t>
  </si>
  <si>
    <t>13.331.0055-0</t>
  </si>
  <si>
    <t>RODAPÉ CERÂMICO PARA PISO COM PLACAS TIPO PORCELANATO DE DIMENSÕES 90X90 CM, ALTURA 15 CM</t>
  </si>
  <si>
    <t>13.2.2</t>
  </si>
  <si>
    <t>98688</t>
  </si>
  <si>
    <t>RODAPÉ EM POLIESTIRENO, ALTURA 5 CM. AF_09/2020</t>
  </si>
  <si>
    <t>13.2.3</t>
  </si>
  <si>
    <t>98685</t>
  </si>
  <si>
    <t>RODAPÉS EM QUARTZITO, ALTURA 15CM</t>
  </si>
  <si>
    <t>14</t>
  </si>
  <si>
    <t>FORROS</t>
  </si>
  <si>
    <t>14.1</t>
  </si>
  <si>
    <t>22.02.100</t>
  </si>
  <si>
    <t>FORRO EM PAINÉIS DE GESSO ACARTONADO REMOVÍVEL, ACABAMENTO LISO COM PELÍCULA RÍGIDA DE PVC, PLACAS 625X625MM/625X1250MM</t>
  </si>
  <si>
    <t>14.2</t>
  </si>
  <si>
    <t>22.02.030</t>
  </si>
  <si>
    <t>FORRO EM PAINEL DE GESSO ACARTONADO, TIPO STANDARD, ESPESSURA 12,5MM, ESTRUTURA EM AÇO GALVANIZADO</t>
  </si>
  <si>
    <t>14.3</t>
  </si>
  <si>
    <t>87887</t>
  </si>
  <si>
    <t>CHAPISCO APLICADO NO TETO OU EM ESTRUTURA, COM DESEMPENADEIRA DENTADA. ARGAMASSA INDUSTRIALIZADA COM PREPARO EM MISTURADOR 300 KG. AF_10/2022</t>
  </si>
  <si>
    <t>14.4</t>
  </si>
  <si>
    <t>90408</t>
  </si>
  <si>
    <t>MASSA ÚNICA, EM ARGAMASSA TRAÇO 1:2:8, PREPARO MECÂNICO, APLICADA MANUALMENTE EM TETO, E = 10MM, COM TALISCAS. AF_03/2024</t>
  </si>
  <si>
    <t>14.5</t>
  </si>
  <si>
    <t>88484</t>
  </si>
  <si>
    <t>FUNDO SELADOR ACRÍLICO, APLICAÇÃO MANUAL EM TETO, UMA DEMÃO. AF_04/2023</t>
  </si>
  <si>
    <t>14.6</t>
  </si>
  <si>
    <t>88488</t>
  </si>
  <si>
    <t>PINTURA LÁTEX ACRÍLICA PREMIUM, APLICAÇÃO MANUAL EM TETO, DUAS DEMÃOS. AF_04/2023</t>
  </si>
  <si>
    <t>15</t>
  </si>
  <si>
    <t>ABERTURAS, ESQUADRIAS, FERRAGENS E VIDROS (PORTAS E JANELAS)</t>
  </si>
  <si>
    <t>15.1</t>
  </si>
  <si>
    <t>JANELA DE ALUMÍNIO</t>
  </si>
  <si>
    <t>15.1.1</t>
  </si>
  <si>
    <t>25.01.080</t>
  </si>
  <si>
    <t>CAIXILHO EM ALUMÍNIO DE CORRER, SOB MEDIDA</t>
  </si>
  <si>
    <t>15.1.2</t>
  </si>
  <si>
    <t>25.01.470</t>
  </si>
  <si>
    <t>CAIXILHO FIXO TIPO VENEZIANA EM ALUMÍNIO ANODIZADO, SOB MEDIDA - BRANCO</t>
  </si>
  <si>
    <t>15.1.3</t>
  </si>
  <si>
    <t>14.003.0400-0</t>
  </si>
  <si>
    <t>TELA TIPO MOSQUITEIRO, EM POLIETILENO, COM MOLDURA EM PERFIL DE ALUMINIO ANODIZADO.FORNECIMENTO E COLOCACAO</t>
  </si>
  <si>
    <t>15.1.4</t>
  </si>
  <si>
    <t>102179</t>
  </si>
  <si>
    <t>INSTALAÇÃO DE VIDRO TEMPERADO, E = 6 MM, ENCAIXADO EM PERFIL U. AF_01/2021_PS</t>
  </si>
  <si>
    <t>15.1.5</t>
  </si>
  <si>
    <t>94590</t>
  </si>
  <si>
    <t>CONTRAMARCO DE ALUMÍNIO, FIXAÇÃO COM PARAFUSO - FORNECIMENTO E INSTALAÇÃO. AF_11/2024</t>
  </si>
  <si>
    <t>15.1.6</t>
  </si>
  <si>
    <t>SEDOP</t>
  </si>
  <si>
    <t>161384</t>
  </si>
  <si>
    <t>VIDRO LAMINADO E=6MM 3+3MM</t>
  </si>
  <si>
    <t>15.2</t>
  </si>
  <si>
    <t>PELE DE VIDRO</t>
  </si>
  <si>
    <t>15.2.1</t>
  </si>
  <si>
    <t>25.01.450</t>
  </si>
  <si>
    <t>CAIXILHO EM ALUMÍNIO PARA PELE DE VIDRO, TIPO FACHADA</t>
  </si>
  <si>
    <t>15.2.2</t>
  </si>
  <si>
    <t>INSTALAÇÃO DE VIDRO LAMINADO-TEMPERADO, E = 6 MM, REFLETIVO, ENCAIXADO EM PERFIL U. AF_01/2021_PS</t>
  </si>
  <si>
    <t>15.3</t>
  </si>
  <si>
    <t>PORTAS CORTA-FOGO</t>
  </si>
  <si>
    <t>15.3.1</t>
  </si>
  <si>
    <t>24.02.054</t>
  </si>
  <si>
    <t>PORTA CORTA-FOGO CLASSE P.90, COM BARRA ANTIPÂNICO NUMA FACE E MAÇANETA NA OUTRA, COMPLETA</t>
  </si>
  <si>
    <t>15.3.2</t>
  </si>
  <si>
    <t>11398</t>
  </si>
  <si>
    <t>PORTA RADIOLOGIA PRX, EM MADEIRA MACICA BLINDADA COM CHUMBODE 1MM</t>
  </si>
  <si>
    <t>15.3.3</t>
  </si>
  <si>
    <t>28.20.800</t>
  </si>
  <si>
    <t>EQUIPAMENTO AUTOMATIZADOR DE PORTAS DESLIZANTES PARA FOLHA DUPLA</t>
  </si>
  <si>
    <t>15.4</t>
  </si>
  <si>
    <t>PORTAS</t>
  </si>
  <si>
    <t>15.4.1</t>
  </si>
  <si>
    <t>90788</t>
  </si>
  <si>
    <t>PORTA ARTICULADA EM MDF REVESTIDA COM LAMINADO MELAMÍNICO, BATENTE EM ALUMÍNIO - COMPLETA</t>
  </si>
  <si>
    <t>15.4.2</t>
  </si>
  <si>
    <t>91341</t>
  </si>
  <si>
    <t>PORTA EM ALUMÍNIO DE ABRIR TIPO VENEZIANA COM GUARNIÇÃO, FIXAÇÃO COM PARAFUSOS - FORNECIMENTO E INSTALAÇÃO. AF_12/2019</t>
  </si>
  <si>
    <t>15.4.3</t>
  </si>
  <si>
    <t>S14051</t>
  </si>
  <si>
    <t>PORTA DE CORRER EM VIDRO TEMPERADO INCOLOR 10MM, INCLUSIVE FECHADURA, PUXADOR, TRILHOS E ROLDANAS</t>
  </si>
  <si>
    <t>15.4.4</t>
  </si>
  <si>
    <t>15.4.5</t>
  </si>
  <si>
    <t>25.01.400</t>
  </si>
  <si>
    <t>CAIXILHO EM ALUMÍNIO ANODIZADO FIXO</t>
  </si>
  <si>
    <t>15.4.6</t>
  </si>
  <si>
    <t>15.4.7</t>
  </si>
  <si>
    <t>91338</t>
  </si>
  <si>
    <t>PORTA DE ALUMÍNIO DE ABRIR COM LAMBRI, COM GUARNIÇÃO, FIXAÇÃO COM PARAFUSOS - FORNECIMENTO E INSTALAÇÃO. AF_12/2019</t>
  </si>
  <si>
    <t>15.5</t>
  </si>
  <si>
    <t>ACESSÓRIOS PORTA DAS PORTAS</t>
  </si>
  <si>
    <t>15.5.1</t>
  </si>
  <si>
    <t>90830</t>
  </si>
  <si>
    <t>FECHADURA DE EMBUTIR COM CILINDRO, EXTERNA, COMPLETA, ACABAMENTO PADRÃO MÉDIO, INCLUSO EXECUÇÃO DE FURO - FORNECIMENTO E INSTALAÇÃO. AF_12/2019</t>
  </si>
  <si>
    <t>15.5.2</t>
  </si>
  <si>
    <t>90831</t>
  </si>
  <si>
    <t>FECHADURA DE EMBUTIR PARA PORTA DE BANHEIRO, COMPLETA, ACABAMENTO PADRÃO MÉDIO, INCLUSO EXECUÇÃO DE FURO - FORNECIMENTO E INSTALAÇÃO. AF_12/2019</t>
  </si>
  <si>
    <t>15.5.3</t>
  </si>
  <si>
    <t>30.04.060</t>
  </si>
  <si>
    <t>REVESTIMENTO EM CHAPA DE AÇO INOXIDÁVEL PARA PROTEÇÃO DE PORTAS, ALTURA DE 40 CM</t>
  </si>
  <si>
    <t>15.5.4</t>
  </si>
  <si>
    <t>100874</t>
  </si>
  <si>
    <t>PUXADOR PARA PCD, FIXADO NA PORTA - FORNECIMENTO E INSTALAÇÃO. AF_01/2020</t>
  </si>
  <si>
    <t>15.5.5</t>
  </si>
  <si>
    <t>102188</t>
  </si>
  <si>
    <t>MOLA HIDRAULICA DE PISO PARA PORTA DE VIDRO TEMPERADO. AF_01/2021</t>
  </si>
  <si>
    <t>15.5.6</t>
  </si>
  <si>
    <t>00038168</t>
  </si>
  <si>
    <t>PUXADOR TUBULAR RETO DUPLO, EM ALUMINIO CROMADO, COMPRIMENTO DE APROX 400 MM E DIAMETRO DE 25 MM (1")</t>
  </si>
  <si>
    <t>15.6</t>
  </si>
  <si>
    <t>PORTÕES E GRADIL</t>
  </si>
  <si>
    <t>15.6.1</t>
  </si>
  <si>
    <t>S03946</t>
  </si>
  <si>
    <t>GRADIL COM TELA DE ARAME GALVANIZADO FIO 12 BWG, REVESTIDO EM EM PVC, MALHA 2 1/2", FIXADA COM TUBOS DE AÇO GALVANIZADO 2 1/2", FORMANDO QUADROS DE 2.00 X 1.00 M, EXCETO MURETA</t>
  </si>
  <si>
    <t>15.6.2</t>
  </si>
  <si>
    <t>35.03.030</t>
  </si>
  <si>
    <t>CANCELA AUTOMÁTICA METÁLICA COM BARREIRA DE ALUMÍNIO DE 3,50 ATÉ 4,00 M</t>
  </si>
  <si>
    <t>15.6.3</t>
  </si>
  <si>
    <t>S12038</t>
  </si>
  <si>
    <t>PORTÃO EM FERRO, EM TUBO DE AÇO GALV. 2.1/2" E TELA DE AÇO GALV REVESTIDO EM PVC, QUADRANGULAR / LOSANGULAR, FIO 2,77 MM (12 BWG), BITOLA FINAL = *3,8* MM, MALHA 7,5 X 7,5 CM, H = 2 M</t>
  </si>
  <si>
    <t>15.7</t>
  </si>
  <si>
    <t>CORRIMÃO E GUARDA-CORPO</t>
  </si>
  <si>
    <t>15.7.1</t>
  </si>
  <si>
    <t>99841</t>
  </si>
  <si>
    <t>GUARDA-CORPO PANORÂMICO COM PERFIS DE ALUMÍNIO E VIDRO LAMINADO 20 MM, FIXADO COM CHUMBADOR MECÂNICO.</t>
  </si>
  <si>
    <t>15.7.2</t>
  </si>
  <si>
    <t>06.03.062</t>
  </si>
  <si>
    <t>CO-28 CORRIMÃO DUPLO COM MONTANTE VERTICAL AÇO INOX FORNECIDO E INSTALADO</t>
  </si>
  <si>
    <t>15.7.3</t>
  </si>
  <si>
    <t>S07693</t>
  </si>
  <si>
    <t>GUARDA-CORPO EM TUBO DE AÇO INOX Ø=3", COM MONTANTES FLANGEADO EM TUBO INOX Ø=3" E COM FECHAMENTO EM TUBO Ø=2", COM ACABAMENTO POLIDO, H=0,90M, FIXADO NAS EXTREMIDADES</t>
  </si>
  <si>
    <t>15.8</t>
  </si>
  <si>
    <t>ESCADA MARINHEIRO</t>
  </si>
  <si>
    <t>15.8.1</t>
  </si>
  <si>
    <t>06.03.020</t>
  </si>
  <si>
    <t>EM-06 ESCADA DE MARINHEIRO C/GUARDA CORPO GALVANIZADA</t>
  </si>
  <si>
    <t>15.8.2</t>
  </si>
  <si>
    <t>S13125</t>
  </si>
  <si>
    <t>PISO/PLATAFORMA EM CHAPA EXPANDIDA 1/4" ( 0,50 X1,00 ) COM CANTONEIRA L 1/4' X 1/4" OBRA PALÁCIO MUSEU OLÍMPIO CAMPOS</t>
  </si>
  <si>
    <t>15.9</t>
  </si>
  <si>
    <t>PINGADEIRAS E SOLEIRAS</t>
  </si>
  <si>
    <t>15.9.1</t>
  </si>
  <si>
    <t>S03410</t>
  </si>
  <si>
    <t>PEITORIL DE CONCRETO ARMADO COM PINGADEIRA LARGURA 13 CM</t>
  </si>
  <si>
    <t>15.9.2</t>
  </si>
  <si>
    <t>CPU-013</t>
  </si>
  <si>
    <t>SOLEIRAS DE QUARTZITO, ESPESSURA 2,5 CM, ASSENTADA SOBRE ARGAMASSA</t>
  </si>
  <si>
    <t>16</t>
  </si>
  <si>
    <t>COBERTURA E TELHAMENTO</t>
  </si>
  <si>
    <t>16.1</t>
  </si>
  <si>
    <t>94216</t>
  </si>
  <si>
    <t>TELHAMENTO COM TELHA METÁLICA TERMOACÚSTICA E = 30 MM, COM ATÉ 2 ÁGUAS, INCLUSO IÇAMENTO. AF_07/2019</t>
  </si>
  <si>
    <t>16.2</t>
  </si>
  <si>
    <t>00001118</t>
  </si>
  <si>
    <t>CALHA PARA AGUA FURTADA DE CHAPA DE ACO GALVANIZADA NUM 26, CORTE 50 CM</t>
  </si>
  <si>
    <t>16.3</t>
  </si>
  <si>
    <t>94229</t>
  </si>
  <si>
    <t>CALHA EM CHAPA DE AÇO GALVANIZADO NÚMERO 24, DESENVOLVIMENTO DE 100 CM, INCLUSO TRANSPORTE VERTICAL. AF_07/2019</t>
  </si>
  <si>
    <t>16.4</t>
  </si>
  <si>
    <t>16.5</t>
  </si>
  <si>
    <t>S12414</t>
  </si>
  <si>
    <t>TERÇA METÁLICA, EM PERFIL UDC127X50X5,13, P/ USO EM COBERTURAS DE PÓRTICOS DIVERSOS VÃOS, PINTURA 01 DEMÃO EPOXI FUNDO ÓXIDO FERRO + 02 DEMÃOS ESMALTE EPOXI BRANCO</t>
  </si>
  <si>
    <t>16.6</t>
  </si>
  <si>
    <t>S12508</t>
  </si>
  <si>
    <t>ESTRUTURA METÁLICA P/ COBERTURA C/VIGAS-TRELIÇA PRATT UDC75 E TERÇAS EM UDC 127, 2 ÁGUAS, SEM LANTERNIN, VÃOS 6,0 A 10,0M, PINTADO 1 D OXIDO FERRO + 2 D ESMALTE EPÓXI BRANCO, EXCETO FORN. TELHAS - EXECUTADA</t>
  </si>
  <si>
    <t>16.7</t>
  </si>
  <si>
    <t>08.15.40</t>
  </si>
  <si>
    <t>CUMEEIRA METALICA GALVANIZADA TRAPEZOIDAL E= 0,50MM (SIMPLES) ADP REF 100326</t>
  </si>
  <si>
    <t>16.8</t>
  </si>
  <si>
    <t>16.33.022</t>
  </si>
  <si>
    <t>CALHA, RUFO, AFINS EM CHAPA GALVANIZADA Nº 24 - CORTE 0,33 M</t>
  </si>
  <si>
    <t>16.9</t>
  </si>
  <si>
    <t>COM-13758381</t>
  </si>
  <si>
    <t>TELHADO VERDE (M2)</t>
  </si>
  <si>
    <t>17</t>
  </si>
  <si>
    <t>MUROS E MURETAS</t>
  </si>
  <si>
    <t>17.1</t>
  </si>
  <si>
    <t>103322</t>
  </si>
  <si>
    <t>ALVENARIA DE VEDAÇÃO DE BLOCOS CERÂMICOS FURADOS NA VERTICAL DE 9X19X39 CM (ESPESSURA 9 CM) E ARGAMASSA DE ASSENTAMENTO COM PREPARO EM BETONEIRA. AF_12/2021</t>
  </si>
  <si>
    <t>17.2</t>
  </si>
  <si>
    <t>17.3</t>
  </si>
  <si>
    <t>17.4</t>
  </si>
  <si>
    <t>88423</t>
  </si>
  <si>
    <t>APLICAÇÃO MANUAL DE PINTURA COM TINTA TEXTURIZADA ACRÍLICA EM PAREDES EXTERNAS DE CASAS, UMA COR. AF_03/2024</t>
  </si>
  <si>
    <t>17.5</t>
  </si>
  <si>
    <t>18</t>
  </si>
  <si>
    <t>ACABAMENTOS, TAMPOS, LOUÇAS E METAIS</t>
  </si>
  <si>
    <t>18.1</t>
  </si>
  <si>
    <t>PROTETORES DE PAREDE, CORRIMÃO E CORTINHA LEITO</t>
  </si>
  <si>
    <t>18.1.1</t>
  </si>
  <si>
    <t>PROTETOR DE PAREDE EM PVC LARGURA 200MM, ESPESSURA 3,5MM, COR AZUL ESCURO, REF. TECNOPERFIL TEC198N OU EQUIVALENTE TÉCNICO - FORNECIMENTO E INSTALAÇÃO</t>
  </si>
  <si>
    <t>18.1.2</t>
  </si>
  <si>
    <t>27.04.040</t>
  </si>
  <si>
    <t>CORRIMÃO, BATE-MACA OU PROTETOR DE PAREDE EM PVC, COM AMORTECIMENTO À IMPACTO, ALTURA DE 131 MM, REF. TECNOPERFIL TEC 026N OU EQUIVALENTE TÉCNICO - FORNECIMENTO E INSTALAÇÃO</t>
  </si>
  <si>
    <t>18.1.3</t>
  </si>
  <si>
    <t>21.20.410</t>
  </si>
  <si>
    <t>CANTONEIRA DE SOBREPOR EM PVC, ALTURA 1,50M, COM ABAS IGUAIS (25X25MM), COR CINZAACETINADO, ESPESSURA 3,5MM - FORNECIMENTO E INSTALAÇÃO</t>
  </si>
  <si>
    <t>18.1.4</t>
  </si>
  <si>
    <t>27.04.070</t>
  </si>
  <si>
    <t>BATE-MACA OU PROTETOR DE PAREDE EM PVC, COM ALTURA DE 200MM, BARRA DE 4M, REF. TEC 200 DA TECNOPERFIL OU EQUIVALENTE</t>
  </si>
  <si>
    <t>18.2</t>
  </si>
  <si>
    <t>LOUÇAS</t>
  </si>
  <si>
    <t>18.2.1</t>
  </si>
  <si>
    <t>S07759</t>
  </si>
  <si>
    <t>LAVATÓRIO LOUÇA (DECA-LINHA VOGUE PLUS CONFORTO, REF L-510 OU SIMILAR) COM COLUNA SUSPENSA, (DECA, LINHA VOGUE PLUS CONFORTO, REF. C-510 OU SIMILAR), C/ SIFÃO CROMADO, VÁLVULA CROMADA, ENGATE CROMADO, EXCLUSIVE TORNEIRA</t>
  </si>
  <si>
    <t>18.2.2</t>
  </si>
  <si>
    <t>S07375</t>
  </si>
  <si>
    <t>MICTÓRIO DE LOUÇA COM SIFÃO INTEGRADO (DECA REF M712), ENGATE CROMADO (DECA REF C4606180) E VÁLVULA MICTÓRIO ANTIVANDALISMO(DOCOL REF.17015106) OU SIMILARES</t>
  </si>
  <si>
    <t>18.2.3</t>
  </si>
  <si>
    <t>S02016</t>
  </si>
  <si>
    <t>TANQUE DE LOUÇA (DECA REFTQ 03) COM COLUNA (DECA REFCT 25), COM TORNEIRA METÁLICA (DECA LINHA C23 REF 1153), C/ VÁLVULA DE PLÁSTICO E CONJUNTO DE FIXAÇÃO OU SIMILARES</t>
  </si>
  <si>
    <t>18.2.4</t>
  </si>
  <si>
    <t>CPU-HSP-1196</t>
  </si>
  <si>
    <t>LO04 BACIA SANITÁRIA CONVENCIONAL CONFORTO SEM ABERTURA FRONTAL, BACIA MAIS ALTA, LINHA VOGUE PLUS CONFORT, REF. P.510.17 (0,36X0,53 / H= 0,44), COR BRANCO GELO GE17, MARCA DECA OU SIMILAR DE IDÊNTICA ESPECIFICAÇÃO TÉCNICA, ALTURA 43 A 45 DO PISO ACABADO OU SIMILAR DE IDÊNTICA ESPECIFICAÇÃO TÉCNICA. ASSENTO VOGUE PLUS – TERMOFIXO COR BRANCO GELO GE17 REF.: AP 513 DA MARCA DECA OU SIMILAR DE IDÊNTICA ESPECIFICAÇÃO TÉCNICA. - BDI = 23,50</t>
  </si>
  <si>
    <t>18.3</t>
  </si>
  <si>
    <t>TAMPOS E CUBAS EM INOX</t>
  </si>
  <si>
    <t>18.3.1</t>
  </si>
  <si>
    <t>44.02.200</t>
  </si>
  <si>
    <t>TAMPO/BANCADA EM CONCRETO ARMADO, REVESTIDO EM AÇO INOXIDÁVEL FOSCO POLIDO</t>
  </si>
  <si>
    <t>18.3.2</t>
  </si>
  <si>
    <t>44.06.300</t>
  </si>
  <si>
    <t>CUBA EM AÇO INOXIDÁVEL SIMPLES DE 400X340X140MM</t>
  </si>
  <si>
    <t>18.3.3</t>
  </si>
  <si>
    <t>44.06.330</t>
  </si>
  <si>
    <t>CUBA EM AÇO INOXIDÁVEL SIMPLES DE 500X400X400MM</t>
  </si>
  <si>
    <t>18.3.4</t>
  </si>
  <si>
    <t>44.06.520</t>
  </si>
  <si>
    <t>CUBA EM AÇO INOXIDÁVEL SIMPLES DE 600X500X400MM</t>
  </si>
  <si>
    <t>18.3.5</t>
  </si>
  <si>
    <t>S13262</t>
  </si>
  <si>
    <t>FUNIL EXPURGO HOSPITALAR DE AÇO INOX 304 290X300MM E= 0,8MM SEM MESA PARA EMBUTIR - MIRNOX OU SIMILAR</t>
  </si>
  <si>
    <t>18.3.6</t>
  </si>
  <si>
    <t>S13662</t>
  </si>
  <si>
    <t>BANCADA EM PEDRA SILESTONE BRANCO, E=2CM</t>
  </si>
  <si>
    <t>18.3.7</t>
  </si>
  <si>
    <t>S13663</t>
  </si>
  <si>
    <t>TESTEIRA EM PEDRA SILESTONE BRANCA, L=15 CM, APLICADO COM ARGAMASSA INDUSTRIALIZADA AC-I</t>
  </si>
  <si>
    <t>18.3.8</t>
  </si>
  <si>
    <t>S.04.000.065676</t>
  </si>
  <si>
    <t>TAMPO EM MDF DE 25 MM DE ESPESSURA COM LAMINADO MELAMÍNICO</t>
  </si>
  <si>
    <t>18.4</t>
  </si>
  <si>
    <t>METAIS</t>
  </si>
  <si>
    <t>18.4.1</t>
  </si>
  <si>
    <t>100868</t>
  </si>
  <si>
    <t>BARRA DE APOIO RETA, EM ACO INOX POLIDO, COMPRIMENTO 80 CM, FIXADA NA PAREDE - FORNECIMENTO E INSTALAÇÃO. AF_01/2020</t>
  </si>
  <si>
    <t>18.4.2</t>
  </si>
  <si>
    <t>100867</t>
  </si>
  <si>
    <t>BARRA DE APOIO RETA, EM ACO INOX POLIDO, COMPRIMENTO 70 CM, FIXADA NA PAREDE - FORNECIMENTO E INSTALAÇÃO. AF_01/2020</t>
  </si>
  <si>
    <t>18.4.3</t>
  </si>
  <si>
    <t>COMP-59826305</t>
  </si>
  <si>
    <t>BARRA DE APOIO RETA, EM AÇO INOX POLIDO, COMPRIMENTO 75 CM, FIXADA NA PAREDE - FORNECIMENTO E INSTALAÇÃO.</t>
  </si>
  <si>
    <t>18.4.4</t>
  </si>
  <si>
    <t>SAP-046</t>
  </si>
  <si>
    <t>BARRA DE APOIO RETA, EM AÇO INOX POLIDO, COMPRIMENTO 40 CM, FIXADA NA PAREDE - FORNECIMENTO E INSTALAÇÃO.</t>
  </si>
  <si>
    <t>18.4.5</t>
  </si>
  <si>
    <t>100864</t>
  </si>
  <si>
    <t>BARRA DE APOIO EM "L", EM ACO INOX POLIDO 80 X 80 CM, FIXADA NA PAREDE - FORNECIMENTO E INSTALACAO. AF_01/2020</t>
  </si>
  <si>
    <t>18.4.6</t>
  </si>
  <si>
    <t>00036796</t>
  </si>
  <si>
    <t>TORNEIRA METALICA CROMADA DE MESA, PARA LAVATORIO, TEMPORIZADA PRESSAO FECHAMENTO AUTOMATICO, BICA BAIXA</t>
  </si>
  <si>
    <t>18.4.7</t>
  </si>
  <si>
    <t>00011771</t>
  </si>
  <si>
    <t>MISTURADOR DE PAREDE, DE METAL CROMADO, PARA COZINHA, BICA ALTA MOVEL, COM AREJADOR ARTICULADO</t>
  </si>
  <si>
    <t>18.4.8</t>
  </si>
  <si>
    <t>S13761</t>
  </si>
  <si>
    <t>TORNEIRA PARA LAVATORIO COM ACIONAMENTO COTOVELO</t>
  </si>
  <si>
    <t>18.4.9</t>
  </si>
  <si>
    <t>00011772</t>
  </si>
  <si>
    <t>TORNEIRA METALICA CROMADA, DE MESA/BANCADA, PARA COZINHA, BICA MOVEL, COM AREJADOR, 1/2" OU 3/4"</t>
  </si>
  <si>
    <t>18.4.10</t>
  </si>
  <si>
    <t>S11748</t>
  </si>
  <si>
    <t>TORNEIRA PARA LAVATÓRIO, DE MESA, BICA ALTA, LINHA LINK CONFORTO, REF.1196 C.LNK DA DECA OU SIMILAR, INCLUSIVE FURO PARA INSTALAÇÃO EM BANCADA</t>
  </si>
  <si>
    <t>18.4.11</t>
  </si>
  <si>
    <t>S13845</t>
  </si>
  <si>
    <t>TORNEIRA DE MESA COM FECHAMENTO AUTOMÁTICO PARA LAVATÓRIO, CROMADO, LINHA DECAMATIC ECO CONFORTO, REF. 1173.C.CONF DECA OU SIMILAR, INCLUSIVE INSTALAÇÃO</t>
  </si>
  <si>
    <t>18.4.12</t>
  </si>
  <si>
    <t>S09676</t>
  </si>
  <si>
    <t>TORNEIRA DE MESA COM FECHAMENTO AUTOMÁTICO, LINHA DECAMATIC ECO, REF.1173.C, DECA OU SIMILAR</t>
  </si>
  <si>
    <t>18.4.13</t>
  </si>
  <si>
    <t>S13649</t>
  </si>
  <si>
    <t>CHUVEIRO EM AÇO INOX CROMADO COM TUBO, DE PAREDE, LINHA MAX REF.: 1977.C.CT, DECA OU SIMILAR</t>
  </si>
  <si>
    <t>18.5</t>
  </si>
  <si>
    <t>MARCENARIA</t>
  </si>
  <si>
    <t>18.5.1</t>
  </si>
  <si>
    <t>EMBASA</t>
  </si>
  <si>
    <t>D170000073</t>
  </si>
  <si>
    <t>PRATELEIRA EM CHAPA DE MDF, REVESTIDO EM LAMINADO MELAMINICO, E=18 MM</t>
  </si>
  <si>
    <t>18.5.2</t>
  </si>
  <si>
    <t>251463</t>
  </si>
  <si>
    <t>ARMÁRIO EM MDF (C/ GAVETAS/PRATELEIRAS E PORTAS)</t>
  </si>
  <si>
    <t>18.5.3</t>
  </si>
  <si>
    <t>3.01.60</t>
  </si>
  <si>
    <t>BR-05 TAMPO MDF 25MM C/LAMINADO POSTFORMING 6MM G1-C7</t>
  </si>
  <si>
    <t>19</t>
  </si>
  <si>
    <t>COMUNICAÇÃO VISUAL</t>
  </si>
  <si>
    <t>19.1</t>
  </si>
  <si>
    <t>CPU-HSP-0028</t>
  </si>
  <si>
    <t>ADS-PE - ADESIVO PUXE E EMPURRE, COMPOSTO DE FAIXA EM PELÍCULA DE VINIL AUTOADESIVO PARA VIDRO COMO EFEITO JATEADO E QUADRO EM VINIL AUTOADESIVO COR BRANCO COM INFORMAÇÕES NA COR CINZA, CONFORME MEMORIAL.</t>
  </si>
  <si>
    <t>19.2</t>
  </si>
  <si>
    <t>CPU-HSP-0075</t>
  </si>
  <si>
    <t>ASG-IG - APRESENTAÇÃO DE SENHA DE ATENDIMENTO E GUICHÊ - IDENFICAÇÃO DE GUICHÊ -PLACA SUSPENSA COM ESTRUTURA TUBULAR METÁLICA REVESTIDA COM CHAPA DE ACM COM APLICAÇÃO DE VINIL ADESIVO, FIXADO COM CABOS DE AÇO NA LAJE, CONFORME MEMORIAL. DIMENSÃO TOTAL: 75X25CM (CXA)</t>
  </si>
  <si>
    <t>19.3</t>
  </si>
  <si>
    <t>CPU-HSP-0076</t>
  </si>
  <si>
    <t>ASG-PE - APRESENTAÇÃO DE SENHA DE ATENDIMENTO E GUICHÊ - PAINEL ELETRÔNICO, FIXAÇÃO COM CABO DE AÇO, MODELO A SER DEFINIDO PELA INSTITUIÇÃO - SOMENTE INSTALAÇÃO</t>
  </si>
  <si>
    <t>19.4</t>
  </si>
  <si>
    <t>CPU-HSP-0077</t>
  </si>
  <si>
    <t>ASSINATURA DE FACHADA - ASF, EM LETRA CAIXA DE CHAPA DE AÇO GALVANIZADO COM ACABAMENTO EM PINTURA AUTOMOTIVA</t>
  </si>
  <si>
    <t>19.5</t>
  </si>
  <si>
    <t>CPU-HSP-0080</t>
  </si>
  <si>
    <t>AVR - ASSINATURA VISUAL DE RECEPÇÕES E AMBIENTES ESPECIAIS, EM CHAPA DE ACRÍLICO RECORTADO A LASER COM PINTURA EM TINTA AUTOMOTIVA, CONFORME MEMORIAL.</t>
  </si>
  <si>
    <t>19.6</t>
  </si>
  <si>
    <t>CPU-HSP-0127</t>
  </si>
  <si>
    <t>BCI-A4 - BOLSAS DE COMUNICAÇÃO INTERNA - FORMATO A4 - BANDEJA EM CHAPA ACRÍLICA DE CRISTAL 2MM, COM TESTEIRA IMPRESSA SOBRE VINIL AUTOADESIVO, CONFORME MEMORIAL. DIMENSÃO TOTAL: 22X35CM (CXA)</t>
  </si>
  <si>
    <t>19.7</t>
  </si>
  <si>
    <t>CPU-HSP-0638</t>
  </si>
  <si>
    <t>DPA - PAINÉIS DIRETÓRIOS DE PAVIMENTOS/ HALL DE ELEVADORES - MODELO DE 13 ATÉ 16 PAVIMENTOS - PLACA EM CHAPA DE PVC 2MM COM APLICAÇÃO DE VINIL ADESIVO, CONFORME MEMORIAL. DIMENSÃO TOTAL: 80X272CM (CXA)</t>
  </si>
  <si>
    <t>19.8</t>
  </si>
  <si>
    <t>CPU-HSP-1353</t>
  </si>
  <si>
    <t>PAS - PLACA DE IDENTIFICAÇÃO DE ACESSO DE SERVIÇO/ CARGA E DESCARGA, COM MOLDURA METÁLICA COM FECHAMENTO EM CHAPA DE ACM, COM INFORMAÇÕES EM VINIL ADESIVO, CONFORME MEMORIAL. DIMENSÃO TOTAL: 70X70CM + 140X70CM (CXA)</t>
  </si>
  <si>
    <t>19.9</t>
  </si>
  <si>
    <t>CPU-HSP-1358</t>
  </si>
  <si>
    <t>PCI - PAINEL DE COMUNICAÇÃO INTERNA - MURAL EM PLACA DE CHAPA DE ACRÍLICO TRASNPARENTE COM BANDEJASA EM CHAPA ACRÍLICA DE CRISTAL, COM TESTEIRA IMPRESSA SOBRE VINIL AUTOADESIVO, CONFORME MEMORIAL. DIMENSÃO TOTAL: 120X80CM (CXA)</t>
  </si>
  <si>
    <t>19.10</t>
  </si>
  <si>
    <t>CPU-HSP-1359</t>
  </si>
  <si>
    <t>PDE - PAINÉIS DIRETÓRIOS ELEVADORES - PLACA EM CHAPA DE PVC 2MM COM APLICAÇÃO DE VINIL ADESIVO, CONFORME MEMORIAL. DIMENSÃO TOTAL:40X168CM (CXA)</t>
  </si>
  <si>
    <t>19.11</t>
  </si>
  <si>
    <t>CPU-HSP-1360</t>
  </si>
  <si>
    <t>PDI - PLACA DIRECIONAL DE PAREDE - PLACA EM CHAPA DE PVC 2MM COM APLICAÇÃO DE VINIL ADESIVO, CONFORME MEMORIAL. DIMENSÃO TOTAL: 80X80CM (CXA)</t>
  </si>
  <si>
    <t>19.12</t>
  </si>
  <si>
    <t>CPU-HSP-1361</t>
  </si>
  <si>
    <t>PDS - PLACA DIRECIONAL SUSPENSA -ESTRUTURA TUBULAR METÁLICA REVESTIDA COM CHAPA DE ACM COM APLICAÇÃO DE VINIL ADESIVO, FIXADO COM CABOS DE AÇO NA LAJE, CONFORME MEMORIAL. DIMENSÃO TOTAL: 125X25CM (CXA)</t>
  </si>
  <si>
    <t>19.13</t>
  </si>
  <si>
    <t>CPU-HSP-1411</t>
  </si>
  <si>
    <t>PIA-IA - PLACA DE IDENTIFICAÇÃO DE ALAS/ SETORES/ SALAS - PLACA SUSPENSA - ESTRUTURA TUBULAR METÁLICA REVESTIDA COM CHAPA DE ACM COM APLICAÇÃO DE VINIL ADESIVO, FIXADO COM CABOS DE AÇO NA LAJE, CONFORME MEMORIAL. DIMENSÃO TOTAL: 100X25CM (CXA)</t>
  </si>
  <si>
    <t>19.14</t>
  </si>
  <si>
    <t>CPU-HSP-1413</t>
  </si>
  <si>
    <t>PIA-ST - PLACA DE IDENTIFICAÇÃO DE ALAS/ SETORES/ SALAS - PLACA DE SETOR - BASTIDOR EM CHAPA DE ALUMÍNIO COM PLACA EM CHAPA DE PVC 2MM COM APLICAÇÃO DE VINIL ADESIVO, CONFORME MEMORIAL. DIMENSÃO TOTAL: 35X80CM (CXA)</t>
  </si>
  <si>
    <t>19.15</t>
  </si>
  <si>
    <t>CPU-HSP-1415</t>
  </si>
  <si>
    <t>PIH - PLACA INFORMATIVA DE HORÁRIO DE FUNCIONAMENTO, COM MOLDURA METÁLICA COM FECHAMENTO EM CHAPA DE ACM, COM INFORMAÇÕES EM VINIL ADESIVO, CONFORME MEMORIAL. DIMENSÃO TOTAL: 60X60CM (CXA)</t>
  </si>
  <si>
    <t>19.16</t>
  </si>
  <si>
    <t>CPU-HSP-1417</t>
  </si>
  <si>
    <t>PIL-V - PLACA DE IDENTIFICAÇÃO DE LEITOS -VERTICAL - BANDEJA EM CHAPA ACRÍLICA CRISTAL 2MM, RECORTADA PARA FOLHAS A4, E INFORMAÇÃO NUMÉRICA IMPRESSA SOBRE VINIL AUTOADESIVO APLICADA NA CHAPA ACRÍLICA, CONFORME MEMORIAL. DIMENSÃO TOTAL: 22X53CM (CXA)</t>
  </si>
  <si>
    <t>19.17</t>
  </si>
  <si>
    <t>CPU-HSP-1431</t>
  </si>
  <si>
    <t>PIP - PLACA DE IDENTIFICAÇÃO DE PAVIMENTOS - PLACA DE PAREDE - BASTIDOR EM CHAPA DE ALUMÍNIO COM PLACA EM CHAPA DE PVC 2MM COM APLICAÇÃO DE VINIL ADESIVO, CONFORME MEMORIAL. DIMENSÃO TOTAL: 25X25CM (CXA)</t>
  </si>
  <si>
    <t>19.18</t>
  </si>
  <si>
    <t>CPU-HSP-1494</t>
  </si>
  <si>
    <t>PLO 01 - PLOTAGEM EM ADESIVO VINÍLICO COM ACABAMENTO FOSCO, PADRÃO CIMENTO QUEIMADO, CONFORME MEMORIAL</t>
  </si>
  <si>
    <t>19.19</t>
  </si>
  <si>
    <t>CPU-HSP-1495</t>
  </si>
  <si>
    <t>PLO 02 - PLOTAGEM EM ADESIVO VINÍLICO COM ACABAMENTO FOSCO, PADRÃO GEOMÉTRICO CIRCULAR, CONFORME MEMORIAL</t>
  </si>
  <si>
    <t>19.20</t>
  </si>
  <si>
    <t>CPU-HSP-1496</t>
  </si>
  <si>
    <t>PLO 03 - PLOTAGEM EM ADESIVO VINÍLICO COM ACABAMENTO FOSCO, PADRÃO FLORAL, CONFORME MEMORIAL</t>
  </si>
  <si>
    <t>19.21</t>
  </si>
  <si>
    <t>CPU-HSP-1497</t>
  </si>
  <si>
    <t>PLO 04 - PLOTAGEM EM ADESIVO VINÍLICO COM ACABAMENTO FOSCO, PADRÃO FIGURAS MATERNAS, CONFORME MEMORIAL</t>
  </si>
  <si>
    <t>19.22</t>
  </si>
  <si>
    <t>CPU-HSP-1498</t>
  </si>
  <si>
    <t>PLO 05 - PLOTAGEM EM ADESIVO VINÍLICO COM ACABAMENTO FOSCO, PADRÃO ESTILO BOHO, CONFORME MEMORIAL</t>
  </si>
  <si>
    <t>19.23</t>
  </si>
  <si>
    <t>CPU-HSP-1499</t>
  </si>
  <si>
    <t>PLO 06, 07, 10, 11, 12, 13, 14, 15 E 16 - PLOTAGEM EM ADESIVO VINÍLICO COM ACABAMENTO FOSCO, PADRÃO MONTANHAS AQUARELADAS, CONFORME MEMORIAL</t>
  </si>
  <si>
    <t>19.24</t>
  </si>
  <si>
    <t>CPU-HSP-1500</t>
  </si>
  <si>
    <t>PLO 08 - PLOTAGEM EM ADESIVO VINÍLICO COM ACABAMENTO FOSCO, PADRÃO INFANTIL, CONFORME MEMORIAL</t>
  </si>
  <si>
    <t>19.25</t>
  </si>
  <si>
    <t>CPU-HSP-1501</t>
  </si>
  <si>
    <t>PLO 09 - PLOTAGEM EM ADESIVO VINÍLICO COM ACABAMENTO FOSCO, PADRÃO INFANTIL, CONFORME MEMORIAL</t>
  </si>
  <si>
    <t>19.26</t>
  </si>
  <si>
    <t>CPU-HSP-1548</t>
  </si>
  <si>
    <t>PPA - PLACA DE IDENTIFICAÇÃO DE PORTÃO DE ACESSO, COM MOLDURA METÁLICA COM FECHAMENTO EM CHAPA DE ACM, COM INFORMAÇÕES EM VINIL ADESIVO, CONFORME MEMORIAL. DIMENSÃO TOTAL: 70X70CM (CXA)</t>
  </si>
  <si>
    <t>19.27</t>
  </si>
  <si>
    <t>CPU-HSP-1549</t>
  </si>
  <si>
    <t>PP-AC - PLACA INDICATIVA DE PORTAS - ACESSIBILIDADE - PLACA EM CHAPA DE PVC 2MM COM APLICAÇÃO DE VINIL ADESIVO, CONFORME MEMORIAL. DIMENSÃO TOTAL: 50X17CM (CXA) + 17X17CM</t>
  </si>
  <si>
    <t>19.28</t>
  </si>
  <si>
    <t>CPU-HSP-1550</t>
  </si>
  <si>
    <t>PPE-B - PLACA DE IDENTIFICAÇÃO DE ALAS/ SETORES/ SALAS - MODELO BANDEIRA - BASTIDOR EM CHAPA DE ALUMÍNIO COM PLACA EM CHAPA ACM 2MM COM APLICAÇÃO DE VINIL ADESIVO, CONFORME MEMORIAL. DIMENSÃO TOTAL: 25X25CM (CXA)</t>
  </si>
  <si>
    <t>19.29</t>
  </si>
  <si>
    <t>CPU-HSP-1551</t>
  </si>
  <si>
    <t>PPE-IA - PLACA DE IDENTIFICAÇÃO DE POSTO DE ENFERMAGEM - PLACA SUSPENSA - ESTRUTURA TUBULAR METÁLICA REVESTIDA COM CHAPA DE ACM COM APLICAÇÃO DE VINIL ADESIVO, FIXADO COM CABOS DE AÇO NA LAJE, CONFORME MEMORIAL. DIMENSÃO TOTAL: 150X25CM (CXA)</t>
  </si>
  <si>
    <t>19.30</t>
  </si>
  <si>
    <t>CPU-HSP-1552</t>
  </si>
  <si>
    <t>PP-P - PLACA INDICATIVA DE PORTAS - PICTOGRAMA - PLACA EM CHAPA DE PVC 2MM COM APLICAÇÃO DE VINIL ADESIVO, CONFORME MEMORIAL. DIMENSÃO TOTAL: 17X17CM (CXA)</t>
  </si>
  <si>
    <t>19.31</t>
  </si>
  <si>
    <t>CPU-HSP-1553</t>
  </si>
  <si>
    <t>PP-SR - PLACA INDICATIVA DE PORTAS - SALA DE RADIOLOGIA - PLACA EM CHAPA DE PVC 2MM COM APLICAÇÃO DE VINIL ADESIVO, CONFORME MEMORIAL. DIMENSÃO TOTAL: 50X17CM (CXA) + 4 PLACAS 17X17CM</t>
  </si>
  <si>
    <t>19.32</t>
  </si>
  <si>
    <t>CPU-HSP-1554</t>
  </si>
  <si>
    <t>PP-TN - PLACA INDICATIVA DE PORTAS - TEXTO E NUMERAÇÃO - PLACA EM CHAPA DE PVC 2MM COM APLICAÇÃO DE VINIL ADESIVO, CONFORME MEMORIAL. DIMENSÃO TOTAL: 50X17CM (CXA)</t>
  </si>
  <si>
    <t>19.33</t>
  </si>
  <si>
    <t>CPU-HSP-1555</t>
  </si>
  <si>
    <t>PP-TP - PLACA INDICATIVA DE PORTAS - TEXTO E PICTOGRAMA - PLACA EM CHAPA DE PVC 2MM COM APLICAÇÃO DE VINIL ADESIVO, CONFORME MEMORIAL. DIMENSÃO TOTAL: 50X17CM (CXA)</t>
  </si>
  <si>
    <t>19.34</t>
  </si>
  <si>
    <t>CPU-HSP-1556</t>
  </si>
  <si>
    <t>PP-TS - PLACA INDICATIVA DE PORTAS - TEXTO SIMPLES - PLACA EM CHAPA DE PVC 2MM COM APLICAÇÃO DE VINIL ADESIVO, CONFORME MEMORIAL. DIMENSÃO TOTAL: 50X17CM (CXA)</t>
  </si>
  <si>
    <t>19.35</t>
  </si>
  <si>
    <t>CPU-HSP-1571</t>
  </si>
  <si>
    <t>PRS-17 - PLACA RESTRITIVA E DE SEGURANÇA - 17X17CM - PLACA EM CHAPA DE PVC 2MM COM APLICAÇÃO DE VINIL ADESIVO, CONFORME MEMORIAL.</t>
  </si>
  <si>
    <t>19.36</t>
  </si>
  <si>
    <t>CPU-HSP-1572</t>
  </si>
  <si>
    <t>PRS-32 - PLACA RESTRITIVA E DE SEGURANÇA - 32X42CM - PLACA EM CHAPA DE PVC 2MM COM APLICAÇÃO DE VINIL ADESIVO, CONFORME MEMORIAL.</t>
  </si>
  <si>
    <t>19.37</t>
  </si>
  <si>
    <t>CPU-HSP-1944</t>
  </si>
  <si>
    <t>SINALIZAÇÃO DE PROIBIÇÃO-SA-PA - PLACAS EM PCV 2MM, FIXAÇÃO COM FITA DUPLA FACE</t>
  </si>
  <si>
    <t>19.38</t>
  </si>
  <si>
    <t>CPU-HSP-1945</t>
  </si>
  <si>
    <t>SINALIZAÇÃO DE PROIBIÇÃO-SP-PP - PLACAS EM PCV 2MM, FIXAÇÃO COM FITA DUPLA FACE</t>
  </si>
  <si>
    <t>19.39</t>
  </si>
  <si>
    <t>CPU-HSP-1971</t>
  </si>
  <si>
    <t>TAE-M - TESTEIRA PARA IDENTIFICAÇÃO DE ACESSO A ÁREAS ESPECIAIS DO HOSPITAL - P</t>
  </si>
  <si>
    <t>19.40</t>
  </si>
  <si>
    <t>CPU-HSP-1972</t>
  </si>
  <si>
    <t>TAH-M - TESTEIRA PARA IDENTIFICAÇÃO DE ACESSO AO HOSPITAL- MÉDIO, COM ESTRUTURA TUBULAR METÁLICA, COM FECHAMENTO EM CHAPA DE ACM 3MM, COM SÍMBOLO E TEXTOS EM CHAPA DE ACRÍLICO 10MM COM RECORTE A LASER E PINTURA AUTOMOTIVA NAS CORES DO HOSPITAL, CONFORME MEMORIAL. DIMENSÃO TOTAL: 600X100CM (CXA)</t>
  </si>
  <si>
    <t>19.41</t>
  </si>
  <si>
    <t>CPU-HSP-2123</t>
  </si>
  <si>
    <t>TIA-P - TESTEIRA PARA IDENTIFICAÇÃO DE ACESSOS/SETORES, COM CAIXA EM ESTRUTURA TUBULAR METÁLICA, COM FECHAMENTO EM CHAPA DE AÇO GALVANIZADO COM PINTURA AUTOMOTIVA COR BRANCO, COM INFORMAÇÕES EM VINIL ADESIVO, CONFORME MEMORIAL. DIMENSÃO TOTAL: 200X40CM (CXA)</t>
  </si>
  <si>
    <t>19.42</t>
  </si>
  <si>
    <t>CPU-HSP-2124</t>
  </si>
  <si>
    <t>TIE-P - TESTEIRA PARA IDENTIFICAÇÃO DE ACESSO À EMERGÊNCIA - PEQUENO, COM ESTRUTURA TUBULAR METÁLICA, COM FECHAMENTO EM CHAPA DE ACM 3MM, COM SÍMBOLO E TEXTOS EM CHAPA DE ACRÍLICO 10MM COM RECORTE A LASER E PINTURA AUTOMOTIVA NAS CORES DO HOSPITAL, CONFORME MEMORIAL. DIMENSÃO TOTAL: 600X100CM (CXA)</t>
  </si>
  <si>
    <t>19.43</t>
  </si>
  <si>
    <t>CPU-HSP-1931</t>
  </si>
  <si>
    <t>SDP - SINALIZAÇÃO DE PISO EM VINIL ADESIVO COM APLICACAO DE LAMINAÇÃO FOSCA, NAS CORES INDICADAS NO PROJETO, LARGURA=10CM</t>
  </si>
  <si>
    <t>19.44</t>
  </si>
  <si>
    <t>CPU-EBSERH-0102</t>
  </si>
  <si>
    <t>TOV-G - TOTEM VERTICAL- GRANDE, COM BASE SAPATA DE CONCRETO E ESTRUTURA TUBULAR METÁLICA, COM FECHAMENTO EM CHAPA DE ACM 3MM COR CINZA E LATERAIS BRANCO, COM SÍMBOLO E TEXTOS EM CHAPA DE ACRÍLICO 10MM COM RECORTE A LASER E PINTURA AUTOMOTIVA NAS CORES DO HOSPITAL, CONFORME MEMORIAL. DIMENSÃO TOTAL: 140 X 900</t>
  </si>
  <si>
    <t>19.45</t>
  </si>
  <si>
    <t>CPU-EBSERH-0103</t>
  </si>
  <si>
    <t>TOV-P - TOTEM VERTICAL- PEQUENO, COM BASE SAPATA DE CONCRETO E ESTRUTURA TUBULAR METÁLICA, COM FECHAMENTO EM CHAPA DE ACM 3MM COR CINZA E LATERAIS BRANCO, COM SÍMBOLO E TEXTOS EM CHAPA DE ACRÍLICO 10MM COM RECORTE A LASER E PINTURA AUTOMOTIVA NAS CORES DO HOSPITAL, CONFORME MEMORIAL. DIMENSÃO TOTAL: 70 X 400 CM</t>
  </si>
  <si>
    <t>20</t>
  </si>
  <si>
    <t>PAISAGISMO, URBANISMO E SINALIZAÇÃO VIÁRIA</t>
  </si>
  <si>
    <t>20.1</t>
  </si>
  <si>
    <t>PAISAGISMO</t>
  </si>
  <si>
    <t>20.1.1</t>
  </si>
  <si>
    <t>103946</t>
  </si>
  <si>
    <t>PLANTIO DE GRAMA ESMERALDA OU SÃO CARLOS OU CURITIBANA, EM PLACAS. AF_07/2024</t>
  </si>
  <si>
    <t>20.1.2</t>
  </si>
  <si>
    <t>98504</t>
  </si>
  <si>
    <t>PLANTIO DE GRAMA BATATAIS EM PLACAS. AF_07/2024</t>
  </si>
  <si>
    <t>20.1.3</t>
  </si>
  <si>
    <t>98516</t>
  </si>
  <si>
    <t>PLANTIO DE PALMEIRA COM ALTURA DE MUDA MENOR OU IGUAL A 2,00 M . AF_07/2024</t>
  </si>
  <si>
    <t>20.1.4</t>
  </si>
  <si>
    <t>98510</t>
  </si>
  <si>
    <t>PLANTIO DE ÁRVORE ORNAMENTAL COM ALTURA DE MUDA MENOR OU IGUAL A 2,00 M . AF_07/2024</t>
  </si>
  <si>
    <t>20.1.5</t>
  </si>
  <si>
    <t>98511</t>
  </si>
  <si>
    <t>PLANTIO DE ÁRVORE ORNAMENTAL COM ALTURA DE MUDA MAIOR QUE 2,00 M E MENOR OU IGUAL A 4,00 M . AF_07/2024</t>
  </si>
  <si>
    <t>20.1.6</t>
  </si>
  <si>
    <t>IOPES</t>
  </si>
  <si>
    <t>S140703</t>
  </si>
  <si>
    <t>PONTO DE TORNEIRA DE JARDIM (PARA PRAÇAS)</t>
  </si>
  <si>
    <t>PT</t>
  </si>
  <si>
    <t>20.2</t>
  </si>
  <si>
    <t>FLOREIRA EM ALVENARIA</t>
  </si>
  <si>
    <t>20.2.1</t>
  </si>
  <si>
    <t>00006081</t>
  </si>
  <si>
    <t>ARGILA OU BARRO PARA ATERRO/REATERRO (COM TRANSPORTE ATE 10 KM)</t>
  </si>
  <si>
    <t>20.2.2</t>
  </si>
  <si>
    <t>20.2.3</t>
  </si>
  <si>
    <t>87794</t>
  </si>
  <si>
    <t>EMBOÇO OU MASSA ÚNICA EM ARGAMASSA TRAÇO 1:2:8, PREPARO MANUAL, APLICADA MANUALMENTE EM PANOS CEGOS DE FACHADA (SEM PRESENÇA DE VÃOS), ESPESSURA DE 25 MM. AF_09/2022</t>
  </si>
  <si>
    <t>20.2.4</t>
  </si>
  <si>
    <t>PINTURA LÁTEX ACRÍLICA PREMIUM, APLICAÇÃO MANUAL EM PAREDES, DUAS DEMÃOS. AF_04/2023</t>
  </si>
  <si>
    <t>20.2.5</t>
  </si>
  <si>
    <t>20.3</t>
  </si>
  <si>
    <t>URBANIZAÇÃO</t>
  </si>
  <si>
    <t>20.3.1</t>
  </si>
  <si>
    <t>CPU-HSP-0102</t>
  </si>
  <si>
    <t>BANCO PRÉ-FABRICADO (180X42CM) COM 02 BASES DE CONCRETO APARENTE COM VERNIZ ACRÍLICO INCOLOR SEMI BRILHO (10X42CM - H=43CM) E 08 RIPAS EM MADEIRA JATOBÁ APLAINADA, LIXADA E COM PINTURA EM VERNIZ CETOL COR IMBUIA 02 DEMÃOS (3,5X5CM - COMPR.=170CM). MARCA: DELAZZARI OU EQUIVALENTE - VER DETALHE ESPECÍFICO</t>
  </si>
  <si>
    <t>20.3.2</t>
  </si>
  <si>
    <t>CPU-HSP-0129</t>
  </si>
  <si>
    <t>BICICLETÁRIO MODELO "U" INVERTIDO, EM TUBO AÇO GALVANIZADO D=2", DIMENSÃO:78X110CM, FIXADO EM BASE DE CONCRETO, COM ACABAMENTO EM PINTURA ELETROSTÁTICA 02 DEMÃOS COR CINZA CLARO, SOBRE 01 DEMÃO DE FUNDO ZARCÃO, CHUMBADO EM BASE</t>
  </si>
  <si>
    <t>20.3.3</t>
  </si>
  <si>
    <t>S13810</t>
  </si>
  <si>
    <t>CONJUNTO COM 02 LIXEIRAS, COM CAPACIDADE 60L CADA, COM ESTRUTURA METÁLICA PARA SUPORTE DE CESTAS, CONFORME PROJETO.</t>
  </si>
  <si>
    <t>20.3.4</t>
  </si>
  <si>
    <t>CONJUNTO COM 05 LIXEIRAS, COM CAPACIDADE 60L CADA, COM ESTRUTURA METÁLICA PARA SUPORTE DE CESTAS, CONFORME PROJETO.</t>
  </si>
  <si>
    <t>20.3.5</t>
  </si>
  <si>
    <t>FDE</t>
  </si>
  <si>
    <t>16.07.043</t>
  </si>
  <si>
    <t>OC-01 OBSTACULO PRE FABRICADO DE CONCRETO TIPO FRADE Ø40 CM, TIPO BOLA, COR NATUAL</t>
  </si>
  <si>
    <t>20.4</t>
  </si>
  <si>
    <t>20.4.1</t>
  </si>
  <si>
    <t>CPU-HSP-1061</t>
  </si>
  <si>
    <t>GUARDA-CORPO DE AÇO GALVANIZADO DE 1,10M, MONTANTES TUBULARES DE 1.1/4 ESPAÇADOS DE 1,20M, TRAVESSA SUPERIOR DE 1.1/2 , GRADIL FORMADO POR TUBOS HORIZONTAIS DE 1 E VERTICAIS DE 3/4 , FIXADO COM CHUMBADOR MECÂNICO, INCLUSO PINTURA DE ACABAMENTO EPÓXI - FORNEC. E INST.</t>
  </si>
  <si>
    <t>20.4.2</t>
  </si>
  <si>
    <t>CPU-HSP-0438</t>
  </si>
  <si>
    <t>CORRIMÃO DUPLO EM TUBO DE FERRO GALVANIZADO 1 1/2", COM CHUMBADORES PARA FIXAÇÃO EM ALVENARIA, INCLUINDO 1 DEMÃO DE FUNDO ANTICORROSIVO E 2 DEMÃOS DE PINTURA ESMALTE</t>
  </si>
  <si>
    <t>20.4.3</t>
  </si>
  <si>
    <t>CPU-HSP-1062</t>
  </si>
  <si>
    <t>GUARDA-CORPO DE AÇO GALVANIZADO DE 1,25M, MONTANTES TUBULARES DE 1.1/4 ESPAÇADOS DE 1,20M, TRAVESSA SUPERIOR DE 1.1/2 , GRADIL FORMADO POR TUBOS HORIZONTAIS DE 1 E VERTICAIS DE 3/4 , FIXADO COM CHUMBADOR MECÂNICO, INCLUSO PINTURA DE ACABAMENTO EPÓXI - FORNEC. E INST.</t>
  </si>
  <si>
    <t>20.5</t>
  </si>
  <si>
    <t>SINALIZAÇÃO VIÁRIA</t>
  </si>
  <si>
    <t>20.5.1</t>
  </si>
  <si>
    <t>CPU-HSP-0857</t>
  </si>
  <si>
    <t>FORNECIMENTO E INSTALAÇÃO DE SUPORTE METÁLICO GALVANIZADO PARA UMA PLACA DE SINALIZAÇÃO EM SOLO, COM H= DE 2,70 M E DIÂMETRO DE 2''.</t>
  </si>
  <si>
    <t>20.5.2</t>
  </si>
  <si>
    <t>CPU-HSP-0855</t>
  </si>
  <si>
    <t>FORNECIMENTO E INSTALAÇÃO DE SUPORTE METÁLICO GALVANIZADO PARA DUAS PLACAS DE SINALIZAÇÃO EM SOLO, COM H= DE 3,15 M E DIÂMETRO DE 2''.</t>
  </si>
  <si>
    <t>20.5.3</t>
  </si>
  <si>
    <t>CPU-HSP-0856</t>
  </si>
  <si>
    <t>FORNECIMENTO E INSTALAÇÃO DE SUPORTE METÁLICO GALVANIZADO PARA PLACA RETANGULAR DE SINALIZAÇÃO EM SOLO, COM H= DE 3,30 M E DIÂMETRO DE 2''.</t>
  </si>
  <si>
    <t>20.5.4</t>
  </si>
  <si>
    <t>CPU-HSP-0854</t>
  </si>
  <si>
    <t>FORNECIMENTO E INSTALAÇÃO DE PLACA DE SINALIZAÇÃO EM CHAPA DE AÇO EM SUPORTE METÁLICO</t>
  </si>
  <si>
    <t>20.5.5</t>
  </si>
  <si>
    <t>102513</t>
  </si>
  <si>
    <t>PINTURA DE SÍMBOLOS E TEXTOS COM TINTA ACRÍLICA, DEMARCAÇÃO COM FITA ADESIVA E APLICAÇÃO COM ROLO. AF_05/2021</t>
  </si>
  <si>
    <t>20.5.6</t>
  </si>
  <si>
    <t>CPU-HSP-0126</t>
  </si>
  <si>
    <t>BATE-RODA REFLETIVO EM RESINA SINTÉTICA, DIM 48X17X9CM, COM DOIS PINOS DE FIXAÇÃO, REF. COMERCIAL ICD VIAS, LMC TINTAS, SINALMAX OU EQUIVALENTE</t>
  </si>
  <si>
    <t>21</t>
  </si>
  <si>
    <t>LINHA DE VIDA</t>
  </si>
  <si>
    <t>21.1</t>
  </si>
  <si>
    <t>1 - LINHA DE VIDA PASSARELA</t>
  </si>
  <si>
    <t>21.1.1</t>
  </si>
  <si>
    <t>04.01.06.100.04</t>
  </si>
  <si>
    <t>INSPEÇÃO E DIAGNÓSTICO DE LINHA DE VIDA COM EMISSÃO DE RELATÓRIO TÉCNICO</t>
  </si>
  <si>
    <t>21.1.2</t>
  </si>
  <si>
    <t>03.95.11</t>
  </si>
  <si>
    <t>MONTAGEM DE LINHA DE VIDA HORIZONTAL EM CABO DE AÇO INOX DIÂM. 8 MM, PERFIL 7X19, INCLUSIVE ACESSÓRIOS DE FIXAÇÃO</t>
  </si>
  <si>
    <t>21.2</t>
  </si>
  <si>
    <t>2 - LINHA DE VIDA PATAMAR</t>
  </si>
  <si>
    <t>21.2.1</t>
  </si>
  <si>
    <t>21.2.2</t>
  </si>
  <si>
    <t>21.3</t>
  </si>
  <si>
    <t>3 - LINHA DE VIDA COBERTURA</t>
  </si>
  <si>
    <t>21.3.1</t>
  </si>
  <si>
    <t>21.3.2</t>
  </si>
  <si>
    <t>22</t>
  </si>
  <si>
    <t>PROJETO HIDROSSANITÁRIO</t>
  </si>
  <si>
    <t>22.1</t>
  </si>
  <si>
    <t>TUBO RÍGIDO</t>
  </si>
  <si>
    <t>22.1.1</t>
  </si>
  <si>
    <t>103089</t>
  </si>
  <si>
    <t>TUBO DE FERRO FUNDIDO COM BOLSAS - FOFO - Ø80 MM</t>
  </si>
  <si>
    <t>22.1.2</t>
  </si>
  <si>
    <t>103090</t>
  </si>
  <si>
    <t>TUBO DE FERRO FUNDIDO COM BOLSAS - FOFO - Ø100 MM</t>
  </si>
  <si>
    <t>22.1.3</t>
  </si>
  <si>
    <t>103091</t>
  </si>
  <si>
    <t>TUBO DE FERRO FUNDIDO COM BOLSAS - FOFO - Ø150 MM</t>
  </si>
  <si>
    <t>22.2</t>
  </si>
  <si>
    <t>ESGOTO</t>
  </si>
  <si>
    <t>22.2.1</t>
  </si>
  <si>
    <t>ED-50027</t>
  </si>
  <si>
    <t>FORNECIMENTO E ASSENTAMENTO DE TUBO PVC RÍGIDO, ESGOTO, PBV - SÉRIE NORMAL, DN 50 MM (2"), INCLUSIVE CONEXÕES</t>
  </si>
  <si>
    <t>22.2.2</t>
  </si>
  <si>
    <t>ED-50029</t>
  </si>
  <si>
    <t>FORNECIMENTO E ASSENTAMENTO DE TUBO PVC RÍGIDO, ESGOTO, PBV - SÉRIE NORMAL, DN 100 MM (4"), INCLUSIVE CONEXÕES</t>
  </si>
  <si>
    <t>22.2.3</t>
  </si>
  <si>
    <t>ED-50031</t>
  </si>
  <si>
    <t>FORNECIMENTO E ASSENTAMENTO DE TUBO PVC RÍGIDO, ESGOTO, PBV - SÉRIE NORMAL, DN 200 MM (8"), INCLUSIVE CONEXÕES</t>
  </si>
  <si>
    <t>22.2.4</t>
  </si>
  <si>
    <t>ED-50035</t>
  </si>
  <si>
    <t>FORNECIMENTO E ASSENTAMENTO DE TUBO PVC RÍGIDO, ESGOTO, PB - SÉRIE REFORÇADO, DN 40MM (1.1/2"), INCLUSIVE CONEXÕES</t>
  </si>
  <si>
    <t>22.2.5</t>
  </si>
  <si>
    <t>ED-50036</t>
  </si>
  <si>
    <t>FORNECIMENTO E ASSENTAMENTO DE TUBO PVC RÍGIDO, ESGOTO, PBV - SÉRIE REFORÇADO, DN 50 MM (2"), INCLUSIVE CONEXÕES</t>
  </si>
  <si>
    <t>22.2.6</t>
  </si>
  <si>
    <t>ED-50037</t>
  </si>
  <si>
    <t>FORNECIMENTO E ASSENTAMENTO DE TUBO PVC RÍGIDO, ESGOTO, PBV - SÉRIE REFORÇADO, DN 75 MM (3"), INCLUSIVE CONEXÕES</t>
  </si>
  <si>
    <t>22.2.7</t>
  </si>
  <si>
    <t>ED-50038</t>
  </si>
  <si>
    <t>FORNECIMENTO E ASSENTAMENTO DE TUBO PVC RÍGIDO, ESGOTO, PBV - SÉRIE REFORÇADO, DN 100 MM (4"), INCLUSIVE CONEXÕES</t>
  </si>
  <si>
    <t>22.2.8</t>
  </si>
  <si>
    <t>ED-50039</t>
  </si>
  <si>
    <t>FORNECIMENTO E ASSENTAMENTO DE TUBO PVC RÍGIDO, ESGOTO, PBV - SÉRIE REFORÇADO, DN 150 MM (6"), INCLUSIVE CONEXÕES</t>
  </si>
  <si>
    <t>22.3</t>
  </si>
  <si>
    <t>PLUVIAL</t>
  </si>
  <si>
    <t>22.3.1</t>
  </si>
  <si>
    <t>92808</t>
  </si>
  <si>
    <t>TUBO DE CONCRETO ARMADO - CONCRETO ARMADO - Ø300 MM</t>
  </si>
  <si>
    <t>22.3.2</t>
  </si>
  <si>
    <t>92809</t>
  </si>
  <si>
    <t>TUBO DE CONCRETO ARMADO - CONCRETO ARMADO - Ø400 MM</t>
  </si>
  <si>
    <t>22.3.3</t>
  </si>
  <si>
    <t>92810</t>
  </si>
  <si>
    <t>TUBO DE CONCRETO ARMADO - CONCRETO ARMADO - Ø500 MM</t>
  </si>
  <si>
    <t>22.3.4</t>
  </si>
  <si>
    <t>89508</t>
  </si>
  <si>
    <t>TUBO SÉRIE REFORÇADA - PVC SÉRIE R - Ø40 MM</t>
  </si>
  <si>
    <t>22.3.5</t>
  </si>
  <si>
    <t>89509</t>
  </si>
  <si>
    <t>TUBO SÉRIE REFORÇADA - PVC SÉRIE R - Ø50 MM</t>
  </si>
  <si>
    <t>22.3.6</t>
  </si>
  <si>
    <t>89511</t>
  </si>
  <si>
    <t>TUBO SÉRIE REFORÇADA - PVC SÉRIE R - Ø75 MM</t>
  </si>
  <si>
    <t>22.3.7</t>
  </si>
  <si>
    <t>89512</t>
  </si>
  <si>
    <t>TUBO SÉRIE REFORÇADA - PVC SÉRIE R - Ø100 MM</t>
  </si>
  <si>
    <t>22.3.8</t>
  </si>
  <si>
    <t>104166</t>
  </si>
  <si>
    <t>TUBO SÉRIE REFORÇADA - PVC SÉRIE R - Ø150 MM</t>
  </si>
  <si>
    <t>22.3.9</t>
  </si>
  <si>
    <t>TUBO SÉRIE REFORÇADA - PVC SÉRIE R - Ø200 MM</t>
  </si>
  <si>
    <t>22.4</t>
  </si>
  <si>
    <t>ÁGUA FRIA</t>
  </si>
  <si>
    <t>22.4.1</t>
  </si>
  <si>
    <t>46.01.020</t>
  </si>
  <si>
    <t>TUBO DE PVC RÍGIDO SOLDÁVEL MARROM, DN= 25 MM, (3/4´), INCLUSIVE CONEXÕES</t>
  </si>
  <si>
    <t>22.4.2</t>
  </si>
  <si>
    <t>46.01.030</t>
  </si>
  <si>
    <t>TUBO DE PVC RÍGIDO SOLDÁVEL MARROM, DN= 32 MM, (1´), INCLUSIVE CONEXÕES</t>
  </si>
  <si>
    <t>22.4.3</t>
  </si>
  <si>
    <t>46.01.040</t>
  </si>
  <si>
    <t>TUBO DE PVC RÍGIDO SOLDÁVEL MARROM, DN= 40 MM, (1 1/4´), INCLUSIVE CONEXÕES</t>
  </si>
  <si>
    <t>22.4.4</t>
  </si>
  <si>
    <t>46.01.050</t>
  </si>
  <si>
    <t>TUBO DE PVC RÍGIDO SOLDÁVEL MARROM, DN= 50 MM, (1 1/2´), INCLUSIVE CONEXÕES</t>
  </si>
  <si>
    <t>22.4.5</t>
  </si>
  <si>
    <t>46.01.060</t>
  </si>
  <si>
    <t>TUBO DE PVC RÍGIDO SOLDÁVEL MARROM, DN= 60 MM, (2´), INCLUSIVE CONEXÕES</t>
  </si>
  <si>
    <t>22.4.6</t>
  </si>
  <si>
    <t>46.01.070</t>
  </si>
  <si>
    <t>TUBO DE PVC RÍGIDO SOLDÁVEL MARROM, DN= 75 MM, (2 1/2´), INCLUSIVE CONEXÕES</t>
  </si>
  <si>
    <t>22.4.7</t>
  </si>
  <si>
    <t>46.01.080</t>
  </si>
  <si>
    <t>TUBO DE PVC RÍGIDO SOLDÁVEL MARROM, DN= 85 MM, (3´), INCLUSIVE CONEXÕES</t>
  </si>
  <si>
    <t>22.4.8</t>
  </si>
  <si>
    <t>46.01.090</t>
  </si>
  <si>
    <t>TUBO DE PVC RÍGIDO SOLDÁVEL MARROM, DN= 110 MM, (4´), INCLUSIVE CONEXÕES</t>
  </si>
  <si>
    <t>22.4.9</t>
  </si>
  <si>
    <t>48.02.009</t>
  </si>
  <si>
    <t>RESERVATÓRIO DE FIBRA DE VIDRO - CAPACIDADE DE 20.000 LITROS</t>
  </si>
  <si>
    <t>22.4.10</t>
  </si>
  <si>
    <t>48.02.207</t>
  </si>
  <si>
    <t>RESERVATÓRIO EM POLIETILENO COM TAMPA DE ENCAIXAR - CAPACIDADE DE 10.000 LITROS</t>
  </si>
  <si>
    <t>22.5</t>
  </si>
  <si>
    <t>ÁGUA QUENTE</t>
  </si>
  <si>
    <t>22.5.1</t>
  </si>
  <si>
    <t>02.02.02.200.02</t>
  </si>
  <si>
    <t>TUBO DE CPVC BEGE CLARO SOLDÁVEL, Ø 22 MM - COM CONEXÕES</t>
  </si>
  <si>
    <t>22.5.2</t>
  </si>
  <si>
    <t>02.02.02.200.03</t>
  </si>
  <si>
    <t>TUBO DE CPVC BEGE CLARO SOLDÁVEL, Ø 28 MM - COM CONEXÕES</t>
  </si>
  <si>
    <t>22.5.3</t>
  </si>
  <si>
    <t>02.02.02.200.04</t>
  </si>
  <si>
    <t>TUBO DE CPVC BEGE CLARO SOLDÁVEL, Ø 35 MM - COM CONEXÕES</t>
  </si>
  <si>
    <t>22.5.4</t>
  </si>
  <si>
    <t>02.02.02.200.06</t>
  </si>
  <si>
    <t>TUBO DE CPVC BEGE CLARO SOLDÁVEL, Ø 54 MM - COM CONEXÕES</t>
  </si>
  <si>
    <t>22.5.5</t>
  </si>
  <si>
    <t>02.02.02.200.05</t>
  </si>
  <si>
    <t>TUBO DE CPVC BEGE CLARO SOLDÁVEL, Ø 42 MM - COM CONEXÕES</t>
  </si>
  <si>
    <t>22.6</t>
  </si>
  <si>
    <t>TUBOS PERFURADOS VALA</t>
  </si>
  <si>
    <t>22.6.1</t>
  </si>
  <si>
    <t>102705</t>
  </si>
  <si>
    <t>TUBO PERFURADO CORRUGADO PVC 100MM</t>
  </si>
  <si>
    <t>22.6.2</t>
  </si>
  <si>
    <t>22.7</t>
  </si>
  <si>
    <t>VÁLVULAS E ACESSÓRIOS</t>
  </si>
  <si>
    <t>22.7.1</t>
  </si>
  <si>
    <t>102111</t>
  </si>
  <si>
    <t>BOMBA CENTRIFUGA PARA RECALQUE DA AGUA DE REAPROVEITAMENTO FAMAC OU SIMILAR - Q= 20 M3/H / HM 65 M.CA. / POT.10 CV</t>
  </si>
  <si>
    <t>22.7.2</t>
  </si>
  <si>
    <t>102115</t>
  </si>
  <si>
    <t>BOMBA CENTRIFUGA PARA RECALQUE DA AGUA POTÁVE- FAMAC OU SIMILAR - Q= 28 M3/H / HM 70 M.CA. / POT.15 CV Q= 28 M3/H / HM 70 M.CA. / POT.15 CV</t>
  </si>
  <si>
    <t>22.7.3</t>
  </si>
  <si>
    <t>99831</t>
  </si>
  <si>
    <t>BOMBA PARA PISCINA JACUZZI - VAZÃO 2M3/H - PRESSÃO/ 4 M.C.A.</t>
  </si>
  <si>
    <t>H</t>
  </si>
  <si>
    <t>22.7.4</t>
  </si>
  <si>
    <t>89019</t>
  </si>
  <si>
    <t>BOMBA SUBMERSÍVEL FBS-JAC - FAMAC OU SIMILAR - Q= 7M3/H / HM= 12 M.C.A. / POT. 1CV</t>
  </si>
  <si>
    <t>22.7.5</t>
  </si>
  <si>
    <t>I09726</t>
  </si>
  <si>
    <t>CAIXA SEPARADORA DE ÁGUA E ÓLEO S.A.O VAZÃO DE 5000 LITROS/HORA</t>
  </si>
  <si>
    <t>22.7.6</t>
  </si>
  <si>
    <t>S12882</t>
  </si>
  <si>
    <t>PRESSURIZADOR ATÉ 12MCA/160W/220V</t>
  </si>
  <si>
    <t>22.7.7</t>
  </si>
  <si>
    <t>47.11.100</t>
  </si>
  <si>
    <t>MANÔMETRO COM MOSTRADOR DE 4´, ESCALAS: 0-4 / 0-7 / 0-10 / 0-17 / 0-21 / 0-28 KG/CM²</t>
  </si>
  <si>
    <t>22.7.8</t>
  </si>
  <si>
    <t>101917</t>
  </si>
  <si>
    <t>MANÔMETRO 0 A 200 PSI (0 A 14 KGF/CM2), D = 50MM - FORNECIMENTO E INSTALAÇÃO. AF_10/2020</t>
  </si>
  <si>
    <t>22.7.9</t>
  </si>
  <si>
    <t>86887</t>
  </si>
  <si>
    <t>GRADIL DE ENTRADA EFLUENTES EM AÇO INÓX - 34 BARRAS CHATAS INÓX DE L=2.1/2" X 1/2" X 600MM P/GRADIL</t>
  </si>
  <si>
    <t>22.7.10</t>
  </si>
  <si>
    <t>94495</t>
  </si>
  <si>
    <t>REGISTRO DE GAVETA BRUTO, LATÃO, ROSCÁVEL, 1" - FORNECIMENTO E INSTALAÇÃO. AF_08/2021</t>
  </si>
  <si>
    <t>22.7.11</t>
  </si>
  <si>
    <t>89353</t>
  </si>
  <si>
    <t>REGISTRO DE GAVETA BRUTO, LATÃO, ROSCÁVEL, 3/4" - FORNECIMENTO E INSTALAÇÃO. AF_08/2021</t>
  </si>
  <si>
    <t>22.7.12</t>
  </si>
  <si>
    <t>94496</t>
  </si>
  <si>
    <t>REGISTRO DE GAVETA BRUTO, LATÃO, ROSCÁVEL, 1 1/4" - FORNECIMENTO E INSTALAÇÃO. AF_08/2021</t>
  </si>
  <si>
    <t>22.7.13</t>
  </si>
  <si>
    <t>89987</t>
  </si>
  <si>
    <t>REGISTRO DE GAVETA BRUTO, LATÃO, ROSCÁVEL, 3/4", COM ACABAMENTO E CANOPLA CROMADOS - FORNECIMENTO E INSTALAÇÃO. AF_08/2021</t>
  </si>
  <si>
    <t>22.7.14</t>
  </si>
  <si>
    <t>94493</t>
  </si>
  <si>
    <t>REGISTRO DE ESFERA, PVC, SOLDÁVEL, COM VOLANTE, DN 60 MM - FORNECIMENTO E INSTALAÇÃO. AF_08/2021</t>
  </si>
  <si>
    <t>22.7.15</t>
  </si>
  <si>
    <t>61.15.164</t>
  </si>
  <si>
    <t>TERMOSTATO DE SEGURANÇA COM TEMPERATURA AJUSTÁVEL DE 90°C - 110°C</t>
  </si>
  <si>
    <t>22.7.16</t>
  </si>
  <si>
    <t>S07064</t>
  </si>
  <si>
    <t>FORNECIMENTO DE VENTOSA SIMPLES COM ROSCA DIAM 1 1/4"</t>
  </si>
  <si>
    <t>22.7.17</t>
  </si>
  <si>
    <t>SCO</t>
  </si>
  <si>
    <t>DR 14.30.0109 (/)</t>
  </si>
  <si>
    <t>VÁLVULA REDUTORA DE PRESSÃO D'ÁGUA POTÁVEL, DE 3", CORPO E ÊMBOLO EM BRONZE ASTM-B62, FABRICAÇÃO PRONIL D'INOX, MODELO CL-10, COM PRESSÃO DE ENTRADA ATÉ 10KGF/CM2, CONEXÕES ROQUEADAS DE 3", PRESSÃO DE SAÍDA AJUSTÁVEL EXTERNAMENTE DE 0,5 ATÉ 5KGF/CM2, COM MANÔMETRO INSERIDO NO CORPO DA VÁLVULA, SERVINDO PARA TUBULAÇÕES VERTICAIS E HORIZONTAIS. FORNECIMENTO E ASSENTAMENTO.(DESONERADO)</t>
  </si>
  <si>
    <t>22.7.18</t>
  </si>
  <si>
    <t>I08596</t>
  </si>
  <si>
    <t>FILTRO "Y" TELA INOX Ø 3"</t>
  </si>
  <si>
    <t>22.7.19</t>
  </si>
  <si>
    <t>99620</t>
  </si>
  <si>
    <t>VÁLVULA DE RETENÇÃO DE SEGURANÇA 1" COM MANOMETRO</t>
  </si>
  <si>
    <t>22.7.20</t>
  </si>
  <si>
    <t>15.029.0210-0</t>
  </si>
  <si>
    <t>VRP-VÁLVULA ESFERA 3"- ALAVANCA AZUL</t>
  </si>
  <si>
    <t>22.7.21</t>
  </si>
  <si>
    <t>18.003.0005-0</t>
  </si>
  <si>
    <t>VALVULA DE DESCARGA DE 1.1/4",REGISTRO INTEGRADO,CORPO EM LATAO E ACABAMENTO COM ACIONAMENTO POR BOTAO EM METAL CROMADO.FORNECIMENTO</t>
  </si>
  <si>
    <t>22.8</t>
  </si>
  <si>
    <t>COM-76761556</t>
  </si>
  <si>
    <t>ESTAÇÃO DE TRATAMENTO DE ESGOTO CONFORME COTAÇÃO - BDI = 17,31</t>
  </si>
  <si>
    <t>22.9</t>
  </si>
  <si>
    <t>POÇO ARTESIANO</t>
  </si>
  <si>
    <t>22.9.1</t>
  </si>
  <si>
    <t>I12549</t>
  </si>
  <si>
    <t>PERFILAGEM DE POÇO ARTESIANO ( IEL-RESISTIVIDADE E SP, GR-RAIOS GAMA API, BCS-SÔNICO-POROSIDADE, XYC-PERFIL DE CALIPER DE 4 BRAÇOS E MEL-CALIPER E PERFIL DE INTERPRETAÇÃO COMPUTADORIZADO HIDRO-LOG OU SIMILAR ATÉ 200M</t>
  </si>
  <si>
    <t>22.9.2</t>
  </si>
  <si>
    <t>I04230</t>
  </si>
  <si>
    <t>EXECUÇÃO DE POÇO ARTESIANO COM TUBOS DE PVC SOLDÁVEL DE 60MM (EXTERNO) E 32 MM (INTERNO)</t>
  </si>
  <si>
    <t>22.9.3</t>
  </si>
  <si>
    <t>00000749</t>
  </si>
  <si>
    <t>BOMBA SUBMERSA PARA POCOS TUBULARES PROFUNDOS DIAMETRO DE 6 POLEGADAS, ELETRICA, TRIFASICA, POTENCIA 3,45 HP, 5 ESTAGIOS, BOCAL DE DESCARGA DIAMETRO DE 2 POLEGADAS, HM/Q = 68,5 M / 6,12 M3/H A 39,5 M / 14,04 M3/H</t>
  </si>
  <si>
    <t>23</t>
  </si>
  <si>
    <t>PPCI</t>
  </si>
  <si>
    <t>23.1</t>
  </si>
  <si>
    <t>ADCOM-61730810</t>
  </si>
  <si>
    <t>90.10.023 LUMINÁRIA DE EMERGÊNCIA - 800 LÚMENS (UN)</t>
  </si>
  <si>
    <t>23.2</t>
  </si>
  <si>
    <t>S12312</t>
  </si>
  <si>
    <t>LUMINÁRIA DE EMERGÊNCIA - 300 LÚMENS</t>
  </si>
  <si>
    <t>23.3</t>
  </si>
  <si>
    <t>ED-50180</t>
  </si>
  <si>
    <t>ACIONADOR MANUAL DE ALARME DE INCÊNDIO</t>
  </si>
  <si>
    <t>23.4</t>
  </si>
  <si>
    <t>S11824</t>
  </si>
  <si>
    <t>AVISADOR AUDIOVISUAL DE ALARME DE INCÊNDIO</t>
  </si>
  <si>
    <t>23.5</t>
  </si>
  <si>
    <t>S12881</t>
  </si>
  <si>
    <t>INTERFONE DE EMERGÊNCIA</t>
  </si>
  <si>
    <t>23.6</t>
  </si>
  <si>
    <t>02.03.07.400.03</t>
  </si>
  <si>
    <t>CENTRAL DE ALARME DE INCÊNDIO</t>
  </si>
  <si>
    <t>23.7</t>
  </si>
  <si>
    <t>50.05.430</t>
  </si>
  <si>
    <t>DETECTOR DE FUMAÇA</t>
  </si>
  <si>
    <t>23.8</t>
  </si>
  <si>
    <t>S12017</t>
  </si>
  <si>
    <t>DETECTOR TERMOVELOCIMÉTRICO</t>
  </si>
  <si>
    <t>23.9</t>
  </si>
  <si>
    <t>61.15.140</t>
  </si>
  <si>
    <t>REPETIDOR DE SINAL DA CENTRAL DE ALARME DE INCÊNDIO</t>
  </si>
  <si>
    <t>23.10</t>
  </si>
  <si>
    <t>S07861</t>
  </si>
  <si>
    <t>ACIONADOR MANUAL DO SISTEMA DE BOMBEAMENTO</t>
  </si>
  <si>
    <t>23.11</t>
  </si>
  <si>
    <t>50.10.110</t>
  </si>
  <si>
    <t>EXTINTOR DE PÓ QUÍMICO SECO (ABC), COM CAPACIDADE EXTINTORA PQS 2A:40B:C 4KG, PARA INSTALAÇÃO EM PISO</t>
  </si>
  <si>
    <t>23.12</t>
  </si>
  <si>
    <t>S101906S</t>
  </si>
  <si>
    <t>EXTINTOR DE GÁS CARBÔNICO (CO2), COM CAPACIDADE EXTINTORA CO2 5B:C 4KG, PARA INSTALAÇÃO EM PISO</t>
  </si>
  <si>
    <t>23.13</t>
  </si>
  <si>
    <t>EXTINTOR DE GÁS CARBÔNICO (CO2), COM CAPACIDADE EXTINTORA CO2 5B:C 4KG, PARA INSTALAÇÃO EM PAREDE</t>
  </si>
  <si>
    <t>23.14</t>
  </si>
  <si>
    <t>101912</t>
  </si>
  <si>
    <t>ABRIGO CONTRA INTEMPÉRIES PARA EXTINTORES EXTERNOS</t>
  </si>
  <si>
    <t>23.15</t>
  </si>
  <si>
    <t>50.01.330</t>
  </si>
  <si>
    <t>ABRIGO PARA TOMADA DE HIDRANTE COM MANGUEIRA DE 30 METROS</t>
  </si>
  <si>
    <t>23.16</t>
  </si>
  <si>
    <t>ED-29388</t>
  </si>
  <si>
    <t>PLACA FOTOLUMINESCENTE E01 - ALARME SONORO 224MM X 224MM</t>
  </si>
  <si>
    <t>23.17</t>
  </si>
  <si>
    <t>ED-29389</t>
  </si>
  <si>
    <t>PLACA FOTOLUMINESCENTE E02 - COMANDO DE ALARME 224MM X 448MM</t>
  </si>
  <si>
    <t>23.18</t>
  </si>
  <si>
    <t>ED-29390</t>
  </si>
  <si>
    <t>PLACA FOTOLUMINESCENTE E03 - COMANDO DE BOMBAS 224MM X 448MM</t>
  </si>
  <si>
    <t>23.19</t>
  </si>
  <si>
    <t>97.02.193</t>
  </si>
  <si>
    <t>PLACA FOTOLUMINESCENTE E04 - INTERFONE DE EMERGÊNCIA 224MM X 224MM</t>
  </si>
  <si>
    <t>23.20</t>
  </si>
  <si>
    <t>ED-50199</t>
  </si>
  <si>
    <t>PLACA FOTOLUMINESCENTE E05 - EXTINTOR DE INCÊNDIO 224MM X 224MM</t>
  </si>
  <si>
    <t>23.21</t>
  </si>
  <si>
    <t>ED-29391</t>
  </si>
  <si>
    <t>PLACA FOTOLUMINESCENTE E07 - ABRIGO DE MANGUEIRA E HIDRANTE 224MM X 224MM</t>
  </si>
  <si>
    <t>23.22</t>
  </si>
  <si>
    <t>ED-50207</t>
  </si>
  <si>
    <t>PLACA FOTOLUMINESCENTE P04 - PROIBIDO UTILIZAR O ELEVADOR 442MM X 354MM</t>
  </si>
  <si>
    <t>23.23</t>
  </si>
  <si>
    <t>97.02.195</t>
  </si>
  <si>
    <t>PLACA FOTOLUMINESCENTE S17 - NÚMERO DO PAVIMENTO 252MM X 126MM</t>
  </si>
  <si>
    <t>23.24</t>
  </si>
  <si>
    <t>ED-29400</t>
  </si>
  <si>
    <t>PLACA FOTOLUMINESCENTE S23 - ELEVADOR DE EMERGÊNCIA 200MM X 300MM</t>
  </si>
  <si>
    <t>23.25</t>
  </si>
  <si>
    <t>PLACA FOTOLUMINESCENTE S27 - ÁREA DE RESGATE PCD, UTILIZADA PARA SINALIZAR O ALARME DO PCD, 224MM X 224MM</t>
  </si>
  <si>
    <t>23.26</t>
  </si>
  <si>
    <t>92687</t>
  </si>
  <si>
    <t>TUBULAÇÃO FERRO GALVANIZADO 15MM</t>
  </si>
  <si>
    <t>23.27</t>
  </si>
  <si>
    <t>97535</t>
  </si>
  <si>
    <t>TUBULAÇÃO FERRO GALVANIZADO 25MM</t>
  </si>
  <si>
    <t>23.28</t>
  </si>
  <si>
    <t>92652</t>
  </si>
  <si>
    <t>TUBULAÇÃO FERRO GALVANIZADO 32MM</t>
  </si>
  <si>
    <t>23.29</t>
  </si>
  <si>
    <t>92654</t>
  </si>
  <si>
    <t>TUBULAÇÃO FERRO GALVANIZADO 50MM</t>
  </si>
  <si>
    <t>23.30</t>
  </si>
  <si>
    <t>92655</t>
  </si>
  <si>
    <t>TUBULAÇÃO FERRO GALVANIZADO 65MM</t>
  </si>
  <si>
    <t>23.31</t>
  </si>
  <si>
    <t>92656</t>
  </si>
  <si>
    <t>TUBULAÇÃO FERRO GALVANIZADO 80MM</t>
  </si>
  <si>
    <t>23.32</t>
  </si>
  <si>
    <t>101927</t>
  </si>
  <si>
    <t>TUBULAÇÃO FERRO GALVANIZADO 100MM</t>
  </si>
  <si>
    <t>23.33</t>
  </si>
  <si>
    <t>S00893</t>
  </si>
  <si>
    <t>TUBULAÇÃO FERRO GALVANIZADO 150MM</t>
  </si>
  <si>
    <t>23.34</t>
  </si>
  <si>
    <t>C1456</t>
  </si>
  <si>
    <t>REGISTRO DE GLOBO ANGULAR 65MM</t>
  </si>
  <si>
    <t>23.35</t>
  </si>
  <si>
    <t>ED-50195</t>
  </si>
  <si>
    <t>CAIXA DE PROTEÇÃO PARA O REGISTRO DE RECALQUE NO PASSEIO</t>
  </si>
  <si>
    <t>U</t>
  </si>
  <si>
    <t>23.36</t>
  </si>
  <si>
    <t>47.12.330</t>
  </si>
  <si>
    <t>VÁLVULA DE GAVETA FLANGEADA COM VOLANTE - 150MM</t>
  </si>
  <si>
    <t>23.37</t>
  </si>
  <si>
    <t>47.20.300</t>
  </si>
  <si>
    <t>CHAVE DE FLUXO COM RETARDO PNEUMÁTICO - 150MM</t>
  </si>
  <si>
    <t>23.38</t>
  </si>
  <si>
    <t>C4775</t>
  </si>
  <si>
    <t>VÁLVULA DE RETENÇÃO HORIZONTAL - 150MM</t>
  </si>
  <si>
    <t>23.39</t>
  </si>
  <si>
    <t>08.14.032</t>
  </si>
  <si>
    <t>VÁLVULA DE RETENÇÃO VERTICAL - 150MM</t>
  </si>
  <si>
    <t>23.40</t>
  </si>
  <si>
    <t>AP 05.20.0900 (/)</t>
  </si>
  <si>
    <t>VÁLVULA DE ESFERA BSP - 15MM</t>
  </si>
  <si>
    <t>23.41</t>
  </si>
  <si>
    <t>47.05.060</t>
  </si>
  <si>
    <t>VÁLVULA DE RETENÇÃO HORIZONTAL - 65MM</t>
  </si>
  <si>
    <t>23.42</t>
  </si>
  <si>
    <t>08.14.030</t>
  </si>
  <si>
    <t>VÁLVULA DE RETENÇÃO VERTICAL - 65MM</t>
  </si>
  <si>
    <t>23.43</t>
  </si>
  <si>
    <t>08.04.007</t>
  </si>
  <si>
    <t>REGISTRO DE GAVETA BSP - 65MM</t>
  </si>
  <si>
    <t>23.44</t>
  </si>
  <si>
    <t>08.14.006</t>
  </si>
  <si>
    <t>REGISTRO DE GAVETA BSP - 50MM</t>
  </si>
  <si>
    <t>23.45</t>
  </si>
  <si>
    <t>47.11.021</t>
  </si>
  <si>
    <t>PRESSOSTATO - 1 A 10 BAR</t>
  </si>
  <si>
    <t>23.46</t>
  </si>
  <si>
    <t>S13835</t>
  </si>
  <si>
    <t>MANÔMETRO - COM GLICERINA - 0 A 10 BAR</t>
  </si>
  <si>
    <t>23.47</t>
  </si>
  <si>
    <t>43.10.110</t>
  </si>
  <si>
    <t>BOMBA PRINCIPAL DE HIDRANTES- 18 M³/H E 25 MCA</t>
  </si>
  <si>
    <t>23.48</t>
  </si>
  <si>
    <t>BOMBA JOCKEY DE HIDRANTES - 1,2 M³/H E 35 MCA</t>
  </si>
  <si>
    <t>23.49</t>
  </si>
  <si>
    <t>43.10.780</t>
  </si>
  <si>
    <t>BOMBA PRINCIPAL DE SPRINKLERS - 36 M³/H E 75 MCA</t>
  </si>
  <si>
    <t>23.50</t>
  </si>
  <si>
    <t>BOMBA JOCKEY DE SPRINKLERS - 0,8 M³/H E 80 MCA</t>
  </si>
  <si>
    <t>23.51</t>
  </si>
  <si>
    <t>50.02.020</t>
  </si>
  <si>
    <t>BICO DE SPRINKLER - PENDENTE - 77º</t>
  </si>
  <si>
    <t>23.52</t>
  </si>
  <si>
    <t>S09812</t>
  </si>
  <si>
    <t>PAINEL DE COMANDO DAS REDES PRESSURIZADAS</t>
  </si>
  <si>
    <t>24</t>
  </si>
  <si>
    <t>ÁGUA QUENTE E GLP</t>
  </si>
  <si>
    <t>24.1</t>
  </si>
  <si>
    <t>GERAÇÃO DE ÁGUA QUENTE</t>
  </si>
  <si>
    <t>24.1.1</t>
  </si>
  <si>
    <t>FORNECIMENTO E INSTALAÇÃO DE EQUIPAMENTOS</t>
  </si>
  <si>
    <t>24.1.1.1</t>
  </si>
  <si>
    <t>43.10.790</t>
  </si>
  <si>
    <t>FORNECIMENTO E INSTALAÇÃO DE BOMBA PARA ÁGUA QUENTE SANITÁRIA COM LIGAÇÕES IMEDITAS DE HIDRÁULICA, DO TIPO CENTRÍFUGA, FAIXA DE OPERAÇÃO DA VAZÃO DE 1,5 M³/H COM PRESSÃO DE 20 MMCA E DE 6,5 M³/H COM PRESSÃO DE 10 MMCA, 1 CV, PARTIDA DIRETA, COM VASO DE EXPANSÃO ACOPLADO, PARA TRABALHO COM FLUIDO A 80°C, COM SELO VITON, REF. TEXIUS MOD. TSP-2-2Z 220V</t>
  </si>
  <si>
    <t>24.1.1.2</t>
  </si>
  <si>
    <t>43.10.230</t>
  </si>
  <si>
    <t>FORNECIMENTO E INSTALAÇÃO DE BOMBA PARA ÁGUA QUENTE SANITÁRIA COM LIGAÇÕES IMEDITAS DE HIDRÁULICA, DO TIPO CENTRÍFUGA, VAZÃO 4,5 M³/H, ALTURA MANOMÉTRICA DE 13 MCA, 2 CV, PARTIDA DIRETA, PARA TRABALHO COM FLUIDO A 80°C, ROTOR DE BRONZE COM SELO VITON. REF. SCHNEIDER MOD. BC-91T 1/3CV 220V</t>
  </si>
  <si>
    <t>24.1.1.3</t>
  </si>
  <si>
    <t>43.10.670</t>
  </si>
  <si>
    <t>FORNECIMENTO E INSTALAÇÃO DE BOMBA PARA ÁGUA QUENTE SANITÁRIA COM LIGAÇÕES IMEDITAS DE HIDRÁULICA, DO TIPO CENTRÍFUGA, VAZÃO 5,7 M³/H, ALTURA MANOMÉTRICA DE 10 MCA, 0,5 CV, PARTIDA DIRETA, PARA TRABALHO COM FLUIDO A 80°C,COM ROTOR DE BRONZE E SELO MECÂNICO DE VITON® REF. BC-91S/T 1/2CV</t>
  </si>
  <si>
    <t>24.1.1.4</t>
  </si>
  <si>
    <t>CPU-016</t>
  </si>
  <si>
    <t>BASES DE INÉRCIA PARA 6 UNID DE BOMBAS CENTRÍFUGA, EM VIGA I 4" E CONCRETO ARMADO PARA PREENCIMENTO, COM AMORTECEDORES DO TIPO MOLA HELICOIDAIS, PARA AS BOMBAS DE ÁGUA QUENTE E BASES DE CONCRETO ARMADO PARA OS RESERVATÓRIOS E GERADORA DE ÁGUA QUENTE</t>
  </si>
  <si>
    <t>24.1.1.5</t>
  </si>
  <si>
    <t>43.03.550</t>
  </si>
  <si>
    <t>RESERVATÓRIO TÉRMICO HORIZONTAL EM AÇO INOXIDÁVEL AISI 304, CAPACIDADE DE 5.000 LITROS</t>
  </si>
  <si>
    <t>24.1.1.6</t>
  </si>
  <si>
    <t>15.014.0165-A</t>
  </si>
  <si>
    <t>FORNECIMENTO E INSTALAÇÃO DE COLETOR SOLAR PLANO FECHADO EM VIDRO TEMPERADO COM BAIXO TEOR DE FERRO E TRATAMENTO ANTI-REFLEXO, PLACA ABSORVEDORA C/ TINTA SELETIVA (Ε² ≤ 0,10, QUANDO COMPRIMENTO DE ONDA &gt; 3ΜM), ABSORVIDADE (Λ &lt; 3ΜM), EMISSIVIDADE (Λ &gt; 3ΜM), SELETIVIDADE DE 9,2, TINTA TINOX (ETA PLUS SUNSELECT, ISOLAMENTO EM ESPUMA RIGIDA DE POLIURETANO, INMETRO EFICIÊNCIA A (PME≥ 85 %), DIMENSÃO 1X2M (2M²). REF. SOLETROL</t>
  </si>
  <si>
    <t>24.1.1.7</t>
  </si>
  <si>
    <t>18.030.0200-A</t>
  </si>
  <si>
    <t>UNIDADE DE GERAÇÃO DE ÁGUA QUENTE, TIPO BOMBA DE CALOR, CONDENSAÇÃO AR, COMPRESSOR SCROOL INVERTER, FLUIDO R-410, CAPACIDADE NOMINAL DE AQUECIMENTO 93KW, VAZÃO DE ÁGUA 5,7 M³/H, MODO DE AQUECIMENTO COM 27 °C DE TBS EXT, TEMPERATURA DE ÁGUA QUENTE A 55 °C COM RETORNO A 38 °C (ΔT DE 7 °C), COM KIT DE CONTROLE REMOTO E SENSORES DE TEMPERATURA, PF: 3F/380V/60HZ/32,7KW. REF. DAIKIN UAL230ER6 - BDI = 17,31</t>
  </si>
  <si>
    <t>24.1.2</t>
  </si>
  <si>
    <t>TUBULAÇÕES HIDRÁULICA</t>
  </si>
  <si>
    <t>24.1.2.1</t>
  </si>
  <si>
    <t>46.32.004</t>
  </si>
  <si>
    <t>TUBO DE COBRE RÍGIDO SEM COSTURA CLASSE A , CONFORME ABNT NBR 13206 Ø22 - 3/4"</t>
  </si>
  <si>
    <t>24.1.2.2</t>
  </si>
  <si>
    <t>46.32.006</t>
  </si>
  <si>
    <t>TUBO DE COBRE RÍGIDO SEM COSTURA CLASSE A , CONFORME ABNT NBR 13206 Ø28 - 1"</t>
  </si>
  <si>
    <t>24.1.2.3</t>
  </si>
  <si>
    <t>46.32.008</t>
  </si>
  <si>
    <t>TUBO DE COBRE RÍGIDO SEM COSTURA CLASSE A , CONFORME ABNT NBR 13206 Ø35 - 1.1/4"</t>
  </si>
  <si>
    <t>24.1.2.4</t>
  </si>
  <si>
    <t>46.32.010</t>
  </si>
  <si>
    <t>TUBO DE COBRE RÍGIDO SEM COSTURA CLASSE A , CONFORME ABNT NBR 13206 Ø42 - 1 1/2"</t>
  </si>
  <si>
    <t>24.1.2.5</t>
  </si>
  <si>
    <t>46.32.011</t>
  </si>
  <si>
    <t>TUBO DE COBRE RÍGIDO SEM COSTURA CLASSE A , CONFORME ABNT NBR 13206 Ø54 - 2"</t>
  </si>
  <si>
    <t>24.1.2.6</t>
  </si>
  <si>
    <t>47.05.400</t>
  </si>
  <si>
    <t>VÁLVULA GAVETA BRONZE PN20 Ø25-Ø25</t>
  </si>
  <si>
    <t>24.1.2.7</t>
  </si>
  <si>
    <t>47.05.230</t>
  </si>
  <si>
    <t>VÁLVULA GAVETA BRONZE PN20 Ø54-Ø54</t>
  </si>
  <si>
    <t>24.1.2.8</t>
  </si>
  <si>
    <t>C4383</t>
  </si>
  <si>
    <t>FILTRO Y 2" Ø2"</t>
  </si>
  <si>
    <t>24.1.2.9</t>
  </si>
  <si>
    <t>10.90.35</t>
  </si>
  <si>
    <t>MANÔMETRO COM TUBO BOURDON 1/2"</t>
  </si>
  <si>
    <t>CAESB</t>
  </si>
  <si>
    <t>1511003021004</t>
  </si>
  <si>
    <t>REGULADOR DE FLUXO PARA PLACAS SOLARES DN 15 VAZÃO 2-12 L/MIN Ø3/4"</t>
  </si>
  <si>
    <t>J040001702</t>
  </si>
  <si>
    <t>TERMÔMETRO CAPELA 1/2"</t>
  </si>
  <si>
    <t>VÁLVULA DE ALÍVIO PARA SISTEMA SOLAR Ø3/4"</t>
  </si>
  <si>
    <t>VÁLVULA DE ALÍVIO PARA SISTEMA SOLAR Ø3/4X1" Ø25-Ø20</t>
  </si>
  <si>
    <t>61.15.060</t>
  </si>
  <si>
    <t>VÁLVULA DE BALANCEAMENTO 2"</t>
  </si>
  <si>
    <t>C2701</t>
  </si>
  <si>
    <t>VÁLVULA DE RETENÇÃO ROSQUEÁVEL Ø1 1/2"</t>
  </si>
  <si>
    <t>M080420208</t>
  </si>
  <si>
    <t>VÁLVULA ESFERA EM AÇO CARBONO ROSQUEÁVEL 1/2"</t>
  </si>
  <si>
    <t>PC</t>
  </si>
  <si>
    <t>VÁLVULA ESFERA EM PPR Ø2 1/2"</t>
  </si>
  <si>
    <t>40067</t>
  </si>
  <si>
    <t>VÁLVULA ESFERA EM PPR Ø3 1/2"</t>
  </si>
  <si>
    <t>02.03.01.110.144</t>
  </si>
  <si>
    <t>VÁLVULA ESFERA PARA SISTEMA SOLAR EM AÇO INOX Ø1 1/2"</t>
  </si>
  <si>
    <t>O.04.000.064082</t>
  </si>
  <si>
    <t>VÁLVULA ESFERA PARA SISTEMA SOLAR EM AÇO INOX Ø1"</t>
  </si>
  <si>
    <t>O.04.000.064081</t>
  </si>
  <si>
    <t>VÁLVULA ESFERA PARA SISTEMA SOLAR EM AÇO INOX Ø3/4"</t>
  </si>
  <si>
    <t>47.05.580</t>
  </si>
  <si>
    <t>VÁLVULA GAVETA EM AÇO INOX Ø1 1/2"</t>
  </si>
  <si>
    <t>61.15.090</t>
  </si>
  <si>
    <t>VÁLVULA MOTORIZADA 2 VIAS ON/OFF PARA BOMBA DE CALOR Ø2"</t>
  </si>
  <si>
    <t>I8772</t>
  </si>
  <si>
    <t>VÁLVULA QUEBRA VÁCUO PARA SISTEMA SOLAR Ø3/4"</t>
  </si>
  <si>
    <t>61.10.430</t>
  </si>
  <si>
    <t>TANQUE DE EXPANSÃO SOLDADO EM AÇO INOX 304 CAPACIDADE DE 150 LITROS</t>
  </si>
  <si>
    <t>TANQUE DE EXPANSÃO SOLDADO EM AÇO INOX 304 CAPACIDADE DE 200 LITROS</t>
  </si>
  <si>
    <t>TANQUE DE EXPANSÃO SOLDADO EM AÇO INOX 304 CAPACIDADE DE 300 LITROS</t>
  </si>
  <si>
    <t>103027</t>
  </si>
  <si>
    <t>VÁLVULA ELIMINADORA DE AR - DESAEADORES AUTOMÁTICOS DN 1"</t>
  </si>
  <si>
    <t>S96680S</t>
  </si>
  <si>
    <t>TUBO, PPR, DN 63, CLASSE PN 25, INSTALADO EM PRUMADA DE ÁGUA FORNECIMENTO E INSTALAÇÃO. AF_08/2022</t>
  </si>
  <si>
    <t>S96682S</t>
  </si>
  <si>
    <t>TUBO, PPR, DN 90, CLASSE PN 25, INSTALADO EM PRUMADA DE ÁGUA FORNECIMENTO E INSTALAÇÃO. AF_08/2022</t>
  </si>
  <si>
    <t>69.20.140</t>
  </si>
  <si>
    <t>LIGAÇÃO IMEDIATA 2"</t>
  </si>
  <si>
    <t>24.1.3</t>
  </si>
  <si>
    <t>COMANDO - QUADRO CAQ-01</t>
  </si>
  <si>
    <t>24.1.3.1</t>
  </si>
  <si>
    <t>11.19.18</t>
  </si>
  <si>
    <t>DISJUNTOR TRIFÁSICO 15 A</t>
  </si>
  <si>
    <t>24.1.3.2</t>
  </si>
  <si>
    <t>11.19.17</t>
  </si>
  <si>
    <t>DISJUNTOR TRIFÁSICO 10 A</t>
  </si>
  <si>
    <t>24.1.3.3</t>
  </si>
  <si>
    <t>MATED-17407</t>
  </si>
  <si>
    <t>DISJUNTOR MOTOR 3 - 6,3 A</t>
  </si>
  <si>
    <t>24.1.3.4</t>
  </si>
  <si>
    <t>C0673</t>
  </si>
  <si>
    <t>CANELETA PVC 50X50 MM</t>
  </si>
  <si>
    <t>24.1.3.5</t>
  </si>
  <si>
    <t>I07538</t>
  </si>
  <si>
    <t>CAIXA METÁLICA EM AÇO CARBONO # 16 MSG (1,519 MM) COM PINTURA ELETROSTÁTICA NA COR CINZA RAL 7032 E DIMENSÕES 500X700X200MM (LXHXP)</t>
  </si>
  <si>
    <t>24.1.3.6</t>
  </si>
  <si>
    <t>C1186</t>
  </si>
  <si>
    <t>ELETRODUTO PVC ROSQUEADA 27 MM</t>
  </si>
  <si>
    <t>24.1.3.7</t>
  </si>
  <si>
    <t>C1020</t>
  </si>
  <si>
    <t>COTOVELO ELETRODUTO PVC ROSQUEADO 27 MM</t>
  </si>
  <si>
    <t>24.1.3.8</t>
  </si>
  <si>
    <t>11.14.70</t>
  </si>
  <si>
    <t>TÊ ELETRODUTO PVC ROSQUEADO 27 MM</t>
  </si>
  <si>
    <t>24.1.3.9</t>
  </si>
  <si>
    <t>C0563</t>
  </si>
  <si>
    <t>CABO SHIELD 2 X 0,75 MM</t>
  </si>
  <si>
    <t>11.24.05</t>
  </si>
  <si>
    <t>CABO FLEXÍVEL FIO ELÉTRICO ANTI CHAMA 450V 2,5 MM</t>
  </si>
  <si>
    <t>61.15.181</t>
  </si>
  <si>
    <t>CONTROLADOR LÓGICO PROGRAMÁVEL COM DISPLAY E EXTENSÃO DE PONTOS - MCP46D-PRO. BACNET E MODBUS (26DI/NTC, 4AO, 16DO) COM PORTA ETHERNET</t>
  </si>
  <si>
    <t>61.15.160</t>
  </si>
  <si>
    <t>SENSOR DE TEMPERATURA DE IMERSÃO COM HASTE - TRANSMISSOR DE TEMPERATURA TIPO PT 100, FAIXA DE TRABALHO DE -5-100°C, SINAL DE SAÍDA PROPORCIONAL DE 4-20 MA, HASTE EM AÇO INOX 316, ROSCA 1/2" BSP COM POÇO DE INOX PARA SENSOR DE TEMPERATURA</t>
  </si>
  <si>
    <t>3751</t>
  </si>
  <si>
    <t>RELE DE FALTA DE FASE 380 V - 60 HZ</t>
  </si>
  <si>
    <t>40.10.020</t>
  </si>
  <si>
    <t>CONTATOR DE POTÊNCIA 9 A - 2NA+2NF</t>
  </si>
  <si>
    <t>61.15.030</t>
  </si>
  <si>
    <t>TRANSFORMADOR ABAIXADOR, ENTRADA 110/220V, SAÍDA 24V+24V, CORRENTE SECUNDÁRIO 6A</t>
  </si>
  <si>
    <t>070291</t>
  </si>
  <si>
    <t>BORNE TERMINAL SAK 35 MM2</t>
  </si>
  <si>
    <t>07105</t>
  </si>
  <si>
    <t>TRILHO DE ALUMINIO, PARA ROLDANA, DE (30X29)MM E COM COMPRIMENTO DE 3,00M</t>
  </si>
  <si>
    <t>SIURB</t>
  </si>
  <si>
    <t>53281</t>
  </si>
  <si>
    <t>CHAVE SELETORA COM 3 POSIÇÕES - 10 A</t>
  </si>
  <si>
    <t>CAERN</t>
  </si>
  <si>
    <t>EL 424</t>
  </si>
  <si>
    <t>CHAVE SELETORA 2 POSIÇÕES LOC REM</t>
  </si>
  <si>
    <t>90.04.002</t>
  </si>
  <si>
    <t>INDICADOR LUMINOSO REDONDO 24V - VERDE</t>
  </si>
  <si>
    <t>90.04.003</t>
  </si>
  <si>
    <t>INDICADOR LUMINOSO REDONDO 24V - VERMELHO</t>
  </si>
  <si>
    <t>24.1.4</t>
  </si>
  <si>
    <t>COMANDO - QUADRO QC-02</t>
  </si>
  <si>
    <t>24.1.4.1</t>
  </si>
  <si>
    <t>C1081</t>
  </si>
  <si>
    <t>24.1.4.2</t>
  </si>
  <si>
    <t>MATED-17408</t>
  </si>
  <si>
    <t>24.1.4.3</t>
  </si>
  <si>
    <t>ED-17680</t>
  </si>
  <si>
    <t>CANALETA DE RECORTE ABERTO EM PVC PARA PASSAGEM DE CABOS 50X50MM, INCLUSIVE FORNECIMENTO E INSTALAÇÃO</t>
  </si>
  <si>
    <t>24.1.4.4</t>
  </si>
  <si>
    <t>88400</t>
  </si>
  <si>
    <t>CAIXA METÁLICA EM AÇO CARBONO # 16 MSG (1,519 MM) COM PINTURA ELETROSTÁTICA NA COR CINZA RAL 7032 E DIMENSÕES 500X500X200MM (LXHXP)</t>
  </si>
  <si>
    <t>24.1.4.5</t>
  </si>
  <si>
    <t>15.036.0071-A</t>
  </si>
  <si>
    <t>ELETRODUTO DE PVC RIGIDO ROSQUEAVEL DE 1", INCLUSIVE CONEXOESE EMENDAS, EXCLUSIVE ABERTURA E FECHAMENTO DE RASGO.FORNECIMENTO E ASSENTAMENTO</t>
  </si>
  <si>
    <t>24.1.4.6</t>
  </si>
  <si>
    <t>CABO SHIELD 0,75 MM</t>
  </si>
  <si>
    <t>24.1.4.7</t>
  </si>
  <si>
    <t>88267</t>
  </si>
  <si>
    <t>24.1.4.8</t>
  </si>
  <si>
    <t>24.1.4.9</t>
  </si>
  <si>
    <t>43.20.200</t>
  </si>
  <si>
    <t>CONTROLADOR DE TEMPERATURA PARA ACIONAMENTO REMOTO BOMBA DE CALOR COM TERMOPAR PT-100 TIPO J COM TRÊS SAÍDAS RELÉ</t>
  </si>
  <si>
    <t>24.1.5</t>
  </si>
  <si>
    <t>FORNECIMENTO E INSTALAÇÃO DE EQUIPAMENTOS - DIESEL</t>
  </si>
  <si>
    <t>24.1.5.1</t>
  </si>
  <si>
    <t>0919002</t>
  </si>
  <si>
    <t>O TANQUE DE ARMAZENAMENTO DE DIESEL SERÁ DO TIPO HORIZONTAL AÉREO, CONFECCIONADO EM POLÍMERO PEAD (POLIETILENO DE ALTA DENSIDADE) PAREDE DUPLA. CONFORME AS NORMAS ABNT NBR 7505 E ABNT NBR 15461, COM VOLUME NOMINAL DE 14.000 L, INSTALADO SOBRE SUPORTES METÁLICOS (BERÇOS) DIMENSIONADOS PARA SUPORTAR O PESO TOTAL EM OPERAÇÃO. SERÁ PROVIDO DE BACIA DE CONTENÇÃO EM AAÇO CARBONO ASTM A36 OU ASTM A283 GR. C/D. COM CAPACIDADE IGUAL OU SUPERIOR A 14 M³, EQUIPADA COM DRENO. O SISTEMA CONTARÁ COM MEDIÇÃO DE NÍVEL DE COMBUSTÍVEL (VISOR TUBULAR, RÉGUA CALIBRADA), ATERRAMENTO ELÉTRICO CONFORME NBR 5410 E NBR 5419, BOCA DE VISITA PARA INSPEÇÃO E MANUTENÇÃO, SUSPIRO EMERGENCIAL PARA ALÍVIO DE SOBREPRESSÕES E VÁCUOS, E TODOS OS ACESSÓRIOS E DISPOSITIVOS NECESSÁRIOS PARA ATENDER ÀS EXIGÊNCIAS DE SEGURANÇA, OPERAÇÃO E MANUTENÇÃO ESTABELECIDAS PELAS NORMAS TÉCNICAS E PELO CORPO DE BOMBEIROS.</t>
  </si>
  <si>
    <t>24.1.5.2</t>
  </si>
  <si>
    <t>45.03.200</t>
  </si>
  <si>
    <t>CONJUNTO DE FILTRO COMBUSTÍVEL SEPARADOR DE ÁGUA, RACOR, MODELO 1.000 FH</t>
  </si>
  <si>
    <t>24.1.5.3</t>
  </si>
  <si>
    <t>102116</t>
  </si>
  <si>
    <t>FORNECIMENTO E INSTALAÇÃO DE BOMBA DE ENGRENAGEM PARA RECIRCULAÇÃO DO OLÉO DIESEL COM LIGAÇÕES IMEDITAS DE HIDRÁULICA, DO TIPO ENGRANAGEM, CONJUNTO MONO BLOCO, BACK PULL OUT, VAZÃO 3,7 M³/H, ALTURA MANOMÉTRICA 25 MCA, 1,5 CV, CORPO E ROTOR EM FERRO FUNDIDO, COM VEDAÇÃO SELO MECÂNICO VITON (TIPO 21 – JOHN CRONE) E MOTOR A PROVA DE EXPLOSÃO</t>
  </si>
  <si>
    <t>24.1.6</t>
  </si>
  <si>
    <t>TUBULAÇÕES</t>
  </si>
  <si>
    <t>24.1.6.1</t>
  </si>
  <si>
    <t>C2544</t>
  </si>
  <si>
    <t>TUBO EM AÇO GALVANIZADO A FOGO SCH40 ROSCA BSP C/OU S/COST.INCL.CONEXÕES D= 20MM (3/4")</t>
  </si>
  <si>
    <t>24.1.6.2</t>
  </si>
  <si>
    <t>C2546</t>
  </si>
  <si>
    <t>TUBO EM AÇO GALVANIZADO A FOGO SCH40 ROSCA BSP C/OU S/COST.INCL.CONEXÕES D= 32MM (1 1/4")</t>
  </si>
  <si>
    <t>24.1.6.3</t>
  </si>
  <si>
    <t>C2547</t>
  </si>
  <si>
    <t>TUBO EM AÇO GALVANIZADO A FOGO SCH40 ROSCA BSP C/OU S/COST.INCL.CONEXÕES D= 40MM(1 1/2")</t>
  </si>
  <si>
    <t>24.1.6.4</t>
  </si>
  <si>
    <t>C2553</t>
  </si>
  <si>
    <t>TUBO EM AÇO GALVANIZADO A FOGO SCH40 ROSCA BSP C/OU S/COST.INCL.CONEXÕES D=65MM (2 1/2")</t>
  </si>
  <si>
    <t>24.1.6.5</t>
  </si>
  <si>
    <t>47.01.180</t>
  </si>
  <si>
    <t>VÁLVULA ESFERA EM LATÃO Ø1 1/2"</t>
  </si>
  <si>
    <t>24.1.6.6</t>
  </si>
  <si>
    <t>FILTRO Y CLASSE 150 EM AÇO INOXIDÁVEL Ø3/4"</t>
  </si>
  <si>
    <t>24.1.6.7</t>
  </si>
  <si>
    <t>ED-48255</t>
  </si>
  <si>
    <t>FILTRO TIPO "Y" EM BRONZE, DIÂMETRO DE 3/4" NPT</t>
  </si>
  <si>
    <t>24.1.6.8</t>
  </si>
  <si>
    <t>11.06.37</t>
  </si>
  <si>
    <t>SUPORTAÇÃO PARA FIXAÇÃO DE TUBOS NA PAREDE COMPOSTA POR CANTORNEIRA 1" (GALVANIZADA A FOGO), 2 BUCHAS S8 COM PARAFUSO E ABRAÇADEIRA TIPO 'U' VERGALHÃO 42MM COM PORCA E ARUELA A CADA 2 METROS</t>
  </si>
  <si>
    <t>24.1.6.9</t>
  </si>
  <si>
    <t>VÁLVULA DE ESFERA MONOBLOCO EM LATÃO, PASSAGEM PLENA, ACIONAMENTO COM ALAVANCA, DN= 3/4´</t>
  </si>
  <si>
    <t>24.2</t>
  </si>
  <si>
    <t>GLP</t>
  </si>
  <si>
    <t>24.2.1</t>
  </si>
  <si>
    <t>10.50.02</t>
  </si>
  <si>
    <t>TUBO DE AÇO PRETO SCH-40 SEM COSTURA D= 1/2"</t>
  </si>
  <si>
    <t>24.2.2</t>
  </si>
  <si>
    <t>46.21.012</t>
  </si>
  <si>
    <t>TUBO DE AÇO CARBONO PRETO SEM COSTURA SCHEDULE 40, DN= 1´ - INCLUSIVE CONEXÕES</t>
  </si>
  <si>
    <t>24.2.3</t>
  </si>
  <si>
    <t>46.21.036</t>
  </si>
  <si>
    <t>TUBO DE AÇO CARBONO PRETO SEM COSTURA SCHEDULE 40, DN= 1 1/4´ - INCLUSIVE CONEXÕES</t>
  </si>
  <si>
    <t>24.2.4</t>
  </si>
  <si>
    <t>O.05.000.064127</t>
  </si>
  <si>
    <t>VÁLVULA AUTOMÁTICA EM FERRO DÚCTIL, CONTROLE DE NÍVEL MÁXIMA COM SOLENOIDE, DN= 50MM, CLASSE PN 10, REF. VA145 FE DA BERMAD, COM FLANE DA VALLAY, OU EQUIVALENTE</t>
  </si>
  <si>
    <t>24.2.5</t>
  </si>
  <si>
    <t>95248</t>
  </si>
  <si>
    <t>VÁLVULA DE ESFERA BRUTA, BRONZE, ROSCÁVEL, 1/2" - FORNECIMENTO E INSTALAÇÃO. AF_08/2021</t>
  </si>
  <si>
    <t>24.2.6</t>
  </si>
  <si>
    <t>24.2.7</t>
  </si>
  <si>
    <t>00011750</t>
  </si>
  <si>
    <t>VALVULA DE ESFERA BRUTA EM BRONZE, BITOLA 1 1/4"</t>
  </si>
  <si>
    <t>24.2.8</t>
  </si>
  <si>
    <t>I01170S</t>
  </si>
  <si>
    <t>CAP OU TAMPAO DE FERRO GALVANIZADO, COM ROSCA BSP, DE 1"</t>
  </si>
  <si>
    <t>24.2.9</t>
  </si>
  <si>
    <t>S09092</t>
  </si>
  <si>
    <t>REGULADOR DE ALTA PRESSÃO, D=28MM, TIPO FISHER, CLASSE 300, 1º ESTÁGIO (INSTALAÇÃO GÁS)</t>
  </si>
  <si>
    <t>24.2.10</t>
  </si>
  <si>
    <t>S09093</t>
  </si>
  <si>
    <t>REGULADOR DE BAIXA PRESSÃO, D=15MM, TIPO FISHER, CLASSE 300, 2º ESTÁGIO (INSTALAÇÃO GÁS)</t>
  </si>
  <si>
    <t>24.2.11</t>
  </si>
  <si>
    <t>47.20.010</t>
  </si>
  <si>
    <t>MANGUEIRA PIGTAIL TOMBACK 80 CM P-190 1/2" NPT MALHA LATÃO, CONFORME NBR 14177</t>
  </si>
  <si>
    <t>24.2.12</t>
  </si>
  <si>
    <t>100.80.081</t>
  </si>
  <si>
    <t>TUBO FLEXÍVEL TRANÇADO (MANGOTE) EM METAL AMARELO</t>
  </si>
  <si>
    <t>24.2.13</t>
  </si>
  <si>
    <t>9013013</t>
  </si>
  <si>
    <t>KIT SUPORTAÇÃO CONTENDO PERFILADO PERFURADO 38X19X6000MM CHAPA 16, ABRAÇADEIRA 1" TIPO "U" COM PARAFUSO, PORCA, CONTRAPORCA E ARRUELA LISA A CADA 2 METROS</t>
  </si>
  <si>
    <t>24.2.14</t>
  </si>
  <si>
    <t>50.05.214</t>
  </si>
  <si>
    <t>DETECTOR DE GÁS LIQUEFEITO (GLP), GÁS NATURAL (GN) OU DERIVADOS DE METANO</t>
  </si>
  <si>
    <t>24.2.15</t>
  </si>
  <si>
    <t>S09818</t>
  </si>
  <si>
    <t>CANTONEIRA DE AÇO PERFIL "L" EM ABAS IGUAIS 1"X1"X1/8" - REV. 01</t>
  </si>
  <si>
    <t>24.2.16</t>
  </si>
  <si>
    <t>ED-49447</t>
  </si>
  <si>
    <t>PERFILADO LISO (38X38)MM EM CHAPA DE AÇO GALVANIZADO #18, COM TRATAMENTO PRÉ-ZINCADO, INCLUSIVE FIXAÇÃO SUPERIOR, CONEXÕES E ACESSÓRIOS, EXCLUSIVE TAMPA DE ENCAIXE</t>
  </si>
  <si>
    <t>25</t>
  </si>
  <si>
    <t>GASES MEDICINAIS</t>
  </si>
  <si>
    <t>25.1</t>
  </si>
  <si>
    <t>GASES MEDICINAIS - FORNECIMENTO DE EQUIPAMENTOS</t>
  </si>
  <si>
    <t>25.1.1</t>
  </si>
  <si>
    <t>COT-GAS-01</t>
  </si>
  <si>
    <t>FORNECIMENTO E INSTALAÇÃO DE BOMBAS DE PALHETA ROTATIVA LUBRIFICADAS COM INVERSOR DE FREQUÊNCIA VAZÃO DE 130 M³/H CADA MONTADOS SOBRE O RESERVATÓRIO NA HORIZONTAL DE 500L, NÍVEL DE VÁCUO DE -600 MBAR (-450 MM HG), COM SISTEMA DE AUTOMAÇÃO EMBARCADA, QUE PERMITE PARAMETRIZAÇÃO COM NO MINÍMO FUNÇÕES DE RODÍZIO AUTOMATICO, MONITORAMENTO, GERENCIAMENTO DE PRESSÃO, HORIMÉTRO E SINALIZAÇÃO DE ALARMES. TENSÃO 3F//60HZ/380V. REF: GVC120 VSD DUPLEX TM500L - BDI = 17,31</t>
  </si>
  <si>
    <t>25.1.2</t>
  </si>
  <si>
    <t>COT-GAS-02</t>
  </si>
  <si>
    <t>FORNECIMENTO E INSTALAÇÃO DE COMPRESSORES DE AR COMPRIMIDO COM COMPRESSORES ROTATIVOS ISENTO DE OLÉO COM INVERSOR DE FREQUÊNCIA, COM SECADOR INTEGRADO E VAZÃO DE 192M³/H, SENDO 2 UNIDADES COMPRESSORES DE MESMA CAPACIDADE (SISTEMA: PRIMARIO, RESERVA) COM CARENAGEM, CONJUNTO DE FILTROS COALESCENTES DE AR TIPO ADSORÇÃO, SISTEMA DE AUTOMAÇÃO EMBARCADA, QUE PERMITE PARAMETRIZAÇÃO COM NO MINÍMO FUNÇÕES DE RODÍZIO AUTOMATICO, MONITORAMENTO, GERENCIAMENTO DE PRESSÃO, HORIMÉTRO E SINALIZAÇÃO DE ALARMES. TENSÃO 3F//60HZ/380V.FORNECIMENTO EM ATENDIMENTO PLENAMENTE AS EXIGÊNCIAS DA RESOLUÇÃO RDC-Nº50 DA ANVISA/MINISTÉRIO DA SAÚDE, NBR 12.188 DA ABNT E SUAS ALTERAÇÕES / ATUALIZAÇÕES E AS PRINCIPAIS NORMAS INTERNACIONAIS REFERENTES A QUALIDADE DO AR COMPRIMIDO UTILIZADO PARA FINS TERAPÊUTICOS. REF:ATLAS COPCO COMPRESSORES ZT-22 - BDI = 17,31</t>
  </si>
  <si>
    <t>25.2</t>
  </si>
  <si>
    <t>GASES MEDICINAIS - TUBULAÇÕES</t>
  </si>
  <si>
    <t>25.2.1</t>
  </si>
  <si>
    <t>18.050.0210-0</t>
  </si>
  <si>
    <t>PAINEL DE ALARME MICROPROCESSADO, COM ALARME SONORO E VISUAL PARA ÓXIDO NITROSO MEDICINAL COMPOSTO DECAIXA EM MATERIAL TERMOPLÁSTICO DE ALTA RESISTÊNCIA COM PINTURA NA COR BRANCA, IDENTIFICAÇÃO DO GÁS IMPRESSA NA CAIXA, MANÔMETRO DE 0-10 KGF/CM2 PRÉ-CALIBRADO PARA ACIONAMENTO DA PRESSÃO INFERIOR A 3,5 KGF/CM2, COM EXTENSÃO ESPIRALADA NA COR DO GÁS COM CONECTORES (CONEXÃO PADRÃO ABNT NBR 11906).</t>
  </si>
  <si>
    <t>25.2.2</t>
  </si>
  <si>
    <t>PAINEL DE ALARME MICROPROCESSADO, COM ALARME SONORO E VISUAL PARA AR COMPRIMIDO MEDICINAL COMPOSTO DECAIXA EM MATERIAL TERMOPLÁSTICO DE ALTA RESISTÊNCIA COM PINTURA NA COR BRANCA, IDENTIFICAÇÃO DO GÁS IMPRESSA NA CAIXA, MANÔMETRO DE 0-10 KGF/CM2 PRÉ-CALIBRADO PARA ACIONAMENTO DA PRESSÃO INFERIOR A 3,5 KGF/CM2, COM EXTENSÃO ESPIRALADA NA COR DO GÁS COM CONECTORES (CONEXÃO PADRÃO ABNT NBR 11906).</t>
  </si>
  <si>
    <t>25.2.3</t>
  </si>
  <si>
    <t>PAINEL DE ALARME MICROPROCESSADO, COM ALARME SONORO E VISUAL PARA OXIGÊNIO MEDICINAL COMPOSTO DE CAIXA EM MATERIAL TERMOPLÁSTICO DE ALTA RESISTÊNCIA COM PINTURA NA COR BRANCA, IDENTIFICAÇÃO DO GÁS IMPRESSA NA CAIXA, MANÔMETRO DE 0-10 KGF/CM2 PRÉ-CALIBRADO PARA ACIONAMENTO DA PRESSÃO INFERIOR A 3,5 KGF/CM2, COM EXTENSÃO ESPIRALADA NA COR DO GÁS COM CONECTORES (CONEXÃO PADRÃO ABNT NBR 11906).</t>
  </si>
  <si>
    <t>25.2.4</t>
  </si>
  <si>
    <t>PAINEL DE ALARME MICROPROCESSADO, COM ALARME SONORO E VISUAL PARA VÁCUO CLÍNICO MEDICINAL COMPOSTO DECAIXA EM MATERIAL TERMOPLÁSTICO DE ALTA RESISTÊNCIA COM PINTURA NA COR BRANCA, IDENTIFICAÇÃO DO GÁS IMPRESSA NA CAIXA, MANÔMETRO DE 0 A - 76 CMHG PRÉ-CALIBRADO PARA ACIONAMENTO DA PRESSÃO INFERIOR A 15 POL.HG, COM EXTENSÃO ESPIRALADA NA COR DO GÁS COM CONECTORES (CONEXÃO PADRÃO ABNT NBR 11906).</t>
  </si>
  <si>
    <t>25.2.5</t>
  </si>
  <si>
    <t>PAINEL MODULAR GASES MEDICINAIS P/LEITO HOSPITALAR, COMPR.1, 45M ALT.0, 30M, 3 MODULOS INDEPENDENTES CONTENDO 6 SAIDAS P/GASES, SENDO:2 SAIDAS OXIGENIO, 2 SAIDAS AR COMPRIMIDO 2 SAIDAS VACUO, ANVISA/MS (RDC 50-2002) ABNT NBR 12118, 11 TOMADAS ELETRICAS 110V, 2 TOMADAS ELETRICAS 220V, 2 TOMADAS LOGICA, 1 CHAMADA ENFERMAGEM, 1 LUMINARIA DESCANSO, 1 INTERRUPTOR.FORN.INSTAL.</t>
  </si>
  <si>
    <t>25.2.6</t>
  </si>
  <si>
    <t>18.050.0100-0</t>
  </si>
  <si>
    <t>KIT POSTO DE CONSUMO APARENTE PARA AR MEDICINAL+ VÁLVULA DE DUPLA RETENÇÃO + TARUGO 15MM X 1/4" RF</t>
  </si>
  <si>
    <t>25.2.7</t>
  </si>
  <si>
    <t>KIT POSTO DE CONSUMO APARENTE PARA OXIGÊNIO+ VÁLVULA DE DUPLA RETENÇÃO + TARUGO 15MM X 1/4" RF</t>
  </si>
  <si>
    <t>25.2.8</t>
  </si>
  <si>
    <t>KIT POSTO DE CONSUMO APARENTE PARA VÁCUO+ VÁLVULA DE DUPLA RETENÇÃO + TARUGO 15MM X 1/4" RF</t>
  </si>
  <si>
    <t>25.2.9</t>
  </si>
  <si>
    <t>KIT POSTO DE CONSUMO APARENTE PARA SEGA+ VÁLVULA DE DUPLA RETENÇÃO + TARUGO 15MM X 1/4" RF</t>
  </si>
  <si>
    <t>25.2.10</t>
  </si>
  <si>
    <t>18.050.0140-0</t>
  </si>
  <si>
    <t>CENTRAL DE ATENDIMENTO PARA POSTO DE ENFERMAGEM, SALAS CIRURGICAS E CENTROS CIRURGICOS, ATENDENDO ATE 20 LEITOS, COM SINALIZACAO SONORA E LUMINOSA.FORNECIMENTO E COLOCACAO</t>
  </si>
  <si>
    <t>25.2.11</t>
  </si>
  <si>
    <t>CENTRAL SEMI-AUTOMÁTICA PARA OXIGÊNIO MEDICINAL, CHAPA EM AÇO CARBONO PINTURA ELETROSTATICA BRANCA, COMPONENTES EM LATÃO, 2 REGULADORES DE PRESSÃO DE SIMPLES ESTÁGIO EM LATÃO, COM MECANISMO DE REVERSÃO, VÁLVULA DE ALÍVIO, VÁLVULA RTO, VÁLVULA ESFERA E CHICOTE DE AÇO INOXIDÁVEL PARA INTERLIGAÇÃO 2X20 CILINDROS</t>
  </si>
  <si>
    <t>25.2.12</t>
  </si>
  <si>
    <t>CENTRAL SEMI-AUTOMÁTICA PARA OXIDO NITROSO, CHAPA EM AÇO CARBONO PINTURA ELETROSTÁTICA BRANCA, COMPONENTES EM LATÃO, 2 REGULADORES DE PRESSÃO DE SIMPLES ESTÁGIO EM LATÃO, COM MECANISMO DE REVERSÃO, VÁLVULA DE ALÍVIO, VÁLVULA RTO, VÁLVULA ESFERA E CHICOTE DE AÇO INOXIDÁVEL PARA INTERLIGAÇÃO 2X2 CILINDROS</t>
  </si>
  <si>
    <t>25.2.13</t>
  </si>
  <si>
    <t>18.050.0120-0</t>
  </si>
  <si>
    <t>RÉGUA MEDICINAL COM POSICIONAMENTO HORIZONTAL, 03 PORTAS PARA CONSUMO PARA GASES (O2; AC; VC), 04 TOMADAS TRIPOLAR (220V - 20A), 01 PONTO DE LÓGICA E 01 PORTA PARA CHAMADA DE ENFERMAGEM</t>
  </si>
  <si>
    <t>25.2.14</t>
  </si>
  <si>
    <t>RÉGUA MEDICINAL COM POSICONAMENTO HORIZONTAL, 06 PORTAS PARA CONSUMO PARA GASES (O2 - O2; AC - AC; VC; N2O), 10 TOMADAS TRIPOLAR (220V - 20A), 01 PONTO DE LÓGICA</t>
  </si>
  <si>
    <t>25.2.15</t>
  </si>
  <si>
    <t>RÉGUA MEDICINAL COM POSICONAMENTO HORIZONTAL, 05 PORTAS PARA CONSUMO PARA GASES (O2 ; AC; VC; N2O; SEGA), 10 TOMADAS TRIPOLAR (220V - 20A), 01 PONTO DE LÓGICA</t>
  </si>
  <si>
    <t>25.2.16</t>
  </si>
  <si>
    <t>46.10.010</t>
  </si>
  <si>
    <t>TUBO DE COBRE RÍGIDO SEM COSTURA CLASSE A, CONFORME ABNT NBR 13206, DIÂMETRO DE 15 MM</t>
  </si>
  <si>
    <t>25.2.17</t>
  </si>
  <si>
    <t>46.10.020</t>
  </si>
  <si>
    <t>TUBO DE COBRE RÍGIDO SEM COSTURA CLASSE A, CONFORME ABNT NBR 13207, DIÂMETRO DE 22 MM</t>
  </si>
  <si>
    <t>25.2.18</t>
  </si>
  <si>
    <t>46.10.030</t>
  </si>
  <si>
    <t>TUBO DE COBRE RÍGIDO SEM COSTURA CLASSE A, CONFORME ABNT NBR 13208, DIÂMETRO DE 28 MM</t>
  </si>
  <si>
    <t>25.2.19</t>
  </si>
  <si>
    <t>46.10.040</t>
  </si>
  <si>
    <t>TUBO DE COBRE RÍGIDO SEM COSTURA CLASSE A, CONFORME ABNT NBR 13209, DIÂMETRO DE 35 MM</t>
  </si>
  <si>
    <t>25.2.20</t>
  </si>
  <si>
    <t>46.10.050</t>
  </si>
  <si>
    <t>TUBO DE COBRE RÍGIDO SEM COSTURA CLASSE A, CONFORME ABNT NBR 13210, DIÂMETRO DE 42 MM</t>
  </si>
  <si>
    <t>25.2.21</t>
  </si>
  <si>
    <t>46.10.060</t>
  </si>
  <si>
    <t>TUBO DE COBRE RÍGIDO SEM COSTURA CLASSE A, CONFORME ABNT NBR 13211, DIÂMETRO DE 54 MM</t>
  </si>
  <si>
    <t>25.2.22</t>
  </si>
  <si>
    <t>89633</t>
  </si>
  <si>
    <t>TUBO DE PVC-U SCHEDULE 80 (SCH 80) ROSCADO SEM COSTURA, DIÂMETRO DE 15 MM</t>
  </si>
  <si>
    <t>25.2.23</t>
  </si>
  <si>
    <t>89716</t>
  </si>
  <si>
    <t>TUBO DE PVC-U SCHEDULE 80 (SCH 80) ROSCADO SEM COSTURA, DIÂMETRO DE 22 MM</t>
  </si>
  <si>
    <t>25.2.24</t>
  </si>
  <si>
    <t>89717</t>
  </si>
  <si>
    <t>TUBO DE PVC-U SCHEDULE 80 (SCH 80) ROSCADO SEM COSTURA, DIÂMETRO DE 28 MM</t>
  </si>
  <si>
    <t>25.2.25</t>
  </si>
  <si>
    <t>89636</t>
  </si>
  <si>
    <t>TUBO DE PVC-U SCHEDULE 80 (SCH 80) ROSCADO SEM COSTURA, DIÂMETRO DE 35 MM</t>
  </si>
  <si>
    <t>25.2.26</t>
  </si>
  <si>
    <t>104021</t>
  </si>
  <si>
    <t>TUBO DE PVC-U SCHEDULE 80 (SCH 80) ROSCADO SEM COSTURA, DIÂMETRO DE 42 MM</t>
  </si>
  <si>
    <t>25.2.27</t>
  </si>
  <si>
    <t>TUBO, CPVC, SOLDÁVEL, DN 42MM, INSTALADO EM RAMAL DE DISTRIBUIÇÃO DE ÁGUA - FORNECIMENTO E INSTALAÇÃO. AF_06/2022</t>
  </si>
  <si>
    <t>25.2.28</t>
  </si>
  <si>
    <t>G0368</t>
  </si>
  <si>
    <t>VÁLVULA ESFERA TRIPARTIDA ROSCADAS COM FECHO RÁPIDO EM AÇO INOX 304 PASSAGEM PLENA PARA USO MEDICINAL Ø15MM</t>
  </si>
  <si>
    <t>25.2.29</t>
  </si>
  <si>
    <t>G0369</t>
  </si>
  <si>
    <t>VÁLVULA ESFERA TRIPARTIDA ROSCADAS COM FECHO RÁPIDO EM AÇO INOX 304 PASSAGEM PLENA PARA USO MEDICINAL Ø22MM</t>
  </si>
  <si>
    <t>25.2.30</t>
  </si>
  <si>
    <t>G0370</t>
  </si>
  <si>
    <t>VÁLVULA ESFERA TRIPARTIDA ROSCADAS COM FECHO RÁPIDO EM AÇO INOX 304 PASSAGEM PLENA PARA USO MEDICINAL Ø28MM</t>
  </si>
  <si>
    <t>25.2.31</t>
  </si>
  <si>
    <t>G0371</t>
  </si>
  <si>
    <t>VÁLVULA ESFERA TRIPARTIDA ROSCADAS COM FECHO RÁPIDO EM AÇO INOX 304 PASSAGEM PLENA PARA USO MEDICINAL Ø35MM</t>
  </si>
  <si>
    <t>25.2.32</t>
  </si>
  <si>
    <t>47.07.010</t>
  </si>
  <si>
    <t>VÁLVULA ESFERA TRIPARTIDA COM FECHO RÁPIDO EM PVC-U PASSAGEM PLENA PARA USO MEDICINAL Ø15MM</t>
  </si>
  <si>
    <t>25.2.33</t>
  </si>
  <si>
    <t>47.07.020</t>
  </si>
  <si>
    <t>VÁLVULA ESFERA TRIPARTIDA COM FECHO RÁPIDO EM PVC-U PASSAGEM PLENA PARA USO MEDICINAL Ø22MM</t>
  </si>
  <si>
    <t>25.2.34</t>
  </si>
  <si>
    <t>47.07.030</t>
  </si>
  <si>
    <t>VÁLVULA ESFERA TRIPARTIDA COM FECHO RÁPIDO EM PVC-U PASSAGEM PLENA PARA USO MEDICINAL Ø28MM</t>
  </si>
  <si>
    <t>25.2.35</t>
  </si>
  <si>
    <t>47.01.191</t>
  </si>
  <si>
    <t>VÁLVULA DE ESFERA MONOBLOCO EM LATÃO, PASSAGEM PLENA, ACIONAMENTO COM ALAVANCA, DN= 1.1/4´</t>
  </si>
  <si>
    <t>25.2.36</t>
  </si>
  <si>
    <t>S13555</t>
  </si>
  <si>
    <t>VÁLVULA DE ESFERA EM AÇO D = 1 1/2", COM ALAVANCA AZUL, DOCOL OU SIMILAR</t>
  </si>
  <si>
    <t>25.2.37</t>
  </si>
  <si>
    <t>26</t>
  </si>
  <si>
    <t>EQUIPAMENTOS</t>
  </si>
  <si>
    <t>26.1</t>
  </si>
  <si>
    <t>22.05.03</t>
  </si>
  <si>
    <t>FORNEC. E INSTAL. DE MONTA-CARGA COMPLETO C/ CAPAC. MAX=300KG, P/ 2 PARADAS - BDI = 17,31</t>
  </si>
  <si>
    <t>26.2</t>
  </si>
  <si>
    <t>CPU-EQ-001</t>
  </si>
  <si>
    <t>ELEVADORES PÚBLICO DE 1,6M X 2,5M (LXP), 24 PASSAGEIROS OU 2000KG, VELOCIDADE 105M/MIN - BDI = 17,31</t>
  </si>
  <si>
    <t>26.3</t>
  </si>
  <si>
    <t>CPU-EQ-02</t>
  </si>
  <si>
    <t>ELEVADOR DE SERVIÇO DE 1,6M X 2,5M (LXP), 24 PASSAGEIROS OU 2000KG, VELOCIDADE 105M/MIN - BDI = 17,31</t>
  </si>
  <si>
    <t>26.4</t>
  </si>
  <si>
    <t>CPU-EQ-03</t>
  </si>
  <si>
    <t>ELEVADOR DE EMERGÊNCIA DE 1,6M X 2,5M (LXP), 24 PASSAGEIROS OU 2000KG, VELOCIDADE 105M/MIN - BDI = 17,31</t>
  </si>
  <si>
    <t>27</t>
  </si>
  <si>
    <t>ELÉTRICO E ILUMINAÇÃO</t>
  </si>
  <si>
    <t>27.1</t>
  </si>
  <si>
    <t>QUADROS ELÉTRICOS</t>
  </si>
  <si>
    <t>27.1.1</t>
  </si>
  <si>
    <t>CP-EL-01</t>
  </si>
  <si>
    <t>PMT-SE-380-QTA-TR2, 24KV 630A 20KA. - BDI = 17,31</t>
  </si>
  <si>
    <t>27.1.2</t>
  </si>
  <si>
    <t>CP-EL-02</t>
  </si>
  <si>
    <t>PMT-SE-380-QTA-TR1, 24KV 630A 20KA. - BDI = 17,31</t>
  </si>
  <si>
    <t>27.1.3</t>
  </si>
  <si>
    <t>CP-EL-03</t>
  </si>
  <si>
    <t>PMT-SE-220-QTA-TR1, 24KV 630A 20KA. - BDI = 17,31</t>
  </si>
  <si>
    <t>27.1.4</t>
  </si>
  <si>
    <t>CP-EL-04</t>
  </si>
  <si>
    <t>PMT-SE-220-QTA-TR2, 24KV 630A 20KA. - BDI = 17,31</t>
  </si>
  <si>
    <t>27.1.5</t>
  </si>
  <si>
    <t>CP-EL-05</t>
  </si>
  <si>
    <t>PMT-SE-220-1, 24KV 630A 20KA. - BDI = 17,31</t>
  </si>
  <si>
    <t>27.1.6</t>
  </si>
  <si>
    <t>CP-EL-06</t>
  </si>
  <si>
    <t>PMT-SE-220-2, 24KV 630A 20KA. - BDI = 17,31</t>
  </si>
  <si>
    <t>27.1.7</t>
  </si>
  <si>
    <t>CP-EL-07</t>
  </si>
  <si>
    <t>PMT-SE-380-1, 24KV 630A 20KA. - BDI = 17,31</t>
  </si>
  <si>
    <t>27.1.8</t>
  </si>
  <si>
    <t>CP-EL-08</t>
  </si>
  <si>
    <t>PMT-SE-380-2, 24KV 630A 20KA. - BDI = 17,31</t>
  </si>
  <si>
    <t>27.1.9</t>
  </si>
  <si>
    <t>CP-EL-09</t>
  </si>
  <si>
    <t>PMT-SE-GMG, 24KV 630A 20KA. - BDI = 17,31</t>
  </si>
  <si>
    <t>27.1.10</t>
  </si>
  <si>
    <t>CP-EL-10</t>
  </si>
  <si>
    <t>PMT-SE-QTA 2, 24KV 630A 20KA. - BDI = 17,31</t>
  </si>
  <si>
    <t>27.1.11</t>
  </si>
  <si>
    <t>CP-EL-11</t>
  </si>
  <si>
    <t>PMT-SE-QTA 1, 24KV 630A 20KA. - BDI = 17,31</t>
  </si>
  <si>
    <t>27.1.12</t>
  </si>
  <si>
    <t>CP-EL-12</t>
  </si>
  <si>
    <t>PMT-C.E.M, 24KV 630A 20KA. - BDI = 17,31</t>
  </si>
  <si>
    <t>27.1.13</t>
  </si>
  <si>
    <t>CP-EL-13</t>
  </si>
  <si>
    <t>AC02.01.01 - 1080X600X220 - BDI = 17,31</t>
  </si>
  <si>
    <t>27.1.14</t>
  </si>
  <si>
    <t>CP-EL-14</t>
  </si>
  <si>
    <t>AC02.02.02 - 520X500X150 - BDI = 17,31</t>
  </si>
  <si>
    <t>27.1.15</t>
  </si>
  <si>
    <t>CP-EL-15</t>
  </si>
  <si>
    <t>AC02.02.03 - 800X600X220 - BDI = 17,31</t>
  </si>
  <si>
    <t>27.1.16</t>
  </si>
  <si>
    <t>CP-EL-16</t>
  </si>
  <si>
    <t>AC03.01.01 - 1080X600X220 - BDI = 17,31</t>
  </si>
  <si>
    <t>27.1.17</t>
  </si>
  <si>
    <t>CP-EL-17</t>
  </si>
  <si>
    <t>AC03.01.02 - 1080X600X220 - BDI = 17,31</t>
  </si>
  <si>
    <t>27.1.18</t>
  </si>
  <si>
    <t>CP-EL-18</t>
  </si>
  <si>
    <t>AC03.01.03 - 800X600X220 - BDI = 17,31</t>
  </si>
  <si>
    <t>27.1.19</t>
  </si>
  <si>
    <t>CP-EL-19</t>
  </si>
  <si>
    <t>AC03.02.01 - 1080X600X220 - BDI = 17,31</t>
  </si>
  <si>
    <t>27.1.20</t>
  </si>
  <si>
    <t>CP-EL-20</t>
  </si>
  <si>
    <t>AC03.02.02 - 1480X600X220 - BDI = 17,31</t>
  </si>
  <si>
    <t>27.1.21</t>
  </si>
  <si>
    <t>CP-EL-21</t>
  </si>
  <si>
    <t>AC03.02.03 - 1480X600X220 - BDI = 17,31</t>
  </si>
  <si>
    <t>27.1.22</t>
  </si>
  <si>
    <t>CP-EL-22</t>
  </si>
  <si>
    <t>ACO2.02.01 - 520X500X150 - BDI = 17,31</t>
  </si>
  <si>
    <t>27.1.23</t>
  </si>
  <si>
    <t>CP-EL-23</t>
  </si>
  <si>
    <t>ACTE.01.01 - 800X600X220 - BDI = 17,31</t>
  </si>
  <si>
    <t>27.1.24</t>
  </si>
  <si>
    <t>CP-EL-24</t>
  </si>
  <si>
    <t>ACTE.01.02 - 1080X600X220 - BDI = 17,31</t>
  </si>
  <si>
    <t>27.1.25</t>
  </si>
  <si>
    <t>CP-EL-25</t>
  </si>
  <si>
    <t>ACTE.01.03 - 800X600X220 - BDI = 17,31</t>
  </si>
  <si>
    <t>27.1.26</t>
  </si>
  <si>
    <t>CP-EL-26</t>
  </si>
  <si>
    <t>ACTE.02.01 - 520X500X150 - BDI = 17,31</t>
  </si>
  <si>
    <t>27.1.27</t>
  </si>
  <si>
    <t>CP-EL-27</t>
  </si>
  <si>
    <t>CD.02.01.01 - 1080X600X220 - BDI = 17,31</t>
  </si>
  <si>
    <t>27.1.28</t>
  </si>
  <si>
    <t>CP-EL-28</t>
  </si>
  <si>
    <t>CD.02.01.02 - 1080X600X220 - BDI = 17,31</t>
  </si>
  <si>
    <t>27.1.29</t>
  </si>
  <si>
    <t>CP-EL-29</t>
  </si>
  <si>
    <t>CD.02.01.03 - 1200X600X220 - BDI = 17,31</t>
  </si>
  <si>
    <t>27.1.30</t>
  </si>
  <si>
    <t>CP-EL-30</t>
  </si>
  <si>
    <t>CD.02.01.04 - 1200X600X220 - BDI = 17,31</t>
  </si>
  <si>
    <t>27.1.31</t>
  </si>
  <si>
    <t>CP-EL-31</t>
  </si>
  <si>
    <t>CD.02.01.05 - 1200X600X220 - BDI = 17,31</t>
  </si>
  <si>
    <t>27.1.32</t>
  </si>
  <si>
    <t>CP-EL-32</t>
  </si>
  <si>
    <t>CD.02.01.06 - 1700X700X250 - BDI = 17,31</t>
  </si>
  <si>
    <t>27.1.33</t>
  </si>
  <si>
    <t>CP-EL-33</t>
  </si>
  <si>
    <t>CD.02.01.07 - 1200X1200X220 - BDI = 17,31</t>
  </si>
  <si>
    <t>27.1.34</t>
  </si>
  <si>
    <t>CP-EL-34</t>
  </si>
  <si>
    <t>CD.02.01.08 - 1200X1200X220 - BDI = 17,31</t>
  </si>
  <si>
    <t>27.1.35</t>
  </si>
  <si>
    <t>CP-EL-35</t>
  </si>
  <si>
    <t>CD.B.01 - 800X600X220 - BDI = 17,31</t>
  </si>
  <si>
    <t>27.1.36</t>
  </si>
  <si>
    <t>CP-EL-36</t>
  </si>
  <si>
    <t>CD.CI.01 - 800X600X220 - BDI = 17,31</t>
  </si>
  <si>
    <t>27.1.37</t>
  </si>
  <si>
    <t>CP-EL-37</t>
  </si>
  <si>
    <t>CD.CR.01 - 800X600X220 - BDI = 17,31</t>
  </si>
  <si>
    <t>27.1.38</t>
  </si>
  <si>
    <t>CP-EL-38</t>
  </si>
  <si>
    <t>CD.ETA.01 - 800X600X220 - BDI = 17,31</t>
  </si>
  <si>
    <t>27.1.39</t>
  </si>
  <si>
    <t>CP-EL-39</t>
  </si>
  <si>
    <t>CD.G.01 - 800X600X220 - BDI = 17,31</t>
  </si>
  <si>
    <t>27.1.40</t>
  </si>
  <si>
    <t>CP-EL-40</t>
  </si>
  <si>
    <t>CD.G.02 - 800X600X220 - BDI = 17,31</t>
  </si>
  <si>
    <t>27.1.41</t>
  </si>
  <si>
    <t>CP-EL-41</t>
  </si>
  <si>
    <t>CD.G.03 - 800X600X220 - BDI = 17,31</t>
  </si>
  <si>
    <t>27.1.42</t>
  </si>
  <si>
    <t>CP-EL-42</t>
  </si>
  <si>
    <t>CD.SE.220V - 520X500X150 - BDI = 17,31</t>
  </si>
  <si>
    <t>27.1.43</t>
  </si>
  <si>
    <t>CP-EL-43</t>
  </si>
  <si>
    <t>CD.SE.EGMT - 800X600X220 - BDI = 17,31</t>
  </si>
  <si>
    <t>27.1.44</t>
  </si>
  <si>
    <t>CP-EL-44</t>
  </si>
  <si>
    <t>CD02.01.10 - 1500X600X220 - BDI = 17,31</t>
  </si>
  <si>
    <t>27.1.45</t>
  </si>
  <si>
    <t>CP-EL-45</t>
  </si>
  <si>
    <t>CD02.01.11 - 1480X600X220 - BDI = 17,31</t>
  </si>
  <si>
    <t>27.1.46</t>
  </si>
  <si>
    <t>CP-EL-46</t>
  </si>
  <si>
    <t>CD02.01.12 - 1080X600X220 - BDI = 17,31</t>
  </si>
  <si>
    <t>27.1.47</t>
  </si>
  <si>
    <t>CP-EL-47</t>
  </si>
  <si>
    <t>CD02.01.13 - 1080X600X220 - BDI = 17,31</t>
  </si>
  <si>
    <t>27.1.48</t>
  </si>
  <si>
    <t>CP-EL-48</t>
  </si>
  <si>
    <t>CD02.01.14 - 1080X600X220 - BDI = 17,31</t>
  </si>
  <si>
    <t>27.1.49</t>
  </si>
  <si>
    <t>CP-EL-49</t>
  </si>
  <si>
    <t>CD02.01.15 - 1600X700X220 - BDI = 17,31</t>
  </si>
  <si>
    <t>27.1.50</t>
  </si>
  <si>
    <t>CP-EL-50</t>
  </si>
  <si>
    <t>CD02.02.02 - 1480X600X220 - BDI = 17,31</t>
  </si>
  <si>
    <t>27.1.51</t>
  </si>
  <si>
    <t>CP-EL-51</t>
  </si>
  <si>
    <t>CD02.02.04 - 1080X600X220 - BDI = 17,31</t>
  </si>
  <si>
    <t>27.1.52</t>
  </si>
  <si>
    <t>CP-EL-52</t>
  </si>
  <si>
    <t>CD02.02.05 - 800X600X220 - BDI = 17,31</t>
  </si>
  <si>
    <t>27.1.53</t>
  </si>
  <si>
    <t>CP-EL-53</t>
  </si>
  <si>
    <t>CD02.02.06 - 1080X600X220 - BDI = 17,31</t>
  </si>
  <si>
    <t>27.1.54</t>
  </si>
  <si>
    <t>CP-EL-54</t>
  </si>
  <si>
    <t>CD02.02.07 - 1480X600X220 - BDI = 17,31</t>
  </si>
  <si>
    <t>27.1.55</t>
  </si>
  <si>
    <t>CP-EL-55</t>
  </si>
  <si>
    <t>CD02.02.08 - 1480X600X220 - BDI = 17,31</t>
  </si>
  <si>
    <t>27.1.56</t>
  </si>
  <si>
    <t>CP-EL-56</t>
  </si>
  <si>
    <t>CD02.02.09 - 1200X600X220 - BDI = 17,31</t>
  </si>
  <si>
    <t>27.1.57</t>
  </si>
  <si>
    <t>CP-EL-57</t>
  </si>
  <si>
    <t>CD02.02.1 - 1480X600X220 - BDI = 17,31</t>
  </si>
  <si>
    <t>27.1.58</t>
  </si>
  <si>
    <t>CP-EL-58</t>
  </si>
  <si>
    <t>CD03.01.01 - 800X600X220 - BDI = 17,31</t>
  </si>
  <si>
    <t>27.1.59</t>
  </si>
  <si>
    <t>CP-EL-59</t>
  </si>
  <si>
    <t>CD03.01.02 - 1080X600X220 - BDI = 17,31</t>
  </si>
  <si>
    <t>27.1.60</t>
  </si>
  <si>
    <t>CP-EL-60</t>
  </si>
  <si>
    <t>CD03.01.03 - 1080X600X220 - BDI = 17,31</t>
  </si>
  <si>
    <t>27.1.61</t>
  </si>
  <si>
    <t>CP-EL-61</t>
  </si>
  <si>
    <t>CD03.01.04 - 1480X600X220 - BDI = 17,31</t>
  </si>
  <si>
    <t>27.1.62</t>
  </si>
  <si>
    <t>CP-EL-62</t>
  </si>
  <si>
    <t>CD03.01.05 - 1080X600X220 - BDI = 17,31</t>
  </si>
  <si>
    <t>27.1.63</t>
  </si>
  <si>
    <t>CP-EL-63</t>
  </si>
  <si>
    <t>CD03.01.06 - 800X600X220 - BDI = 17,31</t>
  </si>
  <si>
    <t>27.1.64</t>
  </si>
  <si>
    <t>CP-EL-64</t>
  </si>
  <si>
    <t>CD03.02.01 - 1480X600X220 - BDI = 17,31</t>
  </si>
  <si>
    <t>27.1.65</t>
  </si>
  <si>
    <t>CP-EL-65</t>
  </si>
  <si>
    <t>CD03.02.02 - 1080X600X220 - BDI = 17,31</t>
  </si>
  <si>
    <t>27.1.66</t>
  </si>
  <si>
    <t>CP-EL-66</t>
  </si>
  <si>
    <t>CD03.02.03 - 1080X600X220 - BDI = 17,31</t>
  </si>
  <si>
    <t>27.1.67</t>
  </si>
  <si>
    <t>CP-EL-67</t>
  </si>
  <si>
    <t>CD03.03.01 - 1080X600X220 - BDI = 17,31</t>
  </si>
  <si>
    <t>27.1.68</t>
  </si>
  <si>
    <t>CP-EL-68</t>
  </si>
  <si>
    <t>CD03.03.02 - 1080X600X220 - BDI = 17,31</t>
  </si>
  <si>
    <t>27.1.69</t>
  </si>
  <si>
    <t>CP-EL-69</t>
  </si>
  <si>
    <t>CDTE.01.01 - 800X600X220 - BDI = 17,31</t>
  </si>
  <si>
    <t>27.1.70</t>
  </si>
  <si>
    <t>CP-EL-70</t>
  </si>
  <si>
    <t>CDTE.01.02 - 1200X600X220 - BDI = 17,31</t>
  </si>
  <si>
    <t>27.1.71</t>
  </si>
  <si>
    <t>CP-EL-71</t>
  </si>
  <si>
    <t>CDTE.01.03 - 800X600X220 - BDI = 17,31</t>
  </si>
  <si>
    <t>27.1.72</t>
  </si>
  <si>
    <t>CP-EL-72</t>
  </si>
  <si>
    <t>CDTE.01.04 - 1080X600X220 - BDI = 17,31</t>
  </si>
  <si>
    <t>27.1.73</t>
  </si>
  <si>
    <t>CP-EL-73</t>
  </si>
  <si>
    <t>CDTE.01.05 - 1600X700X220 - BDI = 17,31</t>
  </si>
  <si>
    <t>27.1.74</t>
  </si>
  <si>
    <t>CP-EL-74</t>
  </si>
  <si>
    <t>CDTE.01.06 - 1080X600X220 - BDI = 17,31</t>
  </si>
  <si>
    <t>27.1.75</t>
  </si>
  <si>
    <t>CP-EL-75</t>
  </si>
  <si>
    <t>CDTE.02.01 - 1200X600X220 - BDI = 17,31</t>
  </si>
  <si>
    <t>27.1.76</t>
  </si>
  <si>
    <t>CP-EL-76</t>
  </si>
  <si>
    <t>CDTE.02.02 - 1200X600X220 - BDI = 17,31</t>
  </si>
  <si>
    <t>27.1.77</t>
  </si>
  <si>
    <t>CP-EL-77</t>
  </si>
  <si>
    <t>CDTE.02.03 - 1200X600X220 - BDI = 17,31</t>
  </si>
  <si>
    <t>27.1.78</t>
  </si>
  <si>
    <t>CP-EL-78</t>
  </si>
  <si>
    <t>CDTE.02.04 - 1200X600X220 - BDI = 17,31</t>
  </si>
  <si>
    <t>27.1.79</t>
  </si>
  <si>
    <t>CP-EL-79</t>
  </si>
  <si>
    <t>CDTE.02.05 - 1080X600X220 - BDI = 17,31</t>
  </si>
  <si>
    <t>27.1.80</t>
  </si>
  <si>
    <t>CP-EL-80</t>
  </si>
  <si>
    <t>CDTE.02.06 - 1080X600X220 - BDI = 17,31</t>
  </si>
  <si>
    <t>27.1.81</t>
  </si>
  <si>
    <t>CP-EL-81</t>
  </si>
  <si>
    <t>CDTE.02.07 - 1080X600X220 - BDI = 17,31</t>
  </si>
  <si>
    <t>27.1.82</t>
  </si>
  <si>
    <t>CP-EL-82</t>
  </si>
  <si>
    <t>CDTP.01.01 - 1080X600X220 - BDI = 17,31</t>
  </si>
  <si>
    <t>27.1.83</t>
  </si>
  <si>
    <t>CP-EL-83</t>
  </si>
  <si>
    <t>GMV - 800X600X220 - BDI = 17,31</t>
  </si>
  <si>
    <t>27.1.84</t>
  </si>
  <si>
    <t>CP-EL-84</t>
  </si>
  <si>
    <t>ILUM.O1 - 1080X600X220 - BDI = 17,31</t>
  </si>
  <si>
    <t>27.1.85</t>
  </si>
  <si>
    <t>CP-EL-85</t>
  </si>
  <si>
    <t>ILUM.O10 - 1080X600X220 - BDI = 17,31</t>
  </si>
  <si>
    <t>27.1.86</t>
  </si>
  <si>
    <t>CP-EL-86</t>
  </si>
  <si>
    <t>ILUM.O11 - 1080X600X220 - BDI = 17,31</t>
  </si>
  <si>
    <t>27.1.87</t>
  </si>
  <si>
    <t>CP-EL-87</t>
  </si>
  <si>
    <t>ILUM.O2 - 1080X600X220 - BDI = 17,31</t>
  </si>
  <si>
    <t>27.1.88</t>
  </si>
  <si>
    <t>CP-EL-88</t>
  </si>
  <si>
    <t>ILUM.O3 - 1080X600X220 - BDI = 17,31</t>
  </si>
  <si>
    <t>27.1.89</t>
  </si>
  <si>
    <t>CP-EL-89</t>
  </si>
  <si>
    <t>ILUM.O4 - 1080X600X220 - BDI = 17,31</t>
  </si>
  <si>
    <t>27.1.90</t>
  </si>
  <si>
    <t>CP-EL-90</t>
  </si>
  <si>
    <t>ILUM.O5 - 1080X600X220 - BDI = 17,31</t>
  </si>
  <si>
    <t>27.1.91</t>
  </si>
  <si>
    <t>CP-EL-91</t>
  </si>
  <si>
    <t>ILUM.O6 - 1080X600X220 - BDI = 17,31</t>
  </si>
  <si>
    <t>27.1.92</t>
  </si>
  <si>
    <t>CP-EL-92</t>
  </si>
  <si>
    <t>ILUM.O7 - 1080X600X220 - BDI = 17,31</t>
  </si>
  <si>
    <t>27.1.93</t>
  </si>
  <si>
    <t>CP-EL-93</t>
  </si>
  <si>
    <t>ILUM.O8 - 1080X600X220 - BDI = 17,31</t>
  </si>
  <si>
    <t>27.1.94</t>
  </si>
  <si>
    <t>CP-EL-94</t>
  </si>
  <si>
    <t>ILUM.O9 - 1080X600X220 - BDI = 17,31</t>
  </si>
  <si>
    <t>27.1.95</t>
  </si>
  <si>
    <t>CP-EL-95</t>
  </si>
  <si>
    <t>OXL.01 - 800X600X220 - BDI = 17,31</t>
  </si>
  <si>
    <t>27.1.96</t>
  </si>
  <si>
    <t>CP-EL-96</t>
  </si>
  <si>
    <t>QF.02.01 - 2100X900X400 - BDI = 17,31</t>
  </si>
  <si>
    <t>27.1.97</t>
  </si>
  <si>
    <t>CP-EL-97</t>
  </si>
  <si>
    <t>QF.02.02 - 1080X600X220 - BDI = 17,31</t>
  </si>
  <si>
    <t>27.1.98</t>
  </si>
  <si>
    <t>CP-EL-98</t>
  </si>
  <si>
    <t>QF.02.02 - 2100X1100X600 - BDI = 17,31</t>
  </si>
  <si>
    <t>27.1.99</t>
  </si>
  <si>
    <t>CP-EL-99</t>
  </si>
  <si>
    <t>QF.02.380V - 2100X900X600 - BDI = 17,31</t>
  </si>
  <si>
    <t>27.1.100</t>
  </si>
  <si>
    <t>CP-EL-100</t>
  </si>
  <si>
    <t>QF.03.01 - 1600X800X300 - BDI = 17,31</t>
  </si>
  <si>
    <t>27.1.101</t>
  </si>
  <si>
    <t>CP-EL-101</t>
  </si>
  <si>
    <t>QF.03.02 - 1200X800X250 - BDI = 17,31</t>
  </si>
  <si>
    <t>27.1.102</t>
  </si>
  <si>
    <t>CP-EL-102</t>
  </si>
  <si>
    <t>QF.03.03 - 2100X900X600 - BDI = 17,31</t>
  </si>
  <si>
    <t>27.1.103</t>
  </si>
  <si>
    <t>CP-EL-103</t>
  </si>
  <si>
    <t>QF.10.01 - 1200X600X220 - BDI = 17,31</t>
  </si>
  <si>
    <t>27.1.104</t>
  </si>
  <si>
    <t>CP-EL-104</t>
  </si>
  <si>
    <t>QF.10.380V - 1200X700X250 - BDI = 17,31</t>
  </si>
  <si>
    <t>27.1.105</t>
  </si>
  <si>
    <t>CP-EL-105</t>
  </si>
  <si>
    <t>QF.CME - 1600X800X300 - BDI = 17,31</t>
  </si>
  <si>
    <t>27.1.106</t>
  </si>
  <si>
    <t>CP-EL-106</t>
  </si>
  <si>
    <t>QF.ITM.01.01 - 800X600X220 - BDI = 17,31</t>
  </si>
  <si>
    <t>27.1.107</t>
  </si>
  <si>
    <t>CP-EL-107</t>
  </si>
  <si>
    <t>QF.ITM.01.02 - 800X600X220 - BDI = 17,31</t>
  </si>
  <si>
    <t>27.1.108</t>
  </si>
  <si>
    <t>CP-EL-108</t>
  </si>
  <si>
    <t>QF.ITM.01.03 - 800X600X220 - BDI = 17,31</t>
  </si>
  <si>
    <t>27.1.109</t>
  </si>
  <si>
    <t>CP-EL-109</t>
  </si>
  <si>
    <t>QF.ITM.01.04 - 800X600X220 - BDI = 17,31</t>
  </si>
  <si>
    <t>27.1.110</t>
  </si>
  <si>
    <t>CP-EL-110</t>
  </si>
  <si>
    <t>QF.ITM.02.01 - 800X600X220 - BDI = 17,31</t>
  </si>
  <si>
    <t>27.1.111</t>
  </si>
  <si>
    <t>CP-EL-111</t>
  </si>
  <si>
    <t>QF.ITM.02.02 - 800X600X220 - BDI = 17,31</t>
  </si>
  <si>
    <t>27.1.112</t>
  </si>
  <si>
    <t>CP-EL-112</t>
  </si>
  <si>
    <t>QF.ITM.02.03 - 800X600X220 - BDI = 17,31</t>
  </si>
  <si>
    <t>27.1.113</t>
  </si>
  <si>
    <t>CP-EL-113</t>
  </si>
  <si>
    <t>QF.ITM.02.04 - 800X600X220 - BDI = 17,31</t>
  </si>
  <si>
    <t>27.1.114</t>
  </si>
  <si>
    <t>CP-EL-114</t>
  </si>
  <si>
    <t>QF.TE.01 - 1600X800X250 - BDI = 17,31</t>
  </si>
  <si>
    <t>27.1.115</t>
  </si>
  <si>
    <t>CP-EL-115</t>
  </si>
  <si>
    <t>QF.TE.02 - 1600X800X220 - BDI = 17,31</t>
  </si>
  <si>
    <t>27.1.116</t>
  </si>
  <si>
    <t>CP-EL-116</t>
  </si>
  <si>
    <t>QF.TP.01 - 1600X1400X300 - BDI = 17,31</t>
  </si>
  <si>
    <t>27.1.117</t>
  </si>
  <si>
    <t>CP-EL-117</t>
  </si>
  <si>
    <t>QFAC03.01 - 1200X600X220 - BDI = 17,31</t>
  </si>
  <si>
    <t>27.1.118</t>
  </si>
  <si>
    <t>CP-EL-118</t>
  </si>
  <si>
    <t>QFAC03.02 - 1200X600X220 - BDI = 17,31</t>
  </si>
  <si>
    <t>27.1.119</t>
  </si>
  <si>
    <t>CP-EL-119</t>
  </si>
  <si>
    <t>QGBT.220.01 - 2100X2900X1000 - BDI = 17,31</t>
  </si>
  <si>
    <t>27.1.120</t>
  </si>
  <si>
    <t>CP-EL-120</t>
  </si>
  <si>
    <t>QGBT.220.02 - 2100X3800X1000 - BDI = 17,31</t>
  </si>
  <si>
    <t>27.1.121</t>
  </si>
  <si>
    <t>CP-EL-121</t>
  </si>
  <si>
    <t>QGBT.380.01 - 2100X2000X600 - BDI = 17,31</t>
  </si>
  <si>
    <t>27.1.122</t>
  </si>
  <si>
    <t>CP-EL-122</t>
  </si>
  <si>
    <t>QGBT.380.02 - 2100X1600X600 - BDI = 17,31</t>
  </si>
  <si>
    <t>27.1.123</t>
  </si>
  <si>
    <t>CP-EL-123</t>
  </si>
  <si>
    <t>QGBT.EGMT.01 - 1200X800X300 - BDI = 17,31</t>
  </si>
  <si>
    <t>27.1.124</t>
  </si>
  <si>
    <t>CP-EL-124</t>
  </si>
  <si>
    <t>QGBT.EGMT.02 - 1200X800X300 - BDI = 17,31</t>
  </si>
  <si>
    <t>27.1.125</t>
  </si>
  <si>
    <t>CP-EL-125</t>
  </si>
  <si>
    <t>QTM.01 - 1200X800X300 - BDI = 17,31</t>
  </si>
  <si>
    <t>27.1.126</t>
  </si>
  <si>
    <t>CP-EL-126</t>
  </si>
  <si>
    <t>QTM.02 - 1200X800X300 - BDI = 17,31</t>
  </si>
  <si>
    <t>27.2</t>
  </si>
  <si>
    <t>EGMT</t>
  </si>
  <si>
    <t>27.2.1</t>
  </si>
  <si>
    <t>SETOR MT, QGBTS E GERADORES</t>
  </si>
  <si>
    <t>27.2.1.1</t>
  </si>
  <si>
    <t>09.01.029</t>
  </si>
  <si>
    <t>ENTRADA DE ENERGIA PARA DUPLO ALIMENTADOR PADRÃO ENEL A SER DEFINIDA EM PROJETO EXECUTIVO</t>
  </si>
  <si>
    <t>27.2.1.2</t>
  </si>
  <si>
    <t>C4062</t>
  </si>
  <si>
    <t>GRUPOR MOTOR / GERADOR 750 KVA - 60HZ 380/254V, EQUIPADO COM: 1 CONJUNTO DE AMORTECEDORES; 2 BATERIAS CHUMBO-ÁCIDO 12V - 150AH; 1 TANQUE DE COMBUSTÍVEL EM POLIETILENO DE 250 LITROS; 1 CONJUNTO DE ESCAPAMENTO; 1 CONJUNTO DE ATENUADORES DE RUÍDOS P/ ASPIRAÇÃO DE AR FRIO, EXAUSTÃO DE AR QUENTE COM ATENUAÇÃO DE 75DB PARA FUNCIONAMENTO EM PARALELO ATIVO EM QUATRO GRUPOS MAIS UM RESERVA - BDI = 17,31</t>
  </si>
  <si>
    <t>27.2.1.3</t>
  </si>
  <si>
    <t>00007661</t>
  </si>
  <si>
    <t>COMPLEMENTO DE TUBULAÇÃO DE ESCAPAMENTO DE GASES EM AÇO SCHEDULE 40 8"</t>
  </si>
  <si>
    <t>27.2.1.4</t>
  </si>
  <si>
    <t>I13203</t>
  </si>
  <si>
    <t>FLANGE 8" EM AÇO PARA TUBULAÇÃO DE ESCAPAMENTO</t>
  </si>
  <si>
    <t>27.2.1.5</t>
  </si>
  <si>
    <t>CPU-ELE-HUUFCA-006</t>
  </si>
  <si>
    <t>PAINEL DE PARALELISMO PARA GRUPOS GERADORES PBT-PARALELISMO1 CONFORME DIAGRAMA UNIFILAR E MEMORIAL DESCRITIVO - BDI = 17,31</t>
  </si>
  <si>
    <t>27.2.1.6</t>
  </si>
  <si>
    <t>37.16.071</t>
  </si>
  <si>
    <t>BARRAMENTO BLINDADO COBRE 5 POLOS 5000A COM ACESSÓRIOS</t>
  </si>
  <si>
    <t>27.2.1.7</t>
  </si>
  <si>
    <t>IT 24.72.0112 (/)</t>
  </si>
  <si>
    <t>TRANSFORMADOR DE DISTRIBUIÇÃO TRIFÁSICO A SECO, EQUIPADO COM INVÓLUCRO/CUBÍCULO DE PROTEÇÃO, LIGAÇÃO DELTA-ESTRELA ATERRADA, POTÊNCIA NOMINAL = 3000KVA - 60HZ, IMPEDÂNCIA 6,00%, PRIMÁRIO (M.T.) = 13,8/13,2/12,6/12,0/11,4KV - SECUNDÁRIO (B.T.) =380/220V, IP 21, EFICIÊNCIA MINIMA "B" COM SISTEMA DE PROTEÇÃO TÉRMICA, PROTOCOLO DE COMUNICAÇÃO TCPIP/RS 485 MODBUS, COM CONEXÕES, FIXAÇÕES E ACESSÓRIOS - FORNECIMENTO (SERVIÇO)</t>
  </si>
  <si>
    <t>27.2.1.8</t>
  </si>
  <si>
    <t>COT-ELE-HUUFCA-001</t>
  </si>
  <si>
    <t>TRANSFORMADOR DE DISTRIBUIÇÃO TRIFÁSICO A SECO, EQUIPADO COM INVÓLUCRO/CUBÍCULO DE PROTEÇÃO, LIGAÇÃO DELTA-ESTRELA ATERRADA, POTÊNCIA NOMINAL = 3000KVA - 60HZ, IMPEDÂNCIA 6,00%, PRIMÁRIO (M.T.) = 13,8/13,2/12,6/12,0/11,4KV - SECUNDÁRIO (B.T.) =380/220V, IP 21, EFICIÊNCIA MINIMA "B" COM SISTEMA DE PROTEÇÃO TÉRMICA, PROTOCOLO DE COMUNICAÇÃO TCPIP/RS 485 MODBUS, COM CONEXÕES, FIXAÇÕES E ACESSÓRIOS - FORNECIMENTO (FORNECIMENTO DE MATERIAL) - BDI = 17,31</t>
  </si>
  <si>
    <t>27.2.1.9</t>
  </si>
  <si>
    <t>TRANSFORMADOR DE DISTRIBUIÇÃO TRIFÁSICO A SECO, EQUIPADO COM INVÓLUCRO/CUBÍCULO DE PROTEÇÃO, LIGAÇÃO DELTA-ESTRELA ATERRADA, POTÊNCIA NOMINAL = 225KVA - 60HZ, IMPEDÂNCIA 6,00%, PRIMÁRIO (M.T.) = 13,8/13,2/12,6/12,0/11,4KV - SECUNDÁRIO (B.T.) =220/127V, IP 21, EFICIÊNCIA MINIMA "B" COM SISTEMA DE PROTEÇÃO TÉRMICA, PROTOCOLO DE COMUNICAÇÃO TCPIP/RS 485 MODBUS, COM CONEXÕES, FIXAÇÕES E ACESSÓRIOS - FORNECIMENTO (SERVIÇO)</t>
  </si>
  <si>
    <t>COT-ELE-HUUFCA-002</t>
  </si>
  <si>
    <t>TRANSFORMADOR DE DISTRIBUIÇÃO TRIFÁSICO A SECO, EQUIPADO COM INVÓLUCRO/CUBÍCULO DE PROTEÇÃO, LIGAÇÃO DELTA-ESTRELA ATERRADA, POTÊNCIA NOMINAL = 225KVA - 60HZ, IMPEDÂNCIA 6,00%, PRIMÁRIO (M.T.) = 13,8/13,2/12,6/12,0/11,4KV - SECUNDÁRIO (B.T.) =220/127V, IP 21, EFICIÊNCIA MINIMA "B" COM SISTEMA DE PROTEÇÃO TÉRMICA, PROTOCOLO DE COMUNICAÇÃO TCPIP/RS 485 MODBUS, COM CONEXÕES, FIXAÇÕES E ACESSÓRIOS - FORNECIMENTO (FORNECIMENTO DE MATERIAL) - BDI = 17,31</t>
  </si>
  <si>
    <t>39.06.084</t>
  </si>
  <si>
    <t>CABO DE COBRE SINGELO, SEÇÃO 120MM², ENCORDOAMENTO CLASSE 5, ISOLAÇÃO 12/20KV - 90º</t>
  </si>
  <si>
    <t>15.008.0394-0</t>
  </si>
  <si>
    <t>CABO DE COBRE SINGELO, SEÇÃO 70MM², ENCORDOAMENTO CLASSE 5, ISOLAÇÃO 12/20KV - 90º</t>
  </si>
  <si>
    <t>09.014.017 (E)</t>
  </si>
  <si>
    <t>CABO DE COBRE SINGELO, SEÇÃO 35MM², ENCORDOAMENTO CLASSE 5, ISOLAÇÃO 12/20KV - 90º</t>
  </si>
  <si>
    <t>09.016.018 (E)</t>
  </si>
  <si>
    <t>BANCO AUTOMÁTICO DE CAPACITORES, 40 KVAR, 110/220V, TRIFÁSICO, MONTADO EM PAINEL PARA CORREÇÃO DE FATOR DE POTÊNCIA - BDI = 17,31</t>
  </si>
  <si>
    <t>27.2.2</t>
  </si>
  <si>
    <t>ELETRODUTOS</t>
  </si>
  <si>
    <t>27.2.2.1</t>
  </si>
  <si>
    <t>91855</t>
  </si>
  <si>
    <t>ELETRODUTO FLEXÍVEL - PAREDE - 3/4"</t>
  </si>
  <si>
    <t>27.2.2.2</t>
  </si>
  <si>
    <t>91872</t>
  </si>
  <si>
    <t>ELETRODUTO RÍGIDO - PAREDE - 1"</t>
  </si>
  <si>
    <t>27.2.2.3</t>
  </si>
  <si>
    <t>91871</t>
  </si>
  <si>
    <t>ELETRODUTO RÍGIDO - PAREDE - 3/4"</t>
  </si>
  <si>
    <t>27.2.2.4</t>
  </si>
  <si>
    <t>93012</t>
  </si>
  <si>
    <t>ELETRODUTO RÍGIDO - PISO - 4"</t>
  </si>
  <si>
    <t>27.2.2.5</t>
  </si>
  <si>
    <t>91867</t>
  </si>
  <si>
    <t>ELETRODUTO RÍGIDO - PISO - 3/4"</t>
  </si>
  <si>
    <t>27.2.2.6</t>
  </si>
  <si>
    <t>91863</t>
  </si>
  <si>
    <t>ELETRODUTO RÍGIDO - TETO - 3/4"</t>
  </si>
  <si>
    <t>27.2.2.7</t>
  </si>
  <si>
    <t>91864</t>
  </si>
  <si>
    <t>ELETRODUTO RÍGIDO - TETO - 1"</t>
  </si>
  <si>
    <t>27.2.2.8</t>
  </si>
  <si>
    <t>91893</t>
  </si>
  <si>
    <t>CURVA ROSCÁVEL MACHO - RÍGIDO - 1"</t>
  </si>
  <si>
    <t>27.2.2.9</t>
  </si>
  <si>
    <t>91914</t>
  </si>
  <si>
    <t>CURVA ROSCÁVEL MACHO - RÍGIDO - 3/4"</t>
  </si>
  <si>
    <t>IP 29.20.0503 (/)</t>
  </si>
  <si>
    <t>LUVA ROSCÁVEL - RÍGIDO - 1"</t>
  </si>
  <si>
    <t>S01300</t>
  </si>
  <si>
    <t>LUVA ROSCÁVEL - RÍGIDO - 3/4"</t>
  </si>
  <si>
    <t>27.2.3</t>
  </si>
  <si>
    <t>PERFILADOS</t>
  </si>
  <si>
    <t>27.2.3.1</t>
  </si>
  <si>
    <t>C1165</t>
  </si>
  <si>
    <t>DUTO PERFURADO - 38MMX38MM - COM CONEXÕES</t>
  </si>
  <si>
    <t>27.2.3.2</t>
  </si>
  <si>
    <t>09.084.057 (E)</t>
  </si>
  <si>
    <t>SAÍDA LATERAL PARA ELETRODUTO 3/4"</t>
  </si>
  <si>
    <t>27.2.4</t>
  </si>
  <si>
    <t>CAIXAS DE LIGAÇÃO E PASSAGEM</t>
  </si>
  <si>
    <t>27.2.4.1</t>
  </si>
  <si>
    <t>91939</t>
  </si>
  <si>
    <t>CAIXA DE PASSAGEM 2X4"</t>
  </si>
  <si>
    <t>27.2.4.2</t>
  </si>
  <si>
    <t>09.06.019</t>
  </si>
  <si>
    <t>CAIXA DE PASSAGEM 50X50X15CM - TETO</t>
  </si>
  <si>
    <t>27.2.4.3</t>
  </si>
  <si>
    <t>CAIXA DE PASSAGEM 50X50X50CM METÁLICA - PISO</t>
  </si>
  <si>
    <t>27.2.4.4</t>
  </si>
  <si>
    <t>09.06.054</t>
  </si>
  <si>
    <t>CAIXA DE PASSAGEM PLASTICA DE 4X4 PAREDE DE CONCRETO COM TAMPA REMOVIVEL E ESPAÇADOR DE 10CM</t>
  </si>
  <si>
    <t>27.2.5</t>
  </si>
  <si>
    <t>TOMADAS E INTERRUPTORES</t>
  </si>
  <si>
    <t>27.2.5.1</t>
  </si>
  <si>
    <t>91959</t>
  </si>
  <si>
    <t>INTERRUPTOR DUPLO</t>
  </si>
  <si>
    <t>27.2.5.2</t>
  </si>
  <si>
    <t>91969</t>
  </si>
  <si>
    <t>INTERRUPTOR PARALELO - THREE WAY</t>
  </si>
  <si>
    <t>27.2.5.3</t>
  </si>
  <si>
    <t>91953</t>
  </si>
  <si>
    <t>INTERRUPTOR SIMPLES</t>
  </si>
  <si>
    <t>27.2.5.4</t>
  </si>
  <si>
    <t>91996</t>
  </si>
  <si>
    <t>TOMADA SIMPLES 2P+T / 10A</t>
  </si>
  <si>
    <t>27.2.5.5</t>
  </si>
  <si>
    <t>92009</t>
  </si>
  <si>
    <t>TOMADA DUPLA 2P+T/10A - 127V</t>
  </si>
  <si>
    <t>27.2.5.6</t>
  </si>
  <si>
    <t>92016</t>
  </si>
  <si>
    <t>TOMADA TRIPLA</t>
  </si>
  <si>
    <t>27.2.6</t>
  </si>
  <si>
    <t>LUMINÁRIAS</t>
  </si>
  <si>
    <t>27.2.6.1</t>
  </si>
  <si>
    <t>S13921</t>
  </si>
  <si>
    <t>PLAFON DE SOBREPOR E27 COM LÂMPADA LED BULBO 15W 4000K</t>
  </si>
  <si>
    <t>27.2.6.2</t>
  </si>
  <si>
    <t>S11866</t>
  </si>
  <si>
    <t>LUMINÁRIA BLOCO AUTÔNOMO LED 1200 LUMENS</t>
  </si>
  <si>
    <t>27.2.6.3</t>
  </si>
  <si>
    <t>97607</t>
  </si>
  <si>
    <t>LUMINÁRIA TIPO ARANDELA TARTARUGA COM LÂMPADA LED BULBO 15W 4000K</t>
  </si>
  <si>
    <t>27.2.6.4</t>
  </si>
  <si>
    <t>11.38.12</t>
  </si>
  <si>
    <t>LUMINÁRIA 2X18W COMPLETA 120CM (LÂMPADA LED E SOQUETE)</t>
  </si>
  <si>
    <t>27.2.7</t>
  </si>
  <si>
    <t>CABOS ELÉTRICOS</t>
  </si>
  <si>
    <t>27.2.7.1</t>
  </si>
  <si>
    <t>92994</t>
  </si>
  <si>
    <t>CABO ISOLADO FLEXÍVEL SEÇÃO 120MM2 - 0,6/1,0KV - 90º - LSZH</t>
  </si>
  <si>
    <t>27.2.7.2</t>
  </si>
  <si>
    <t>91926</t>
  </si>
  <si>
    <t>CABO DE COBRE FLEXÍVEL ISOLADO, 2,5 MM², ANTI-CHAMA 450/750 V</t>
  </si>
  <si>
    <t>27.2.8</t>
  </si>
  <si>
    <t>ATERRAMENTO</t>
  </si>
  <si>
    <t>27.2.8.1</t>
  </si>
  <si>
    <t>S160318</t>
  </si>
  <si>
    <t>CABO DE COBRE NU 35MM²</t>
  </si>
  <si>
    <t>27.2.8.2</t>
  </si>
  <si>
    <t>09.006.097 (E)</t>
  </si>
  <si>
    <t>CABO DE COBRE NU 95MM²</t>
  </si>
  <si>
    <t>27.2.8.3</t>
  </si>
  <si>
    <t>02.03.10.100.147</t>
  </si>
  <si>
    <t>FIO DE COBRE NU TIPO CORDOALHA PARA ATERRAMENTO - 25MM² X 300MM</t>
  </si>
  <si>
    <t>27.2.9</t>
  </si>
  <si>
    <t>LEITO DE CABOS - ELETROLÍTICO</t>
  </si>
  <si>
    <t>27.2.9.1</t>
  </si>
  <si>
    <t>38.12.130</t>
  </si>
  <si>
    <t>LEITO PESADO 400X200MM</t>
  </si>
  <si>
    <t>27.2.9.2</t>
  </si>
  <si>
    <t>LEITO PESADO 800X100MM</t>
  </si>
  <si>
    <t>27.2.9.3</t>
  </si>
  <si>
    <t>38.12.086</t>
  </si>
  <si>
    <t>LEITO PESADO 200X200MM</t>
  </si>
  <si>
    <t>27.2.9.4</t>
  </si>
  <si>
    <t>15.018.0595-0</t>
  </si>
  <si>
    <t>TAPETE DE BORRACHA PARA MANOBRA ISOLAÇÃO 15KV</t>
  </si>
  <si>
    <t>27.3</t>
  </si>
  <si>
    <t>SE220V</t>
  </si>
  <si>
    <t>27.3.1</t>
  </si>
  <si>
    <t>SETOR MT, QGBTS</t>
  </si>
  <si>
    <t>27.3.1.1</t>
  </si>
  <si>
    <t>CABO DE COBRE SINGELO, SEÇÃO 70MM², ENCORDOAMENTO CLASSE 5, ISOLAÇÃO 12/20KV - 90º - ALIMENTADORES AL1.SE220V E AL2.SE220V</t>
  </si>
  <si>
    <t>27.3.1.2</t>
  </si>
  <si>
    <t>TRANSFORMADOR DE DISTRIBUIÇÃO TRIFÁSICO A SECO, EQUIPADO COM INVÓLUCRO/CUBÍCULO DE PROTEÇÃO, LIGAÇÃO DELTA-ESTRELA ATERRADA, POTÊNCIA NOMINAL = 2000KVA - 60HZ, IMPEDÂNCIA 6,00%, PRIMÁRIO (M.T.) = 13,8/13,2/12,6/12,0/11,4KV - SECUNDÁRIO (B.T.) =220/127V, IP 21, EFICIÊNCIA MINIMA "B" COM SISTEMA DE PROTEÇÃO TÉRMICA, PROTOCOLO DE COMUNICAÇÃO TCPIP/RS 485 MODBUS, COM CONEXÕES, FIXAÇÕES E ACESSÓRIOS - FORNECIMENTO (SERVIÇO)</t>
  </si>
  <si>
    <t>27.3.1.3</t>
  </si>
  <si>
    <t>COT-ELE-HUUFCA-003</t>
  </si>
  <si>
    <t>TRANSFORMADOR DE DISTRIBUIÇÃO TRIFÁSICO A SECO, EQUIPADO COM INVÓLUCRO/CUBÍCULO DE PROTEÇÃO, LIGAÇÃO DELTA-ESTRELA ATERRADA, POTÊNCIA NOMINAL = 2000KVA - 60HZ, IMPEDÂNCIA 6,00%, PRIMÁRIO (M.T.) = 13,8/13,2/12,6/12,0/11,4KV - SECUNDÁRIO (B.T.) =220/127V, IP 21, EFICIÊNCIA MINIMA "B" COM SISTEMA DE PROTEÇÃO TÉRMICA, PROTOCOLO DE COMUNICAÇÃO TCPIP/RS 485 MODBUS, COM CONEXÕES, FIXAÇÕES E ACESSÓRIOS - FORNECIMENTO (FORNECIMENTO DE MATERIAL) - BDI = 17,31</t>
  </si>
  <si>
    <t>27.3.1.4</t>
  </si>
  <si>
    <t>BARRAMENTO BLINDADO COBRE 5 POLOS 6300A COM ACESSÓRIOS</t>
  </si>
  <si>
    <t>27.3.1.5</t>
  </si>
  <si>
    <t>BANCO AUTOMÁTICO DE CAPACITORES, 360 KVAR, 110/220V, TRIFÁSICO, MONTADO EM PAINEL PARA CORREÇÃO DE FATOR DE POTÊNCIA - BDI = 17,31</t>
  </si>
  <si>
    <t>27.3.2</t>
  </si>
  <si>
    <t>27.3.2.1</t>
  </si>
  <si>
    <t>27.3.2.2</t>
  </si>
  <si>
    <t>27.3.2.3</t>
  </si>
  <si>
    <t>27.3.2.4</t>
  </si>
  <si>
    <t>27.3.2.5</t>
  </si>
  <si>
    <t>91902</t>
  </si>
  <si>
    <t>27.3.2.6</t>
  </si>
  <si>
    <t>91879</t>
  </si>
  <si>
    <t>27.3.3</t>
  </si>
  <si>
    <t>27.3.3.1</t>
  </si>
  <si>
    <t>DUTO PERFURADO - 38MMX38MM</t>
  </si>
  <si>
    <t>27.3.3.2</t>
  </si>
  <si>
    <t>PERFILADO SAÍDA LATERAL ELETRODUTO 3/4"</t>
  </si>
  <si>
    <t>27.3.3.3</t>
  </si>
  <si>
    <t>09.084.037 (E)</t>
  </si>
  <si>
    <t>PERFILADO JUNÇÃO 'L' 38X38MM</t>
  </si>
  <si>
    <t>27.3.3.4</t>
  </si>
  <si>
    <t>09.084.043 (E)</t>
  </si>
  <si>
    <t>PERFILADO JUNÇÃO 'T' 38X38MM</t>
  </si>
  <si>
    <t>27.3.4</t>
  </si>
  <si>
    <t>27.3.4.1</t>
  </si>
  <si>
    <t>27.3.5</t>
  </si>
  <si>
    <t>27.3.5.1</t>
  </si>
  <si>
    <t>27.3.5.2</t>
  </si>
  <si>
    <t>27.3.5.3</t>
  </si>
  <si>
    <t>92001</t>
  </si>
  <si>
    <t>27.3.6</t>
  </si>
  <si>
    <t>27.3.6.1</t>
  </si>
  <si>
    <t>27.3.6.2</t>
  </si>
  <si>
    <t>27.3.7</t>
  </si>
  <si>
    <t>27.3.7.1</t>
  </si>
  <si>
    <t>27.3.8</t>
  </si>
  <si>
    <t>27.3.8.1</t>
  </si>
  <si>
    <t>CABO COBRE NU 35MM²</t>
  </si>
  <si>
    <t>27.3.8.2</t>
  </si>
  <si>
    <t>CABO COBRE NU 95MM²</t>
  </si>
  <si>
    <t>27.3.8.3</t>
  </si>
  <si>
    <t>27.3.9</t>
  </si>
  <si>
    <t>27.3.9.1</t>
  </si>
  <si>
    <t>LEITO PESADO 1400X100MM</t>
  </si>
  <si>
    <t>27.3.9.2</t>
  </si>
  <si>
    <t>LEITO PESADO 1500X100MM</t>
  </si>
  <si>
    <t>27.3.9.3</t>
  </si>
  <si>
    <t>27.3.9.4</t>
  </si>
  <si>
    <t>38.12.120</t>
  </si>
  <si>
    <t>LEITO PESADO 500X100MM</t>
  </si>
  <si>
    <t>27.3.9.5</t>
  </si>
  <si>
    <t>38.12.090</t>
  </si>
  <si>
    <t>LEITO PESADO 400X100MM</t>
  </si>
  <si>
    <t>27.3.9.6</t>
  </si>
  <si>
    <t>LEITO DE CABOS 200X100MM</t>
  </si>
  <si>
    <t>27.3.9.7</t>
  </si>
  <si>
    <t>CURVA HORIZONTAL PARA LEITO PESADO 400X100MM</t>
  </si>
  <si>
    <t>27.3.9.8</t>
  </si>
  <si>
    <t>S12844</t>
  </si>
  <si>
    <t>PÇ</t>
  </si>
  <si>
    <t>27.4</t>
  </si>
  <si>
    <t>SE380V</t>
  </si>
  <si>
    <t>27.4.1</t>
  </si>
  <si>
    <t>27.4.1.1</t>
  </si>
  <si>
    <t>27.4.1.2</t>
  </si>
  <si>
    <t>TRANSFORMADOR DE DISTRIBUIÇÃO TRIFÁSICO A SECO, EQUIPADO COM INVÓLUCRO/CUBÍCULO DE PROTEÇÃO, LIGAÇÃO DELTA-ESTRELA ATERRADA, POTÊNCIA NOMINAL = 2000KVA - 60HZ, IMPEDÂNCIA 6,00%, PRIMÁRIO (M.T.) = 13,8/13,2/12,6/12,0/11,4KV - SECUNDÁRIO (B.T.) =380/220V, IP 21, EFICIÊNCIA MINIMA "B" COM SISTEMA DE PROTEÇÃO TÉRMICA, PROTOCOLO DE COMUNICAÇÃO TCPIP/RS 485 MODBUS, COM CONEXÕES, FIXAÇÕES E ACESSÓRIOS - FORNECIMENTO (SERVIÇO)</t>
  </si>
  <si>
    <t>27.4.1.3</t>
  </si>
  <si>
    <t>COT-ELE-HUUFCA-004</t>
  </si>
  <si>
    <t>TRANSFORMADOR DE DISTRIBUIÇÃO TRIFÁSICO A SECO, EQUIPADO COM INVÓLUCRO/CUBÍCULO DE PROTEÇÃO, LIGAÇÃO DELTA-ESTRELA ATERRADA, POTÊNCIA NOMINAL = 2000KVA - 60HZ, IMPEDÂNCIA 6,00%, PRIMÁRIO (M.T.) = 13,8/13,2/12,6/12,0/11,4KV - SECUNDÁRIO (B.T.) =380/220V, IP 21, EFICIÊNCIA MINIMA "B" COM SISTEMA DE PROTEÇÃO TÉRMICA, PROTOCOLO DE COMUNICAÇÃO TCPIP/RS 485 MODBUS, COM CONEXÕES, FIXAÇÕES E ACESSÓRIOS - FORNECIMENTO (FORNECIMENTO DE MATERIAL) - BDI = 17,31</t>
  </si>
  <si>
    <t>27.4.1.4</t>
  </si>
  <si>
    <t>BARRAMENTO BLINDADO COBRE 5 POLOS 4000A COM ACESSÓRIOS</t>
  </si>
  <si>
    <t>AXM</t>
  </si>
  <si>
    <t>27.4.1.5</t>
  </si>
  <si>
    <t>27.4.2</t>
  </si>
  <si>
    <t>27.4.2.1</t>
  </si>
  <si>
    <t>27.4.2.2</t>
  </si>
  <si>
    <t>27.4.2.3</t>
  </si>
  <si>
    <t>27.4.2.4</t>
  </si>
  <si>
    <t>27.4.2.5</t>
  </si>
  <si>
    <t>27.4.3</t>
  </si>
  <si>
    <t>27.4.3.1</t>
  </si>
  <si>
    <t>27.4.3.2</t>
  </si>
  <si>
    <t>27.4.3.3</t>
  </si>
  <si>
    <t>27.4.3.4</t>
  </si>
  <si>
    <t>27.4.4</t>
  </si>
  <si>
    <t>27.4.4.1</t>
  </si>
  <si>
    <t>27.4.4.2</t>
  </si>
  <si>
    <t>27.4.4.3</t>
  </si>
  <si>
    <t>27.4.4.4</t>
  </si>
  <si>
    <t>27.4.5</t>
  </si>
  <si>
    <t>27.4.5.1</t>
  </si>
  <si>
    <t>27.4.5.2</t>
  </si>
  <si>
    <t>27.4.6</t>
  </si>
  <si>
    <t>27.4.6.1</t>
  </si>
  <si>
    <t>27.4.7</t>
  </si>
  <si>
    <t>27.4.7.1</t>
  </si>
  <si>
    <t>27.4.7.2</t>
  </si>
  <si>
    <t>27.4.7.3</t>
  </si>
  <si>
    <t>27.4.8</t>
  </si>
  <si>
    <t>27.4.8.1</t>
  </si>
  <si>
    <t>LEITO PESADO 1000X100MM</t>
  </si>
  <si>
    <t>27.4.8.2</t>
  </si>
  <si>
    <t>27.4.8.3</t>
  </si>
  <si>
    <t>CURVA HORIZONTAL PARA LEITO PESADO 1500X100MM</t>
  </si>
  <si>
    <t>27.4.8.4</t>
  </si>
  <si>
    <t>27.5</t>
  </si>
  <si>
    <t>PRÉDIO PRINCIPAL E IMPLANTAÇÃO</t>
  </si>
  <si>
    <t>27.5.1</t>
  </si>
  <si>
    <t>INFRAESTRUTURA GALVANIZADA A FOGO</t>
  </si>
  <si>
    <t>27.5.1.1</t>
  </si>
  <si>
    <t>LEITO TIPO PESADO 300X100MM, CHAPA #16</t>
  </si>
  <si>
    <t>27.5.1.2</t>
  </si>
  <si>
    <t>LEITO TIPO PESADO 1400X100MM, CHAPA #16</t>
  </si>
  <si>
    <t>27.5.1.3</t>
  </si>
  <si>
    <t>LEITO TIPO PESADO 1500X100MM, CHAPA #16</t>
  </si>
  <si>
    <t>27.5.1.4</t>
  </si>
  <si>
    <t>PERFILADO PERFURADO 38X38MM, CHAPA #16</t>
  </si>
  <si>
    <t>27.5.1.5</t>
  </si>
  <si>
    <t>38.07.310</t>
  </si>
  <si>
    <t>PERFILADO PERFURADO 76X38MM, CHAPA #16</t>
  </si>
  <si>
    <t>27.5.1.6</t>
  </si>
  <si>
    <t>38.21.350</t>
  </si>
  <si>
    <t>ELETROCALHA LISA GALVANIZADA A FOGO, 300 X 100 MM, COM ACESSÓRIOS</t>
  </si>
  <si>
    <t>27.5.1.7</t>
  </si>
  <si>
    <t>38.22.120</t>
  </si>
  <si>
    <t>ELETROCALHA PERFURADA C/ VIROLA 100X100MM, CHAPA #16</t>
  </si>
  <si>
    <t>27.5.1.8</t>
  </si>
  <si>
    <t>ELETROCALHA PERFURADA C/ VIROLA 150X100MM, CHAPA #16</t>
  </si>
  <si>
    <t>27.5.1.9</t>
  </si>
  <si>
    <t>38.22.130</t>
  </si>
  <si>
    <t>ELETROCALHA PERFURADA C/ VIROLA 200X100MM, CHAPA #16</t>
  </si>
  <si>
    <t>38.22.160</t>
  </si>
  <si>
    <t>ELETROCALHA PERFURADA C/ VIROLA 500X100MM, CHAPA #16</t>
  </si>
  <si>
    <t>27.5.2</t>
  </si>
  <si>
    <t>INFRAESTRUTURA AÇO GAVANIZADO ELETROLÍTICO</t>
  </si>
  <si>
    <t>27.5.2.1</t>
  </si>
  <si>
    <t>15.018.0466-0</t>
  </si>
  <si>
    <t>ELETROCALHA PERFURADA C/ VIROLA 50X50MM, CHAPA #16</t>
  </si>
  <si>
    <t>27.5.2.2</t>
  </si>
  <si>
    <t>15.018.0493-0</t>
  </si>
  <si>
    <t>27.5.2.3</t>
  </si>
  <si>
    <t>15.018.0494-0</t>
  </si>
  <si>
    <t>27.5.2.4</t>
  </si>
  <si>
    <t>15.018.0495-0</t>
  </si>
  <si>
    <t>27.5.2.5</t>
  </si>
  <si>
    <t>ELETROCALHA PERFURADA C/ VIROLA 250X100MM, CHAPA #16</t>
  </si>
  <si>
    <t>27.5.2.6</t>
  </si>
  <si>
    <t>15.018.0480-0</t>
  </si>
  <si>
    <t>ELETROCALHA PERFURADA C/ VIROLA 300X100MM, CHAPA #16</t>
  </si>
  <si>
    <t>27.5.2.7</t>
  </si>
  <si>
    <t>15.018.0513-0</t>
  </si>
  <si>
    <t>ELETROCALHA PERFURADA C/ VIROLA 400X100MM, CHAPA #16</t>
  </si>
  <si>
    <t>27.5.2.8</t>
  </si>
  <si>
    <t>27.5.2.9</t>
  </si>
  <si>
    <t>LEITO TIPO PESADO 200X100MM, CHAPA #16</t>
  </si>
  <si>
    <t>LEITO TIPO PESADO 500X100MM, CHAPA #16</t>
  </si>
  <si>
    <t>LEITO TIPO PESADO 800X100MM, CHAPA #16</t>
  </si>
  <si>
    <t>LEITO TIPO PESADO 1000X100MM, CHAPA #16</t>
  </si>
  <si>
    <t>27.5.3</t>
  </si>
  <si>
    <t>ELETRODUTOS E CAIXAS</t>
  </si>
  <si>
    <t>27.5.3.1</t>
  </si>
  <si>
    <t>170078</t>
  </si>
  <si>
    <t>ELETRODUTO DE PVC RÍGIDO PRETO - Ø25MM (1")</t>
  </si>
  <si>
    <t>27.5.3.2</t>
  </si>
  <si>
    <t>S09036</t>
  </si>
  <si>
    <t>ELETRODUTO DE AÇO CARBONO GALVANIZADO ELETROLÍTICO - SEMI PESADO - Ø25MM (1")</t>
  </si>
  <si>
    <t>27.5.3.3</t>
  </si>
  <si>
    <t>02.03.05.100.36</t>
  </si>
  <si>
    <t>ELETRODUTO DE AÇO CARBONO GALVANIZADO A FOGO - SEMI PESADO - Ø25MM (1")</t>
  </si>
  <si>
    <t>27.5.3.4</t>
  </si>
  <si>
    <t>09.002.025 (E)</t>
  </si>
  <si>
    <t>ELETRODUTO DE AÇO CARBONO GALVANIZADO A FOGO - SEMI PESADO - Ø50MM (2")</t>
  </si>
  <si>
    <t>27.5.3.5</t>
  </si>
  <si>
    <t>27.5.3.6</t>
  </si>
  <si>
    <t>09.002.029 (E)</t>
  </si>
  <si>
    <t>ELETRODUTO DE AÇO CARBONO GALVANIZADO A FOGO - SEMI PESADO - Ø100MM (4")</t>
  </si>
  <si>
    <t>27.5.3.7</t>
  </si>
  <si>
    <t>97480</t>
  </si>
  <si>
    <t>CURVA DE AÇO CARBONO GALVANIZADO ELETROLÍTICO - SEMI PESADO - Ø25MM (1")</t>
  </si>
  <si>
    <t>27.5.3.8</t>
  </si>
  <si>
    <t>09.01.02.200.99</t>
  </si>
  <si>
    <t>CURVA DE AÇO CARBONO GALVANIZADO A FOGO - SEMI PESADO - Ø25MM (1")</t>
  </si>
  <si>
    <t>27.5.3.9</t>
  </si>
  <si>
    <t>09.01.02.200.102</t>
  </si>
  <si>
    <t>CURVA DE AÇO CARBONO GALVANIZADO A FOGO - SEMI PESADO - Ø50MM (2")</t>
  </si>
  <si>
    <t>09.01.02.200.105</t>
  </si>
  <si>
    <t>CURVA DE AÇO CARBONO GALVANIZADO A FOGO - SEMI PESADO - Ø100MM (4")</t>
  </si>
  <si>
    <t>CURVA 90 GRAUS PARA ELETRODUTO, PVC, ROSCÁVEL, DN 25 MM (3/4"), PARA CIRCUITOS TERMINAIS, INSTALADA EM PAREDE - FORNECIMENTO E INSTALAÇÃO. AF_03/2023</t>
  </si>
  <si>
    <t>27.5.4</t>
  </si>
  <si>
    <t>TOMADAS ELÉTRICAS</t>
  </si>
  <si>
    <t>27.5.4.1</t>
  </si>
  <si>
    <t>92005</t>
  </si>
  <si>
    <t>TOMADA DUPLA 2P+T/20A - IT MÉDICO - MONTADA EM CAIXA 4X2" - MÓDULO CEGO - COR AMARELO</t>
  </si>
  <si>
    <t>27.5.4.2</t>
  </si>
  <si>
    <t>92004</t>
  </si>
  <si>
    <t>TOMADA DUPLA 2P+T/10A - 127V - MONTADA EM CAIXA 4X2"</t>
  </si>
  <si>
    <t>27.5.4.3</t>
  </si>
  <si>
    <t>11.14.67</t>
  </si>
  <si>
    <t>CONDULETE APARENTE DE ALUMÍNIO, TIPO C, PARA ELETRODUTO DE AÇO GALVANIZADO DN 25 MM (1'') REF 95781</t>
  </si>
  <si>
    <t>27.5.4.4</t>
  </si>
  <si>
    <t>95782</t>
  </si>
  <si>
    <t>CONDULETE TIPO E DE Ø25MM (1") - PONTO DE FORÇA</t>
  </si>
  <si>
    <t>27.5.4.5</t>
  </si>
  <si>
    <t>S12563</t>
  </si>
  <si>
    <t>TAMPA INTERRUPTOR/TOMADA P/CONDULETE EM ALUMÍNIO FUNDIDO</t>
  </si>
  <si>
    <t>27.5.4.6</t>
  </si>
  <si>
    <t>09.08.046</t>
  </si>
  <si>
    <t>TOMADA 2P+T PADRAO NBR 14136 CORRENTE 10A-250V</t>
  </si>
  <si>
    <t>27.5.4.7</t>
  </si>
  <si>
    <t>09.082.018 (E)</t>
  </si>
  <si>
    <t>TOMADA SIMPLES, 2P+T, 20A</t>
  </si>
  <si>
    <t>27.5.4.8</t>
  </si>
  <si>
    <t>TOMADA DUPLA 2P+T/20A</t>
  </si>
  <si>
    <t>27.5.4.9</t>
  </si>
  <si>
    <t>91994</t>
  </si>
  <si>
    <t>TOMADA SIMPLES 2P+T/10A -</t>
  </si>
  <si>
    <t>91997</t>
  </si>
  <si>
    <t>TOMADA SIMPLES 2P+T/20A</t>
  </si>
  <si>
    <t>15.019.0015-0</t>
  </si>
  <si>
    <t>TOMADA 2P+T/10A - 127V - MONTADO EM CAIXA DE PISO 4X4"</t>
  </si>
  <si>
    <t>C4793</t>
  </si>
  <si>
    <t>TOMADA 2P+T/20A - 127V - MONTADO EM CAIXA DE PISO 4X4"</t>
  </si>
  <si>
    <t>40.02.010</t>
  </si>
  <si>
    <t>CAIXA DE PISO 4"X4", EM ALUMÍNIO</t>
  </si>
  <si>
    <t>09.005.061 (E)</t>
  </si>
  <si>
    <t>PONTO DE FORÇA - MONTADA EM CAIXA 4X2"</t>
  </si>
  <si>
    <t>C5176</t>
  </si>
  <si>
    <t>PONTO DE FORÇA - MONTADO EM CAIXA DE PISO 4X4" 1"</t>
  </si>
  <si>
    <t>02.03.09.410.03</t>
  </si>
  <si>
    <t>PLACA (ESPELHO) PARA CAIXA , 4X4</t>
  </si>
  <si>
    <t>PONTO DE FORÇA - CONDULETE TIPO E DE Ø25MM (1") - PONTO DE FORÇA</t>
  </si>
  <si>
    <t>S10909</t>
  </si>
  <si>
    <t>FORNECIMENTO E INSTALAÇÃO DE TAMPA CEGA P/CONDULETE CAIXA 4" X 2"</t>
  </si>
  <si>
    <t>S09422</t>
  </si>
  <si>
    <t>TOMADA SIMPLES 2P+T/32A - 220V - MONTADO EM CONDULETE DE Ø25MM (1")R</t>
  </si>
  <si>
    <t>C1942</t>
  </si>
  <si>
    <t>CONECTOR MACHO 2P+T/32A - PARA LIGAÇÃO DE RACK DE TELECOMUNICAÇÕES</t>
  </si>
  <si>
    <t>S13528</t>
  </si>
  <si>
    <t>PLUG MACHO 2P + T, ABNT, DE EMBUTIR, 10 A COM RABICHO DE CABO PP 3X1,5MM2, COM 1,0M</t>
  </si>
  <si>
    <t>S12566</t>
  </si>
  <si>
    <t>PLUGUE 2P+T FÊMEA</t>
  </si>
  <si>
    <t>27.5.5</t>
  </si>
  <si>
    <t>TOMADAS DE REDE</t>
  </si>
  <si>
    <t>27.5.5.1</t>
  </si>
  <si>
    <t>S07817</t>
  </si>
  <si>
    <t>TOMADA RJ45 DUPLA</t>
  </si>
  <si>
    <t>27.5.5.2</t>
  </si>
  <si>
    <t>S98307S</t>
  </si>
  <si>
    <t>TOMADA RJ45 SIMPLES</t>
  </si>
  <si>
    <t>27.5.5.3</t>
  </si>
  <si>
    <t>27.5.5.4</t>
  </si>
  <si>
    <t>27.5.5.5</t>
  </si>
  <si>
    <t>27.5.5.6</t>
  </si>
  <si>
    <t>27.5.5.7</t>
  </si>
  <si>
    <t>27.5.5.8</t>
  </si>
  <si>
    <t>27.5.5.9</t>
  </si>
  <si>
    <t>TOMADA HDMI SIMPLES</t>
  </si>
  <si>
    <t>27.5.6</t>
  </si>
  <si>
    <t>INTERRUPTORES</t>
  </si>
  <si>
    <t>27.5.6.1</t>
  </si>
  <si>
    <t>INTERRUPTOR SIMPLES - 250V/10A - MONTADO EM CONDULETE</t>
  </si>
  <si>
    <t>27.5.6.2</t>
  </si>
  <si>
    <t>INTERRUPTOR SIMPLES - 250V/10A - MONTADO EM CAIXA 4X2"</t>
  </si>
  <si>
    <t>27.5.6.3</t>
  </si>
  <si>
    <t>INTERRUPTOR DUPLO - 250V/10A - MONTADO EM CONDULETE</t>
  </si>
  <si>
    <t>27.5.6.4</t>
  </si>
  <si>
    <t>INTERRUPTOR DUPLO - 250V/10A - MONTADO EM CAIXA 4X2"</t>
  </si>
  <si>
    <t>27.5.6.5</t>
  </si>
  <si>
    <t>INTERRUPTOR TRIPLO - 250V/10A - MONTADO EM CAIXA 4X2"</t>
  </si>
  <si>
    <t>27.5.6.6</t>
  </si>
  <si>
    <t>S00786</t>
  </si>
  <si>
    <t>INTERRUPTOR DIMMER - 250V/10A - MONTADO EM CAIXA 4X2"</t>
  </si>
  <si>
    <t>27.5.6.7</t>
  </si>
  <si>
    <t>91955</t>
  </si>
  <si>
    <t>INTERRUPTOR HOTEL - 250V/10A - MONTADO EM CONDULETE</t>
  </si>
  <si>
    <t>27.5.6.8</t>
  </si>
  <si>
    <t>91961</t>
  </si>
  <si>
    <t>INTERRUPTOR HOTEL DUPLO - 250V/10A - MONTADO EM CAIXA 4X2"</t>
  </si>
  <si>
    <t>27.5.6.9</t>
  </si>
  <si>
    <t>INTERRUPTOR HOTEL - 250V/10A - MONTADO EM CAIXA 4X2"</t>
  </si>
  <si>
    <t>97597</t>
  </si>
  <si>
    <t>SENSOR DE PRESENÇA COM FOTOCÉLULA, FIXAÇÃO EM TETO - FORNECIMENTO E INSTALAÇÃO. AF_09/2024</t>
  </si>
  <si>
    <t>00002510</t>
  </si>
  <si>
    <t>RELE FOTOELETRICO INTERNO E EXTERNO BIVOLT 1000 W, DE CONECTOR, SEM BASE</t>
  </si>
  <si>
    <t>27.5.7</t>
  </si>
  <si>
    <t>LUMINARIAS</t>
  </si>
  <si>
    <t>27.5.7.1</t>
  </si>
  <si>
    <t>09.09.040</t>
  </si>
  <si>
    <t>LUMINÁRIA LED DE EMBUTIR CIRCULAR DOWNLIGHT EF45-E8000840 - LUMICENTER</t>
  </si>
  <si>
    <t>27.5.7.2</t>
  </si>
  <si>
    <t>09.09.043</t>
  </si>
  <si>
    <t>LUMINÁRIA LED DE EMBUTIR CIRCULAR DOWNLIGHT EF72-E2000840 - LUMICENTER</t>
  </si>
  <si>
    <t>27.5.7.3</t>
  </si>
  <si>
    <t>LUMINÁRIA TIPO ARANDELA P/ LÂMPADA E27 - AR93-S1E27 - LUMICENTER</t>
  </si>
  <si>
    <t>27.5.7.4</t>
  </si>
  <si>
    <t>09.85.066</t>
  </si>
  <si>
    <t>LAMPADA BULBO LED &lt;= 13W ROSCA E 27 BIVOLT. TEMPERATURA COR 3000ºK.</t>
  </si>
  <si>
    <t>27.5.7.5</t>
  </si>
  <si>
    <t>11.60.20</t>
  </si>
  <si>
    <t>LÂMPADA BULBO LED 13W 1500 LUMENS BASE E27</t>
  </si>
  <si>
    <t>27.5.7.6</t>
  </si>
  <si>
    <t>S07294</t>
  </si>
  <si>
    <t>LUMINÁRIA LED TIPO BALIZADOR PARA INSTALAÇÃO EM CAIXA 4X2" - BZ17-E1LEDA - LUMICENTER</t>
  </si>
  <si>
    <t>27.5.7.7</t>
  </si>
  <si>
    <t>AGETOP CIVIS</t>
  </si>
  <si>
    <t>071649</t>
  </si>
  <si>
    <t>LUMINÁRIA PLAFON LED QUADRADA DE EMBUTIR, 30W, 40X40 CM (MEDIDAS APROXIMADAS) - INCLUSO CORTE NO FORRO</t>
  </si>
  <si>
    <t>27.5.7.8</t>
  </si>
  <si>
    <t>4063</t>
  </si>
  <si>
    <t>LUMINÁRIA TIPO PAINEL DE LED DE EMBUTIR QUADRADA 61,7X61,7CM - LHT44-E4000840 - LUMICENTER</t>
  </si>
  <si>
    <t>27.5.7.9</t>
  </si>
  <si>
    <t>02.03.11.100.145</t>
  </si>
  <si>
    <t>LUMINÁRIA TIPO PAINEL DE LED DE EMBUTIR RETANGULAR 124,3X24,4CM - EHT10-E3500840 - LUMICENTER</t>
  </si>
  <si>
    <t>09.009.111 (E)</t>
  </si>
  <si>
    <t>LUMINÁRIA LED TIPO PERFIL LINEAR DE 1M - 36W/M - 4000K - PL-PROFILE EMB80 - POWER LUME</t>
  </si>
  <si>
    <t>LUMINÁRIA LED TIPO PERFIL LINEAR DE 1M - 24W/M - 4000K - PL-PROFILE EMB60 - POWER LUME</t>
  </si>
  <si>
    <t>61.15.010</t>
  </si>
  <si>
    <t>FONTE DE ALIMENTAÇÃO UNIVERSAL BIVOLT COM SAÍDA DE 24 V - 1,5 A - 35 W</t>
  </si>
  <si>
    <t>LUMINÁRIA TIPO ARANDELA IP66 P/ LÂMPADA E27 - EX02-S1E27 - LUMICENTER</t>
  </si>
  <si>
    <t>97610</t>
  </si>
  <si>
    <t>LÂMPADA LED 10 W BIVOLT BRANCA, FORMATO TRADICIONAL (BASE E27) - FORNECIMENTO E INSTALAÇÃO</t>
  </si>
  <si>
    <t>S12793</t>
  </si>
  <si>
    <t>LUMINARIA EMBUTIR COMPL., CORPO CH. AÇO PINTADA BRANCA, REFLETOR, ALETAS PARABÓLICAS ALUM.ALTA PUREZA E REFLETÂNCIA INCLUSIVE 2 LÂMPADAS LED T8 18W TEMP. DE COR 5000K C/ 1,20M - REF. CE232AL-N - AMES, 6025 - LUMAVI -LDEF 2X32W - LUMILUZ OU EQUIVALENTE</t>
  </si>
  <si>
    <t>P.14.000.046623</t>
  </si>
  <si>
    <t>LÂMPADA TUBO LED T8 18W 4000K</t>
  </si>
  <si>
    <t>27.5.8</t>
  </si>
  <si>
    <t>CABOS DE BAIXA TENSÃO</t>
  </si>
  <si>
    <t>27.5.8.1</t>
  </si>
  <si>
    <t>91927</t>
  </si>
  <si>
    <t>CABO DE COBRE FLEXÍVEL HEPR 0,6/1KV 90°C, #2,5MM² CLASSE 5 - NÃO HALOGENADO</t>
  </si>
  <si>
    <t>27.5.8.2</t>
  </si>
  <si>
    <t>91929</t>
  </si>
  <si>
    <t>CABO DE COBRE FLEXÍVEL HEPR 0,6/1KV 90°C, #4MM² CLASSE 5 - NÃO HALOGENADO</t>
  </si>
  <si>
    <t>27.5.8.3</t>
  </si>
  <si>
    <t>91931</t>
  </si>
  <si>
    <t>CABO DE COBRE FLEXÍVEL HEPR 0,6/1KV 90°C, #6MM² CLASSE 5 - NÃO HALOGENADO</t>
  </si>
  <si>
    <t>27.5.8.4</t>
  </si>
  <si>
    <t>91933</t>
  </si>
  <si>
    <t>CABO DE COBRE FLEXÍVEL HEPR 0,6/1KV 90°C, #10MM² CLASSE 5 - NÃO HALOGENADO</t>
  </si>
  <si>
    <t>27.5.8.5</t>
  </si>
  <si>
    <t>101561</t>
  </si>
  <si>
    <t>CABO DE COBRE FLEXÍVEL HEPR 0,6/1KV 90°C, #16MM² CLASSE 5 - NÃO HALOGENADO</t>
  </si>
  <si>
    <t>27.5.8.6</t>
  </si>
  <si>
    <t>101562</t>
  </si>
  <si>
    <t>CABO DE COBRE FLEXÍVEL HEPR 0,6/1KV 90°C, #25MM² CLASSE 5 - NÃO HALOGENADO</t>
  </si>
  <si>
    <t>27.5.8.7</t>
  </si>
  <si>
    <t>101563</t>
  </si>
  <si>
    <t>CABO DE COBRE FLEXÍVEL HEPR 0,6/1KV 90°C, #35MM² CLASSE 5 - NÃO HALOGENADO</t>
  </si>
  <si>
    <t>27.5.8.8</t>
  </si>
  <si>
    <t>92988</t>
  </si>
  <si>
    <t>CABO DE COBRE FLEXÍVEL HEPR 0,6/1KV 90°C, #50MM² CLASSE 5 - NÃO HALOGENADO</t>
  </si>
  <si>
    <t>27.5.8.9</t>
  </si>
  <si>
    <t>101565</t>
  </si>
  <si>
    <t>CABO DE COBRE FLEXÍVEL HEPR 0,6/1KV 90°C, #70MM² CLASSE 5 - NÃO HALOGENADO</t>
  </si>
  <si>
    <t>101567</t>
  </si>
  <si>
    <t>CABO DE COBRE FLEXÍVEL HEPR 0,6/1KV 90°C, #95MM² CLASSE 5 - NÃO HALOGENADO</t>
  </si>
  <si>
    <t>101568</t>
  </si>
  <si>
    <t>CABO DE COBRE FLEXÍVEL HEPR 0,6/1KV 90°C, #120MM² CLASSE 5 - NÃO HALOGENADO</t>
  </si>
  <si>
    <t>92996</t>
  </si>
  <si>
    <t>CABO DE COBRE FLEXÍVEL HEPR 0,6/1KV 90°C, #150MM² CLASSE 5 - NÃO HALOGENADO</t>
  </si>
  <si>
    <t>S11199</t>
  </si>
  <si>
    <t>CABO DE COBRE FLEXÍVEL HEPR 0,6/1KV 90°C, #185MM² CLASSE 5 - NÃO HALOGENADO</t>
  </si>
  <si>
    <t>S93000S</t>
  </si>
  <si>
    <t>CABO DE COBRE FLEXÍVEL HEPR 0,6/1KV 90°C, #240MM² CLASSE 5 - NÃO HALOGENADO</t>
  </si>
  <si>
    <t>CABO DE COBRE FLEXÍVEL 750V PVC ANTICHAMA #2,5MM² - NÃO HALOGENADO</t>
  </si>
  <si>
    <t>P.08.000.043026</t>
  </si>
  <si>
    <t>CABO DE COBRE FLEXÍVEL 750V PVC ANTICHAMA #4MM² - NÃO HALOGENADO</t>
  </si>
  <si>
    <t>P.08.000.043027</t>
  </si>
  <si>
    <t>CABO DE COBRE FLEXÍVEL 750V PVC ANTICHAMA #6MM² - NÃO HALOGENADO</t>
  </si>
  <si>
    <t>P.08.000.050126</t>
  </si>
  <si>
    <t>CABO DE COBRE FLEXÍVEL 750V PVC ANTICHAMA #10MM² - NÃO HALOGENADO</t>
  </si>
  <si>
    <t>MAT021150</t>
  </si>
  <si>
    <t>CABO DE COBRE FLEXÍVEL 750V PVC ANTICHAMA #16MM² - NÃO HALOGENADO</t>
  </si>
  <si>
    <t>27.5.9</t>
  </si>
  <si>
    <t>CABOS TELECOM</t>
  </si>
  <si>
    <t>27.5.9.1</t>
  </si>
  <si>
    <t>98297</t>
  </si>
  <si>
    <t>CABO TRASMISSÃO DE DADOS GIGALAN U/UTP 23AWGX4P CM CAT.6 LSZH</t>
  </si>
  <si>
    <t>27.5.9.2</t>
  </si>
  <si>
    <t>ST 59.40.0800 (/)</t>
  </si>
  <si>
    <t>CABO ÓTICO SM 12F AR CONFORME MEMORIAL DESCRITIVO</t>
  </si>
  <si>
    <t>27.5.9.3</t>
  </si>
  <si>
    <t>05.01.07.100.24</t>
  </si>
  <si>
    <t>SERVIÇO DE FUSÃO DE FIBRA ÓPTICA (CONTABILIZADO PELO NUMERO DE VIAS INCLUI PIGTAILS LC)</t>
  </si>
  <si>
    <t>27.5.9.4</t>
  </si>
  <si>
    <t>ED-48368</t>
  </si>
  <si>
    <t>SERVIÇO DE CERTIFICAÇÃO DE FIBRA ÓTICA POR VIA</t>
  </si>
  <si>
    <t>27.5.9.5</t>
  </si>
  <si>
    <t>SERVIÇO DE CERTIFICAÇÃO DE CABO DE REDE CAT6</t>
  </si>
  <si>
    <t>27.5.10</t>
  </si>
  <si>
    <t>TELECOMUNICAÇÕES OUTROS</t>
  </si>
  <si>
    <t>27.5.10.</t>
  </si>
  <si>
    <t>100555</t>
  </si>
  <si>
    <t>RACK FECHADO AUTOPORTANTE 44U COMPLETO - CONFORME MEMORIAL DESCRITIVO</t>
  </si>
  <si>
    <t>S08460</t>
  </si>
  <si>
    <t>RACK FECHADO AUTOPORTANTE 16U COMPLETO - CONFORME MEMORIAL DESCRITIVO</t>
  </si>
  <si>
    <t>S160840</t>
  </si>
  <si>
    <t>DISTRIBUIDOR INTERNO ÓPTICO (DIO) – 19” - 1U - 24 PORTAS - VER MEMORIAL DESCRITIVO</t>
  </si>
  <si>
    <t>98302</t>
  </si>
  <si>
    <t>PATCH PANEL 24 PORTAS CAT 6 CONFORME MEMORIAL DESCRITIVO</t>
  </si>
  <si>
    <t>I7501</t>
  </si>
  <si>
    <t>SLOT PARA MEDIA CONVERTER 2U</t>
  </si>
  <si>
    <t>98304</t>
  </si>
  <si>
    <t>PATCH PANEL 48 PORTAS, CATEGORIA 6 - FORNECIMENTO E INSTALAÇÃO. AF_08/2025</t>
  </si>
  <si>
    <t>S13119</t>
  </si>
  <si>
    <t>NOBREAK PARA MONTAGEM EM RACK 19", 3,0 KVA, FP 0,85 OU SUPERIOR, ALTURA MÁXIMA 4U - COM PORTA RJ45 - CONFORME MEMORIAL DESCRITIVO - BDI = 17,31</t>
  </si>
  <si>
    <t>P.17.000.030578</t>
  </si>
  <si>
    <t>SWITCH ETHERNET L3, 24 (VINTE E QUATRO) PORTAS ETHERNET 10/100/1000 MBPS POE+, 4 (QUATRO) PORTAS 10 GIG SFP+. REFERÊNCIA: MARCA: HUAWEI | MODELO: S5720-28X-PWR-SI-AC - BDI = 17,31</t>
  </si>
  <si>
    <t>S160865</t>
  </si>
  <si>
    <t>SWITCH ETHERNET L3, 48 (QUARENTA E OITO) PORTAS 10/100/1000 MBPS ETHERNET POE+, 4 (QUATRO) PORTAS 10 GIG SFP+. REFERÊNCIA: MARCA: HUAWEI | MODELO: S5720-52X-PWR-SI-AC - BDI = 17,31</t>
  </si>
  <si>
    <t>S10268</t>
  </si>
  <si>
    <t>PATCH CORD CAT 6 - 23AWG X 4P GIGALAN - 2,5M</t>
  </si>
  <si>
    <t>S13786</t>
  </si>
  <si>
    <t>CÂMERA CFTV INTERNA MINI DOME CONFORME MEMORIAL DESCRITIVO</t>
  </si>
  <si>
    <t>66.08.326</t>
  </si>
  <si>
    <t>CÂMERA CFTV EXTERNA BULLET CONFORME MEMORIAL DESCRITIVO</t>
  </si>
  <si>
    <t>66.08.258</t>
  </si>
  <si>
    <t>ACESS POINT INTERNO CONFORME MEMORIAL DESCRITIVO - UBIQUITI UNIFI AP AC PRO OU TP-LINK EAP-225</t>
  </si>
  <si>
    <t>66.02.560</t>
  </si>
  <si>
    <t>CONTROLE DE ACESSO - CODIN - COM COMUNICAÇÃO TCP/IP - DEVERÁ CONTEMPLAR ELETROIMÃ E CAIXA COM BOTOEIRA DE SAÍDA - CONFORME MEMORIAL DESCRITIVO</t>
  </si>
  <si>
    <t>CJ</t>
  </si>
  <si>
    <t>27.5.11</t>
  </si>
  <si>
    <t>OUTROS EQUIPAMENTOS</t>
  </si>
  <si>
    <t>27.5.11.</t>
  </si>
  <si>
    <t>COM-20165691</t>
  </si>
  <si>
    <t>NOBREAK TRIFÁSICO 200KW - 220V (3F+N+T) - COM PORTA DE COMUNICAÇÃO RJ45 E SUPORTE A PROTOCOLOS SNMP E MODBUS - VER ESPECIFICAÇÕES NO MEMORIAL DESCRITIVO - IT MÉDICO - BDI = 17,31</t>
  </si>
  <si>
    <t>P.17.000.050257</t>
  </si>
  <si>
    <t>NOBREAK TRIFÁSICO 30KVA - 220V - VER ESPECIFICAÇÕES NO MEMORIAL DESCRITIVO - SALA CENTRAL TELECOM - BDI = 17,31</t>
  </si>
  <si>
    <t>27.5.12</t>
  </si>
  <si>
    <t>SISTEMA IT MÉDICO</t>
  </si>
  <si>
    <t>27.5.12.</t>
  </si>
  <si>
    <t>C0518</t>
  </si>
  <si>
    <t>CABO DE COBRE NÚ PARA ATERRAMENTO - #16MM²</t>
  </si>
  <si>
    <t>CABO DE COBRE NÚ PARA ATERRAMENTO - #25MM²</t>
  </si>
  <si>
    <t>C0521</t>
  </si>
  <si>
    <t>CABO DE COBRE NÚ PARA ATERRAMENTO - #50MM²</t>
  </si>
  <si>
    <t>S11273</t>
  </si>
  <si>
    <t>CAIXA PARA EMBUTIR, EM TERMOPLÁSTICO, ACABAMENTO COM PROTEÇÃO UV. BARRAMENTO COM 9 TERMINAIS, COM TRANCA NA PORTA – USO INTERNO 200 X 200 X 90MM – (INSTALADO NA SALA CIRÚRGICA)</t>
  </si>
  <si>
    <t>07082</t>
  </si>
  <si>
    <t>CONJUNTO FORMADO POR DOIS TRANSFORMADORES DE SEPARAÇÃO A SECO, MONTADOS EM CAIXA DE ISOLAÇÃO IP21, MATERIAL ISOLANTE CLASSE H. CADA TRAFO INCORPORA 1 TRANSMISSOR PTC 120°C MONTADO EM BASE COM BORNE PARA TRANSFORMADOR E LIGAÇÃO PARA SUPERVISÃO DA TEMPERATURA TR1: 5KVA - 60HZ - PRIMÁRIO 220V - SECUNDÁRIO 127V TR2: 5KVA - 60HZ - PRIMÁRIO 220V - SECUNDÁRIO 220V</t>
  </si>
  <si>
    <t>I12146</t>
  </si>
  <si>
    <t>DISPOSITIVO SUPERVISÓRIO DE ISOLAMENTO (DSI) E DISPOSITIVO SUPRVISÓRIO DO TRANSFORMADOR (DST) PARA CARGA E TEMPERATURA - RESISTÊNCIA INTERNA 240KOHM, TENSÃO DE MEDIÇÃO 12V E CORRENTE DE MEDIÇÃO 50UA, CONFORME NBR13534 E IEC64557-8.</t>
  </si>
  <si>
    <t>CPU-ELE-HUFCA-0203</t>
  </si>
  <si>
    <t>TRANSFORMADOR DE CORRENTE COM CORRENTE SECUNDÁRIA EM MA.</t>
  </si>
  <si>
    <t>CPU-ELE-HUUFCA-102</t>
  </si>
  <si>
    <t>LOCALIZADOR DE FALHAS FXO, COM 6 TRANSFORMADORES DE MEDIDA INCLUSOS DE 10MM DE DIAMETRO, LED'S DE ALARME PARA CADA CANAL DE MEDIÇÃO, SENSIBILIDADE DE RESPOSTA 0,5MA, TEMPO PARA LOCALIZAÇÃO MENOR QUE 10 SEGUNDOS PARA TODOS OS PONTOS INTERLIGADOS</t>
  </si>
  <si>
    <t>I10350</t>
  </si>
  <si>
    <t>ANUNCIADOR DE ALARME E TESTE CENTRAL DE ACORDO COM A NBR13534, COM MEMORIZAÇÃO DE DATA E HORA DOS EVENTOS. POSSIBILIDADE DE EDIÇÃO DOS TEXTOS DE ALARME COM REGISTRO DO LOCAL DE ALARME. CONEXAO USB PARA DOWNLOAD DE REGISTROS DOS ALARMES.</t>
  </si>
  <si>
    <t>ANUNCIADOR DE ALARME</t>
  </si>
  <si>
    <t>I10347</t>
  </si>
  <si>
    <t>FONTE DE ALIMENTAÇÃO 15W (24V)</t>
  </si>
  <si>
    <t>93659</t>
  </si>
  <si>
    <t>QUADRO DE SUPERVISÃO E PROTEÇÃO IP40, MATERIAL AUTO-EXTINGUÍVEL DE ACORDO COM NORMA IEC 60695-2-1-750°C/5S - COR BRANCA RAL 9003 - VER PRANCHAS DE QUADROS DE CARGAS E DIAGRAMAS UNIFILARES DO IT MÉDICO.</t>
  </si>
  <si>
    <t>C4040</t>
  </si>
  <si>
    <t>SUPERVISÓRIO DO SISTEMA IT MÉDICO</t>
  </si>
  <si>
    <t>27.5.13</t>
  </si>
  <si>
    <t>CHAMADA DE ENFERMAGEM</t>
  </si>
  <si>
    <t>27.5.13.</t>
  </si>
  <si>
    <t>CENTRAL DE CHAMADA DE ENFERMAGEM PARA 64 PONTOS, DOIS POSTOS DE ENFERMAGEM POR PAVIMENTO DAS UNIDADES DA INTERNAÇÃO (6 PAV. TIPO). INCLUI FONTE DE ALIMENTAÇÃO 12VCC 5A</t>
  </si>
  <si>
    <t>CENTRAL DE CHAMADA DE ENFERMAGEM PARA 20 PONTOS, POSTO DE ENFERMAGEM 1 DA UTI. INCLUI FONTE DE ALIMENTAÇÃO 12VCC 5A</t>
  </si>
  <si>
    <t>CENTRAL DE CHAMADA DE ENFERMAGEM PARA 20 PONTOS, POSTO DE ENFERMAGEM 2 DA UTI. INCLUI FONTE DE ALIMENTAÇÃO 12VCC 5A</t>
  </si>
  <si>
    <t>CENTRAL DE CHAMADA DE ENFERMAGEM PARA 20 PONTOS, POSTO DE ENFERMAGEM 3 DA UTI. INCLUI FONTE DE ALIMENTAÇÃO 12VCC 5A</t>
  </si>
  <si>
    <t>CENTRAL DE CHAMADA DE ENFERMAGEM PARA 20 PONTOS, POSTO DE ENFERMAGEM 4 DA UTI. INCLUI FONTE DE ALIMENTAÇÃO 12VCC 5A</t>
  </si>
  <si>
    <t>CENTRAL DE CHAMADA DE ENFERMAGEM PARA 20 PONTOS, POSTO DE ENFERMAGEM DA SR. INCLUI FONTE DE ALIMENTAÇÃO 12VCC 5A</t>
  </si>
  <si>
    <t>CENTRAL DE CHAMADA DE ENFERMAGEM PARA 64 PONTOS, POSTO DE ENFERMAGEM DA ONCOLOGIA. INCLUI FONTE DE ALIMENTAÇÃO 12VCC 5A</t>
  </si>
  <si>
    <t>P.17.000.037603</t>
  </si>
  <si>
    <t>INDICADOR VISUAL DO TIPO SINALEIRO DE PORTA</t>
  </si>
  <si>
    <t>IT 25.99.0150 (/)</t>
  </si>
  <si>
    <t>BOTÃO DE CHAMADA DE ENFERMAGEM DO TIPO ESTAÇÃO DE LEITO INSTALADO EM RÉGUA MEDICINAL</t>
  </si>
  <si>
    <t>BOTÃO DE PACIENTE DO TIPO PÊRA CONECTADO A ESTAÇÃO DE LEITO</t>
  </si>
  <si>
    <t>BOTÃO DE CHAMADA DO TIPO ESTAÇÃO DE BANHEIRO COM CORDEL</t>
  </si>
  <si>
    <t>M100904152</t>
  </si>
  <si>
    <t>NOBREAK SENOIDAL 1KVA ENTRADA BIVOLT, SAÍDA 127V</t>
  </si>
  <si>
    <t>IP 15.30.0050 (/)</t>
  </si>
  <si>
    <t>CABO PVC 750V #1,0MM²</t>
  </si>
  <si>
    <t>27.5.14</t>
  </si>
  <si>
    <t>SPDA</t>
  </si>
  <si>
    <t>27.5.14.</t>
  </si>
  <si>
    <t>09.011.095 (E)</t>
  </si>
  <si>
    <t>BARRA CHATA DE ALUMÍNIO 7/8" X 1/8" X 3M - #70MM²</t>
  </si>
  <si>
    <t>S.04.000.026728</t>
  </si>
  <si>
    <t>PARAFUSO INOX AUTO ATARRAXANTE 4,2X32MM COM BUCHA DE NYLON S6 REF: TEL-5333</t>
  </si>
  <si>
    <t>I12411</t>
  </si>
  <si>
    <t>MINICAPTOR DE ALUMÍNIO MINICAPTOR 3/4” X 1/4” X 600MM</t>
  </si>
  <si>
    <t>I09313</t>
  </si>
  <si>
    <t>PARAFUSO CABEÇA CHATA EM ALUMÍNIO ∅1/4" X 5/8" REF.: TEL-5321</t>
  </si>
  <si>
    <t>60.15.30</t>
  </si>
  <si>
    <t>PORCA SEXTAVADA EM ALUMÍNIO ∅1/4" REF.: TEL-5313</t>
  </si>
  <si>
    <t>MATED-11999</t>
  </si>
  <si>
    <t>REBAR EM AÇO GALVANIZADO 3/8" - #70MM² EM BARRAS DE 3,4M</t>
  </si>
  <si>
    <t>42.05.580</t>
  </si>
  <si>
    <t>TERMINAL A COMPRESSAO PARA CABOS 35MM² ESTANHADO COM FURO M8</t>
  </si>
  <si>
    <t>C0523</t>
  </si>
  <si>
    <t>CABO DE COBRE NU 70MM² (MALHA DE PISO DAS SUBESTAÇÕES)</t>
  </si>
  <si>
    <t>09.083.074 (E)</t>
  </si>
  <si>
    <t>PARA RAIO TIPO FRANKLIN COMPLETO 10M - 1 DESCIDA - 2" - TEL-010</t>
  </si>
  <si>
    <t>42.05.220</t>
  </si>
  <si>
    <t>MASTRO TELESCÓPICO COM REDUÇÃO PARA 3/4"</t>
  </si>
  <si>
    <t>42.04.060</t>
  </si>
  <si>
    <t>BASE PARA MASTRO Ø2"</t>
  </si>
  <si>
    <t>M109500006</t>
  </si>
  <si>
    <t>ESTAIS RÍGIDOS 3 UNIDADES X 4 M CADA POR CAPTOR FRANKLIN Ø2"</t>
  </si>
  <si>
    <t>101663</t>
  </si>
  <si>
    <t>ABRAÇADEIRAS GUIA PARA MASTROS UMA DESCIDA Ø2"</t>
  </si>
  <si>
    <t>27.5.15</t>
  </si>
  <si>
    <t>INFRAESTRUTURA SUBTERRÂNEA</t>
  </si>
  <si>
    <t>27.5.15.</t>
  </si>
  <si>
    <t>97667</t>
  </si>
  <si>
    <t>ELETRODUTO CORRUGADO EM PEAD - Ø50MM (2")</t>
  </si>
  <si>
    <t>38.13.040</t>
  </si>
  <si>
    <t>ELETRODUTO CORRUGADO EM POLIETILENO DE ALTA DENSIDADE, DN= 100 MM, COM ACESSÓRIOS</t>
  </si>
  <si>
    <t>C0591</t>
  </si>
  <si>
    <t>CAIXA SUBTERRÂNEA EM ALVENARIA COM TAMPA DUPLA E FUNDO DRENANTE 60X60X60 CM</t>
  </si>
  <si>
    <t>SMOP</t>
  </si>
  <si>
    <t>ELE-095</t>
  </si>
  <si>
    <t>CAIXA SUBTERRÂNEA EM ALVENARIA COM TAMPA DUPLA E FUNDO DRENANTE 100X100X80 CM</t>
  </si>
  <si>
    <t>27.6</t>
  </si>
  <si>
    <t>ILUMINAÇÃO EXTERNA</t>
  </si>
  <si>
    <t>27.6.1</t>
  </si>
  <si>
    <t>27.6.1.1</t>
  </si>
  <si>
    <t>ELETRODUTO CORRUGADO 50MM EM PEAD</t>
  </si>
  <si>
    <t>27.6.1.2</t>
  </si>
  <si>
    <t>IT 25.14.0065 (/)</t>
  </si>
  <si>
    <t>ELETRODUTO DE FERRO GALVANIZADO Ø50MM (2") - INCLUINDO ACESSÓRIOS E FIXAÇÕES</t>
  </si>
  <si>
    <t>27.6.1.3</t>
  </si>
  <si>
    <t>02.03.05.500.34</t>
  </si>
  <si>
    <t>ELETRODUTO FLEXÍVEL CORRUGADO REFORÇADO, PVC, DN 25 MM (1"), PARA CONEXÃO ENTRE CAIXAS EXTERNAS E POSTES - FORNECIMENTO E INSTALAÇÃO</t>
  </si>
  <si>
    <t>27.6.1.4</t>
  </si>
  <si>
    <t>C3504</t>
  </si>
  <si>
    <t>CAIXA SUBTERRÂNEA EM ALVENARIA COM TAMPA SIMPLES E FUNDO DRENANTE 30CM X 30CM</t>
  </si>
  <si>
    <t>27.6.1.5</t>
  </si>
  <si>
    <t>27.6.2</t>
  </si>
  <si>
    <t>27.6.2.1</t>
  </si>
  <si>
    <t>S02975</t>
  </si>
  <si>
    <t>RELÉ SENSOR FOTOCÉLULA</t>
  </si>
  <si>
    <t>27.6.3</t>
  </si>
  <si>
    <t>27.6.3.1</t>
  </si>
  <si>
    <t>41.11.721</t>
  </si>
  <si>
    <t>LUMINÁRIA LED IP66 DO TIPO SOBREPOR PARA INSTALAÇÃO EM TOPO DE POSTE 50W 127V 4000K</t>
  </si>
  <si>
    <t>27.6.3.2</t>
  </si>
  <si>
    <t>41.11.703</t>
  </si>
  <si>
    <t>LUMINÁRIA LED IP66 DO TIPO SOBREPOR PARA INSTALAÇÃO EM TOPO DE POSTE 100W 127V 4000K</t>
  </si>
  <si>
    <t>27.6.4</t>
  </si>
  <si>
    <t>POSTES</t>
  </si>
  <si>
    <t>27.6.4.1</t>
  </si>
  <si>
    <t>41.10.500</t>
  </si>
  <si>
    <t>POSTE TELECONICO RETO 4M GALVANIZADO A FOGO NBR 6323</t>
  </si>
  <si>
    <t>27.6.4.2</t>
  </si>
  <si>
    <t>09.083.070 (E)</t>
  </si>
  <si>
    <t>POSTE TELECONICO CURVO SIMPLES 6M GALVANIZADO A FOGO NBR 6323</t>
  </si>
  <si>
    <t>27.6.4.3</t>
  </si>
  <si>
    <t>09.083.071 (E)</t>
  </si>
  <si>
    <t>POSTE TELECONICO CURVO DUPLO 6M GALVANIZADO A FOGO NBR 6323</t>
  </si>
  <si>
    <t>27.6.4.4</t>
  </si>
  <si>
    <t>MAT091562</t>
  </si>
  <si>
    <t>NÚCLEO DUPLO PARA LUMINÁRIAS EM AÇO DE BAIXO TEOR DE CARBONO SAE 1010/1020, NÚCLEO DIÂMETRO INTERNO DE 68MM, BRAÇOS COM DIÂMETRO EXTERNO DE 48MM, COMPRIMENTO DE 140MM, CONFORME DESENHO A2-1791-PD E ESPECIFICAÇÃO EM-RIOLUZ Nº 40</t>
  </si>
  <si>
    <t>27.6.4.5</t>
  </si>
  <si>
    <t>MAT091556</t>
  </si>
  <si>
    <t>NÚCLEO SIMPLES PARA LUMINÁRIAS EM AÇO DE BAIXO TEOR DE CARBONO SAE 1010/1020, NÚCLEO DIÂMETRO INTERNO DE 68MM, BRAÇOS COM DIÂMETRO EXTERNO DE 48MM, COMPRIMENTO DE 140MM, CONFORME DESENHO A2-1791-PD E ESPECIFICAÇÃO EM-RIOLUZ Nº 40</t>
  </si>
  <si>
    <t>27.6.5</t>
  </si>
  <si>
    <t>27.6.5.1</t>
  </si>
  <si>
    <t>CABO DE COBRE UNIPOLAR, CLASSE DE TENSÃO 0,6/1KV, CAPA EM HEPR 90°C, ENCORDOAMENTO 5, ENCHIMENTO E COBERTURA DE COMPOSTO POLIFEÍNICO NÃO HALOGENADO, NBR 13248 4,0MM²</t>
  </si>
  <si>
    <t>27.7</t>
  </si>
  <si>
    <t>SONORIZAÇÃO</t>
  </si>
  <si>
    <t>27.7.1</t>
  </si>
  <si>
    <t>COT-SOM1</t>
  </si>
  <si>
    <t>MIXER YAMAHA MODELO MG12XU - BDI = 17,31</t>
  </si>
  <si>
    <t>27.7.2</t>
  </si>
  <si>
    <t>COT-SOM2</t>
  </si>
  <si>
    <t>AMPLIFICADOR DBSERIES MODELO DS 800 - BDI = 17,31</t>
  </si>
  <si>
    <t>27.7.3</t>
  </si>
  <si>
    <t>COT-SOM3</t>
  </si>
  <si>
    <t>CAIXA ACUSTICA YAMAHA MODELO DXR15 - BDI = 17,31</t>
  </si>
  <si>
    <t>27.7.4</t>
  </si>
  <si>
    <t>COT-SOM4</t>
  </si>
  <si>
    <t>SUPORTE ORIGINAL PARA CAIXA ACUSTICA YAMAHA - BDI = 17,31</t>
  </si>
  <si>
    <t>27.7.5</t>
  </si>
  <si>
    <t>COT-SOM5</t>
  </si>
  <si>
    <t>SPLITTER WYRESTORM MODELO EXP-SP-0104-H2 - BDI = 17,31</t>
  </si>
  <si>
    <t>27.7.6</t>
  </si>
  <si>
    <t>COT-SOM6</t>
  </si>
  <si>
    <t>MESA DE EDIÇÃO ATEM MINI PRO ISSO - BDI = 17,31</t>
  </si>
  <si>
    <t>27.7.7</t>
  </si>
  <si>
    <t>COT-SOM7</t>
  </si>
  <si>
    <t>MIXER DE AUDIO PARA PODCAST E STREAMING RODE CASTER DUO - BDI = 17,31</t>
  </si>
  <si>
    <t>27.7.8</t>
  </si>
  <si>
    <t>COT-SOM8</t>
  </si>
  <si>
    <t>MICROFONE WIRELESS SHURE BLX24R/SM58 - BDI = 17,31</t>
  </si>
  <si>
    <t>27.7.9</t>
  </si>
  <si>
    <t>COT-SOM9</t>
  </si>
  <si>
    <t>SONOFLETOR DE EMBUTIR JBL 25W 6CO2 FOYER - BDI = 17,31</t>
  </si>
  <si>
    <t>27.7.10</t>
  </si>
  <si>
    <t>COT-SOM10</t>
  </si>
  <si>
    <t>CAMERA PROSTREAM PTZ20GO - BDI = 17,31</t>
  </si>
  <si>
    <t>27.7.11</t>
  </si>
  <si>
    <t>COT-SOM11</t>
  </si>
  <si>
    <t>PROJETOR EPSON MODELO L260F - BDI = 17,31</t>
  </si>
  <si>
    <t>27.7.12</t>
  </si>
  <si>
    <t>COT-SOM12</t>
  </si>
  <si>
    <t>TELA DE PROJEÇÃO MOTORIZADA TENSIONADA 136" - BDI = 17,31</t>
  </si>
  <si>
    <t>27.7.13</t>
  </si>
  <si>
    <t>COT-SOM13</t>
  </si>
  <si>
    <t>PROCESSADOR MATRIZ DIGITAL YAMAHA MODELO MTX5-D - BDI = 17,31</t>
  </si>
  <si>
    <t>27.7.14</t>
  </si>
  <si>
    <t>COT-SOM14</t>
  </si>
  <si>
    <t>AMPLIFICADOR DE POTÊNCIA YAMAHA XMV8140 8 CANAIS 140W BAIXA E ALTA IMPEDÂNCIA (LINHA DE 70V) - BDI = 17,31</t>
  </si>
  <si>
    <t>27.7.15</t>
  </si>
  <si>
    <t>COT-SOM15</t>
  </si>
  <si>
    <t>MICROFONE DANTE TIPO PAGING YAMAHA PGM1 - BDI = 17,31</t>
  </si>
  <si>
    <t>27.7.16</t>
  </si>
  <si>
    <t>COT-SOM16</t>
  </si>
  <si>
    <t>SWITCH DE REDE YAMAHA SWR32100P DEZ PORTAS - BDI = 17,31</t>
  </si>
  <si>
    <t>27.7.17</t>
  </si>
  <si>
    <t>COT-SOM17</t>
  </si>
  <si>
    <t>SONOFLETOR DE EMBUTIR JBL 25W 6CO2 AMBIENTAL - BDI = 17,31</t>
  </si>
  <si>
    <t>27.7.18</t>
  </si>
  <si>
    <t>COT-SOM18</t>
  </si>
  <si>
    <t>TRANSFORMADOR 70V 25W - BDI = 17,31</t>
  </si>
  <si>
    <t>27.7.19</t>
  </si>
  <si>
    <t>COT-SOM19</t>
  </si>
  <si>
    <t>CONJUNTO CABOS SISTEMA DE SOM AUDITORIO (HDMI/AUDIO/POLARIZADO) - BDI = 17,31</t>
  </si>
  <si>
    <t>27.7.20</t>
  </si>
  <si>
    <t>02.03.10.100.181</t>
  </si>
  <si>
    <t>CABO POLARIZADO 2X2,5MM² SOM AMBIENTAL</t>
  </si>
  <si>
    <t>28.</t>
  </si>
  <si>
    <t>EQUIPAMENTOS DE CLIMATIZAÇÃO</t>
  </si>
  <si>
    <t>28.1</t>
  </si>
  <si>
    <t>28.1.1</t>
  </si>
  <si>
    <t>COT</t>
  </si>
  <si>
    <t>MERCADO 01</t>
  </si>
  <si>
    <t>AHU-TIPO 01 - UNIDADE CLIMATIZADORA HOSPITALAR DO TIPO MODULAR PARA EXPANSÃO INDIRETA. CAPACIDADE EFETIVA: 2 TR. VAZÃO DE INSUFLAMENTO 1360 M³/H. VAZÃO DE RETORNO: 1225 M³/H. VAZÃO DE AR EXTERNO: 135 M³/H. PERDA DE CARGA DISPONÍVEL 10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</si>
  <si>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28.1.2</t>
  </si>
  <si>
    <t>MERCADO 02</t>
  </si>
  <si>
    <t>AHU-TIPO 02 - UNIDADE CLIMATIZADORA HOSPITALAR DO TIPO MODULAR PARA EXPANSÃO INDIRETA. CAPACIDADE EFETIVA: 5 TR. VAZÃO DE INSUFLAMENTO 3500 M³/H. VAZÃO DE RETORNO: 3300 M³/H. VAZÃO DE AR EXTERNO: 200 M³/H. PERDA DE CARGA DISPONÍVEL 10 MMCA. MÓDULOS: VENTILADOR DO TIPO PLENO FAN COM MOTOR DO TIPO EC - COMUTAÇÃO ELETRÔNICA, TROCADOR DE CALOR COM SERPENTINA FRIA, BATERIA DE RESISTÊNCIA PARA REAQUECIMENTO, CAIXA DE MISTURA COM DAMPERS, FILTRO G4 TIPO PLANO + FILTRO F8 TIPO BOLSA COM QUADRO ELÉTRICO DE FORÇA, COMANDO DE AUTOMAÇÃO. MODULAÇÃO: HORIZONTAL DOIS ANDARES.</t>
  </si>
  <si>
    <t>28.1.3</t>
  </si>
  <si>
    <t>MERCADO 03</t>
  </si>
  <si>
    <t>AHU-TIPO 03 - UNIDADE CLIMATIZADORA HOSPITALAR DO TIPO MODULAR PARA EXPANSÃO INDIRETA. CAPACIDADE EFETIVA: 10 TR. VAZÃO DE INSUFLAMENTO 7000 M³/H. VAZÃO DE RETORNO: 6048 M³/H. VAZÃO DE AR EXTERNO: 952 M³/H. PERDA DE CARGA DISPONÍVEL 20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</si>
  <si>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28.1.4</t>
  </si>
  <si>
    <t>MERCADO 04</t>
  </si>
  <si>
    <t>AHU-TIPO 04 - UNIDADE CLIMATIZADORA HOSPITALAR DO TIPO MODULAR PARA EXPANSÃO INDIRETA. CAPACIDADE EFETIVA: 12 TR. VAZÃO DE INSUFLAMENTO 8400 M³/H. VAZÃO DE RETORNO: 7258 M³/H. VAZÃO DE AR EXTERNO: 1142 M³/H. PERDA DE CARGA DISPONÍVEL 30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</si>
  <si>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28.1.5</t>
  </si>
  <si>
    <t>MERCADO 05</t>
  </si>
  <si>
    <t>AHU-TIPO 05 - UNIDADE CLIMATIZADORA HOSPITALAR DO TIPO MODULAR PARA EXPANSÃO INDIRETA. CAPACIDADE EFETIVA: 15 TR. VAZÃO DE INSUFLAMENTO 10500 M³/H. VAZÃO DE RETORNO: 9072 M³/H. VAZÃO DE AR EXTERNO: 1428 M³/H. PERDA DE CARGA DISPONÍVEL 30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</si>
  <si>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28.1.6</t>
  </si>
  <si>
    <t>MERCADO 06</t>
  </si>
  <si>
    <t>AHU-TIPO 06 - UNIDADE CLIMATIZADORA HOSPITALAR DO TIPO MODULAR PARA EXPANSÃO INDIRETA. CAPACIDADE EFETIVA: 15 TR. VAZÃO DE INSUFLAMENTO 10500 M³/H. VAZÃO DE RETORNO: 9072 M³/H. VAZÃO DE AR EXTERNO: 1428 M³/H. PERDA DE CARGA DISPONÍVEL 20 MMCA. MÓDULOS: VENTILADOR DO TIPO PLENO FAN COM MOTOR DO TIPO EC - COMUTAÇÃO ELETRÔNICA, TROCADOR DE CALOR COM SERPENTINA FRIA, ATENUADOR DE RUÍDO NO INSUFLAMENTO E NO RETORNO, CAIXA DE MISTURA COM DAMPERS, FILTRO G4 TIPO PLANO + FILTRO F8 TIPO BOLSA COM QUADRO ELÉTRICO DE FORÇA, COMANDO DE AUTOMAÇÃO. MODULAÇÃO: HORIZONTAL DOIS ANDARES.</t>
  </si>
  <si>
    <t>28.1.7</t>
  </si>
  <si>
    <t>MERCADO 07</t>
  </si>
  <si>
    <t>AHU-TIPO 07 - UNIDADE CLIMATIZADORA HOSPITALAR DO TIPO MODULAR PARA EXPANSÃO INDIRETA. CAPACIDADE EFETIVA: 20 TR. VAZÃO DE INSUFLAMENTO 14000 M³/H. VAZÃO DE RETORNO: 11995 M³/H. VAZÃO DE AR EXTERNO: 2005 M³/H. PERDA DE CARGA DISPONÍVEL 40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</si>
  <si>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28.1.8</t>
  </si>
  <si>
    <t>MERCADO 08</t>
  </si>
  <si>
    <t>AHU-TIPO 08 - UNIDADE CLIMATIZADORA HOSPITALAR DO TIPO MODULAR PARA EXPANSÃO INDIRETA. CAPACIDADE EFETIVA: 25 TR. VAZÃO DE INSUFLAMENTO 17500 M³/H. VAZÃO DE RETORNO: 15120 M³/H. VAZÃO DE AR EXTERNO: 2380 M³/H. PERDA DE CARGA DISPONÍVEL 40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</si>
  <si>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28.1.9</t>
  </si>
  <si>
    <t>MERCADO 09</t>
  </si>
  <si>
    <t>AHU-TIPO 09 - UNIDADE CLIMATIZADORA HOSPITALAR DO TIPO MODULAR PARA EXPANSÃO INDIRETA. CAPACIDADE EFETIVA: 30 TR. VAZÃO DE INSUFLAMENTO 21000 M³/H. VAZÃO DE RETORNO: 18144 M³/H. VAZÃO DE AR EXTERNO: 2856 M³/H. PERDA DE CARGA DISPONÍVEL 50 MMCA. MÓDULOS: VENTILADOR DO TIPO PLENO FAN COM MOTOR DO TIPO EC - COMUTAÇÃO ELETRÔNICA, TROCADOR DE CALOR COM SERPENTINA FRIA, CAIXA DE MISTURA COM DAMPERS, FILTRO G4 TIPO PLANO + FILTRO F8 TIPO BOLSA COM QUADRO ELÉTRICO DE FORÇA, COMANDO DE AUTOMAÇÃO. MODULAÇÃO: HORIZONTAL DOIS ANDARES.</t>
  </si>
  <si>
    <t>28.1.10</t>
  </si>
  <si>
    <t>MERCADO 10</t>
  </si>
  <si>
    <t>AHU-TIPO 11 - UNIDADE CLIMATIZADORA HOSPITALAR DO TIPO MODULAR PARA EXPANSÃO INDIRETA. CAPACIDADE EFETIVA: 5 TR. VAZÃO DE INSUFLAMENTO 3500 M³/H. VAZÃO DE RETORNO: 2810 M³/H. VAZÃO DE AR EXTERNO: 690 M³/H. PERDA DE CARGA DISPONÍVEL 15 MMCA. MÓDULOS: VENTILADOR DO TIPO PLENO FAN COM MOTOR DO TIPO EC - COMUTAÇÃO ELETRÔNICA, TROCADOR DE CALOR COM SERPENTINA FRIA, BATERIA DE RESISTÊNCIA PARA REAQUECIMENTO, ATENUADOR DE RUÍDO NO INSUFLAMENTO E NO RETORNO, CAIXA DE MISTURA COM DAMPERS, FILTRO G4 TIPO PLANO + FILTRO F8 TIPO BOLSA + FILTRO ISO 35H TIPO BOLSA COM QUADRO ELÉTRICO DE FORÇA, COMANDO DE AUTOMAÇÃO. MODULAÇÃO: HORIZONTAL DOIS ANDARES.</t>
  </si>
  <si>
    <t>28.1.11</t>
  </si>
  <si>
    <t>MERCADO 11</t>
  </si>
  <si>
    <t>AHU-TIPO 12 - UNIDADE CLIMATIZADORA HOSPITALAR DO TIPO MODULAR PARA EXPANSÃO INDIRETA 100% AR EXTERNO. CAPACIDADE EFETIVA: 5 TR. VAZÃO DE INSUFLAMENTO 1360 M³/H. VAZÃO DE RETORNO: 0 M³/H. VAZÃO DE AR EXTERNO: 1360 M³/H. PERDA DE CARGA DISPONÍVEL 10 MMCA. MÓDULOS: VENTILADOR DO TIPO PLENO FAN COM MOTOR DO TIPO EC - COMUTAÇÃO ELETRÔNICA, TROCADOR DE CALOR COM SERPENTINA FRIA, FILTRO G4 TIPO PLANO + FILTRO F8 TIPO BOLSA COM QUADRO ELÉTRICO DE FORÇA, COMANDO DE AUTOMAÇÃO. MODULAÇÃO: HORIZONTAL DOIS ANDARES.</t>
  </si>
  <si>
    <t>28.1.12</t>
  </si>
  <si>
    <t>MERCADO 12</t>
  </si>
  <si>
    <t>AHU-TIPO 13 - UNIDADE CLIMATIZADORA HOSPITALAR DO TIPO MODULAR PARA EXPANSÃO INDIRETA 100% AR EXTERNO. CAPACIDADE EFETIVA: 10 TR. VAZÃO DE INSUFLAMENTO 2287M³/H. VAZÃO DE RETORNO: 0 M³/H. VAZÃO DE AR EXTERNO: 2287 M³/H. PERDA DE CARGA DISPONÍVEL 115 MMCA. MÓDULOS: VENTILADOR DO TIPO PLENO FAN COM MOTOR DO TIPO EC - COMUTAÇÃO ELETRÔNICA, TROCADOR DE CALOR COM SERPENTINA FRIA, BATERIA DE RESISTÊNCIA PARA REAQUECIMENTO, FILTRO G4 TIPO PLANO + FILTRO F8 TIPO BOLSA COM QUADRO ELÉTRICO DE FORÇA, COMANDO DE AUTOMAÇÃO. MODULAÇÃO: HORIZONTAL DOIS ANDARES.</t>
  </si>
  <si>
    <t>28.1.13</t>
  </si>
  <si>
    <t>MERCADO 13</t>
  </si>
  <si>
    <t>AHU-TIPO 14 - UNIDADE CLIMATIZADORA HOSPITALAR DO TIPO MODULAR PARA EXPANSÃO INDIRETA 100% AR EXTERNO. CAPACIDADE EFETIVA: 15 TR. VAZÃO DE INSUFLAMENTO 3200 M³/H. VAZÃO DE RETORNO: 0 M³/H. VAZÃO DE AR EXTERNO: 3200 M³/H. PERDA DE CARGA DISPONÍVEL 10 MMCA. MÓDULOS: VENTILADOR DO TIPO PLENO FAN COM MOTOR DO TIPO EC - COMUTAÇÃO ELETRÔNICA, TROCADOR DE CALOR COM SERPENTINA FRIA, FILTRO G4 TIPO PLANO + FILTRO F8 TIPO BOLSA COM QUADRO ELÉTRICO DE FORÇA, COMANDO DE AUTOMAÇÃO. MODULAÇÃO: HORIZONTAL DOIS ANDARES.</t>
  </si>
  <si>
    <t>28.1.14</t>
  </si>
  <si>
    <t>MERCADO 14</t>
  </si>
  <si>
    <t>AHU-TIPO 15 - UNIDADE CLIMATIZADORA HOSPITALAR DO TIPO MODULAR PARA EXPANSÃO INDIRETA 100% AR EXTERNO. CAPACIDADE EFETIVA: 20 TR. VAZÃO DE INSUFLAMENTO 3400 M³/H. VAZÃO DE RETORNO: 0 M³/H. VAZÃO DE AR EXTERNO: 3400 M³/H. PERDA DE CARGA DISPONÍVEL 20 MMCA. MÓDULOS: VENTILADOR DO TIPO PLENO FAN COM MOTOR DO TIPO EC - COMUTAÇÃO ELETRÔNICA, TROCADOR DE CALOR COM SERPENTINA FRIA, FILTRO G4 TIPO PLANO + FILTRO F8 TIPO BOLSA COM QUADRO ELÉTRICO DE FORÇA, COMANDO DE AUTOMAÇÃO. MODULAÇÃO: HORIZONTAL DOIS ANDARES.</t>
  </si>
  <si>
    <t>28.1.15</t>
  </si>
  <si>
    <t>MERCADO 15</t>
  </si>
  <si>
    <t>AHU-TIPO 16 - UNIDADE CLIMATIZADORA HOSPITALAR DO TIPO MODULAR PARA EXPANSÃO INDIRETA 100% AR EXTERNO. CAPACIDADE EFETIVA: 25 TR. VAZÃO DE INSUFLAMENTO 4500 M³/H. VAZÃO DE RETORNO: 0 M³/H. VAZÃO DE AR EXTERNO: 4500 M³/H. PERDA DE CARGA DISPONÍVEL 35 MMCA. MÓDULOS: VENTILADOR DO TIPO PLENO FAN COM MOTOR DO TIPO EC - COMUTAÇÃO ELETRÔNICA, TROCADOR DE CALOR COM SERPENTINA FRIA, FILTRO G4 TIPO PLANO + FILTRO F8 TIPO BOLSA COM QUADRO ELÉTRICO DE FORÇA, COMANDO DE AUTOMAÇÃO. MODULAÇÃO: HORIZONTAL DOIS ANDARES.</t>
  </si>
  <si>
    <t>28.1.16</t>
  </si>
  <si>
    <t>MERCADO 16</t>
  </si>
  <si>
    <t>AHU-TIPO 20 - UNIDADE CLIMATIZADORA HOSPITALAR DO TIPO MODULAR PARA EXPANSÃO INDIRETA 100% AR EXTERNO. CAPACIDADE EFETIVA: 5TR. VAZÃO DE INSUFLAMENTO 700M³/H. VAZÃO DE RETORNO: 0 M³/H. VAZÃO DE AR EXTERNO: 700 M³/H. PERDA DE CARGA DISPONÍVEL 115 MMCA. MÓDULOS: VENTILADOR DO TIPO PLENO FAN COM MOTOR DO TIPO EC - COMUTAÇÃO ELETRÔNICA, TROCADOR DE CALOR COM SERPENTINA FRIA, BATERIA DE RESISTÊNCIA PARA REAQUECIMENTO, FILTRO G4 TIPO PLANO + FILTRO F8 TIPO BOLSA COM QUADRO ELÉTRICO DE FORÇA, COMANDO DE AUTOMAÇÃO. MODULAÇÃO: HORIZONTAL DOIS ANDARES.</t>
  </si>
  <si>
    <t>28.1.17</t>
  </si>
  <si>
    <t>MERCADO 17</t>
  </si>
  <si>
    <t xml:space="preserve">FANCOIL TIPO 01 - FANCOIL TIPO MODULAR PARA EXPANSÃO INDIRETA. CAPACIDADE EFETIVA: 20 TR. VAZÃO DE INSUFLAMENTO 14000 M³/H. VAZÃO DE RETORNO: 12096 M³/H. VAZÃO DE AR EXTERNO: 1904 M³/H. PERDA DE CARGA DISPONÍVEL 20 MMCA. MÓDULOS: VENTILADOR DO TIPO CENTRÍFUGO SIROCCO, TROCADOR DE CALOR COM SERPENTINA FRIA, CAIXA DE MISTURA COM DAMPERS COM FILTRO G4 + M5 COM  QUADRO ELÉTRICO DE FORÇA, COMANDO DE AUTOMAÇÃO. MODULAÇÃO: VERTICAL EM ''L''. </t>
  </si>
  <si>
    <t>28.1.18</t>
  </si>
  <si>
    <t>MERCADO 18</t>
  </si>
  <si>
    <t>FANCOIL TIPO 02 - FANCOIL TIPO MODULAR PARA EXPANSÃO INDIRETA. CAPACIDADE EFETIVA: 30 TR. VAZÃO DE INSUFLAMENTO 21000 M³/H. VAZÃO DE RETORNO: 18144 M³/H. VAZÃO DE AR EXTERNO: 2856 M³/H. PERDA DE CARGA DISPONÍVEL 35 MMCA. MÓDULOS: VENTILADOR DO TIPO CENTRÍFUGO SIROCCO, TROCADOR DE CALOR COM SERPENTINA FRIA, CAIXA DE MISTURA COM DAMPERS COM FILTRO G4 + M5 COM  QUADRO ELÉTRICO DE FORÇA, COMANDO DE AUTOMAÇÃO. MODULAÇÃO: VERTICAL EM ''L''.</t>
  </si>
  <si>
    <t>28.1.19</t>
  </si>
  <si>
    <t>MERCADO 19</t>
  </si>
  <si>
    <t>FANCOIL TIPO 03, TIPO MODULAR PARA EXPANSÃO INDIRETA. CAPACIDADE EFETIVA: 15 TR. VAZÃO DE INSUFLAMENTO 10500 M³/H. VAZÃO DE RETORNO: 8495 M³/H. VAZÃO DE AR EXTERNO: 2005 M³/H. PERDA DE CARGA DISPONÍVEL 20 MMCA. MÓDULOS: VENTILADOR DO TIPO CENTRÍFUGO SIROCCO, TROCADOR DE CALOR COM SERPENTINA FRIA, CAIXA DE MISTURA COM DAMPERS COM FILTRO G4 + M5 COM QUADRO ELÉTRICO DE FORÇA, COMANDO DE AUTOMAÇÃO. MODULAÇÃO: VERTICAL EM ''L''.</t>
  </si>
  <si>
    <t>28.1.20</t>
  </si>
  <si>
    <t>MERCADO 20</t>
  </si>
  <si>
    <t>BUILTIN - TIPO 01 - FANCOLETE HOSPITALAR DO TIPO BUILT IN PARA EXPANSÃO INDIRETA. CAPACIDADE EFETIVA: 2 TR. VAZÃO DE INSUFLAMENTO 1360 M³/H. VAZÃO DE RETORNO: 1225 M³/H. VAZÃO DE AR EXTERNO: 135 M³/H. PERDA DE CARGA DISPONÍVEL 3 MMCA. VENTILADOR DO TIPO PLENO FAN COM MOTOR DO TIPO EC - COMUTAÇÃO ELETRÔNICA, TROCADOR DE CALOR COM SERPENTINA FRIA, CAIXA DE MISTURA, FILTRO G4 + FILTRO F8 COM QUADRO ELÉTRICO DE FORÇA, COMANDO DE AUTOMAÇÃO.</t>
  </si>
  <si>
    <t>28.1.21</t>
  </si>
  <si>
    <t>MERCADO 21</t>
  </si>
  <si>
    <t>BUILTIN - TIPO 02 - FANCOLETE HOSPITALAR DO TIPO BUILT IN PARA EXPANSÃO INDIRETA PARA 100% AR EXTERNO. CAPACIDADE EFETIVA: 2 TR. VAZÃO DE INSUFLAMENTO 1360 M³/H. VAZÃO DE RETORNO: 0 M³/H. VAZÃO DE AR EXTERNO: 1360 M³/H. PERDA DE CARGA DISPONÍVEL 3 MMCA. VENTILADOR DO TIPO PLENO FAN COM MOTOR DO TIPO EC - COMUTAÇÃO ELETRÔNICA, TROCADOR DE CALOR COM SERPENTINA FRIA, FILTRO ABSOLUTO ISO 35H COM QUADRO ELÉTRICO DE FORÇA, COMANDO DE AUTOMAÇÃO.</t>
  </si>
  <si>
    <t>28.1.22</t>
  </si>
  <si>
    <t>COMPOSICAO_PROPRIA</t>
  </si>
  <si>
    <t>TJRS.CLI-638</t>
  </si>
  <si>
    <t>INSTALAÇÃO DE AHUS, FANCOIS E BUILT-INS</t>
  </si>
  <si>
    <t>28.1.23</t>
  </si>
  <si>
    <t>MERCADO 22</t>
  </si>
  <si>
    <t>FANCOLETE HIDRÔNICO TIPO CASSETE 4 VIAS - CAPACIDADE 0,8TR</t>
  </si>
  <si>
    <t>28.1.24</t>
  </si>
  <si>
    <t>MERCADO 23</t>
  </si>
  <si>
    <t>FANCOLETE HIDRÔNICO TIPO CASSETE 4 VIAS - CAPACIDADE 1,0TR</t>
  </si>
  <si>
    <t>28.1.25</t>
  </si>
  <si>
    <t>MERCADO 24</t>
  </si>
  <si>
    <t>FANCOLETE HIDRÔNICO TIPO CASSETE 4 VIAS - CAPACIDADE 1,3TR</t>
  </si>
  <si>
    <t>28.1.26</t>
  </si>
  <si>
    <t>MERCADO 25</t>
  </si>
  <si>
    <t>FANCOLETE HIDRÔNICO TIPO CASSETE 4 VIAS - CAPACIDADE 1,7TR</t>
  </si>
  <si>
    <t>28.1.27</t>
  </si>
  <si>
    <t>MERCADO 26</t>
  </si>
  <si>
    <t>FANCOLETE HIDRÔNICO TIPO CASSETE 4 VIAS - CAPACIDADE 2,1TR</t>
  </si>
  <si>
    <t>28.1.28</t>
  </si>
  <si>
    <t>MERCADO 27</t>
  </si>
  <si>
    <t>FANCOLETE HIDRÔNICO TIPO HI WALL - CAPACIDADE 1,0TR</t>
  </si>
  <si>
    <t>28.1.29</t>
  </si>
  <si>
    <t>MERCADO 28</t>
  </si>
  <si>
    <t>RESFRIADOR DE LÍQUIDO DO TIPO CHILLER CONDENSAÇÃO A AR COM COMPRESSOR PARAFUSO INVERTER - CAPACIDADE 300TR</t>
  </si>
  <si>
    <t>28.1.30</t>
  </si>
  <si>
    <t>TJRS.CLI-459</t>
  </si>
  <si>
    <t>TANQUE DE EXPANSÃO PRESSURIZADO EM AÇO CARBONO COM MÓDULO COM COMPRESSOR - 500L</t>
  </si>
  <si>
    <t>28.1.31</t>
  </si>
  <si>
    <t>CAIXA D´ÁGUA EM POLIÉSTER REFORÇADO COM FIBRA DE VIDRO, 5000 LITROS - FORNECIMENTO E INSTALAÇÃO. AF_06/2021</t>
  </si>
  <si>
    <t>28.1.32</t>
  </si>
  <si>
    <t>MERCADO 29</t>
  </si>
  <si>
    <t>BOMBA CENTRÍFUGA DE ÁGUA GELADA PRIMÁRIA DO TIPO MONOBLOCO/BACK PULL OUT. VAZÃO: 165 M³/H. PRESSÃO: 10MCA. POTÊNCIA: 7,5CV</t>
  </si>
  <si>
    <t>28.1.33</t>
  </si>
  <si>
    <t>MERCADO 30</t>
  </si>
  <si>
    <t>BOMBA CENTRÍFUGA DE ÁGUA GELADA SECUNDÁRIA DO TIPO MONOBLOCO/BACK PULL OUT. VAZÃO: 132 M³/H. PRESSÃO: 25MCA. POTÊNCIA: 25CV</t>
  </si>
  <si>
    <t>28.1.34</t>
  </si>
  <si>
    <t>MERCADO 31</t>
  </si>
  <si>
    <t>BOMBA CENTRÍFUGA DE ÁGUA GELADA SECUNDÁRIA DO TIPO MONOBLOCO/BACK PULL OUT. VAZÃO: 248 M³/H. PRESSÃO: 30MCA. POTÊNCIA: 30CV</t>
  </si>
  <si>
    <t>28.1.35</t>
  </si>
  <si>
    <t>MERCADO 32</t>
  </si>
  <si>
    <t>BOMBA CENTRÍFUGA DE ÁGUA GELADA SECUNDÁRIA DO TIPO MONOBLOCO/BACK PULL OUT. VAZÃO: 155 M³/H. PRESSÃO: 45MCA. POTÊNCIA: 45CV</t>
  </si>
  <si>
    <t>28.1.36</t>
  </si>
  <si>
    <t>MERCADO 33</t>
  </si>
  <si>
    <t>BOMBA CENTRÍFUGA DE ÁGUA GELADA SECUNDÁRIA DO TIPO MONOBLOCO/BACK PULL OUT. VAZÃO:  161 M³/H. PRESSÃO: 50MCA. POTÊNCIA: 50CV</t>
  </si>
  <si>
    <t>28.1.37</t>
  </si>
  <si>
    <t>MERCADO 34</t>
  </si>
  <si>
    <t>BOMBA CENTRÍFUGA DE ÁGUA GELADA SECUNDÁRIA DO TIPO MONOBLOCO/BACK PULL OUT. VAZÃO: 250 M³/H. PRESSÃO: 60MCA. POTÊNCIA: 75CV</t>
  </si>
  <si>
    <t>28.1.38</t>
  </si>
  <si>
    <t>MERCADO 35</t>
  </si>
  <si>
    <t>CONTROLADOR TIPO TERMOSTATO E UMIDOSTATO COM COMANDO E SENSOR DE TEMPERATURA E UMIDADE INTEGRADO E VISOR EM CRISTAL LÍQUIDO</t>
  </si>
  <si>
    <t>28.1.39</t>
  </si>
  <si>
    <t>MERCADO 36</t>
  </si>
  <si>
    <t>CONTROLADOR TIPO TERMOSTATO COM COMANDO PARA SENSOR DE TEMPERATURA REMOTO E VISOR EM CRISTAL LÍQUIDO</t>
  </si>
  <si>
    <t>28.1.40</t>
  </si>
  <si>
    <t>MERCADO 37</t>
  </si>
  <si>
    <t>CONTROLADOR TIPO TERMOSTATO COM COMANDO E SENSOR DE TEMPERATURA  INTEGRADO E VISOR EM CRISTAL LÍQUIDO</t>
  </si>
  <si>
    <t>28.1.41</t>
  </si>
  <si>
    <t>MERCADO 38</t>
  </si>
  <si>
    <t>TRANSDUTOR DE PRESSÃO AMBIENTE</t>
  </si>
  <si>
    <t>28.1.42</t>
  </si>
  <si>
    <t>TJRS.CLI-461</t>
  </si>
  <si>
    <t>SENSOR DE TEMPERATURA PARA ÁGUA GELADA</t>
  </si>
  <si>
    <t>28.1.43</t>
  </si>
  <si>
    <t>TJRS.CLI-462</t>
  </si>
  <si>
    <t>SENSOR DE PRESSÃO PARA ÁGUA GELADA</t>
  </si>
  <si>
    <t>28.1.44</t>
  </si>
  <si>
    <t>TJRS.CLI-463</t>
  </si>
  <si>
    <t>COIFA TIPO LAVADORA TIPO ILHA EM AÇO INOX COM BOMBA DE RECIRCULAÇÃO, COM RESERVATÓRIO DE DETERGENTE, COM CHICANAS ILUMINAÇÃO INTERNA. DIMENSÕES: 3500MM X 1800MM. VAZÃO: 9500 m³/h</t>
  </si>
  <si>
    <t>28.1.45</t>
  </si>
  <si>
    <t>TJRS.CLI-464</t>
  </si>
  <si>
    <t>COIFA TIPO LAVADORA TIPO ILHA EM AÇO INOX COM BOMBA DE RECIRCULAÇÃO, COM RESERVATÓRIO DE DETERGENTE, COM CHICANAS ILUMINAÇÃO INTERNA. DIMENSÕES: 3300MM X 1100MM. VAZÃO: 5000 m³/h</t>
  </si>
  <si>
    <t>28.1.46</t>
  </si>
  <si>
    <t>TJRS.CLI-465</t>
  </si>
  <si>
    <t>COIFA TIPO LAVADORA TIPO ILHA EM AÇO INOX COM BOMBA DE RECIRCULAÇÃO, COM RESERVATÓRIO DE DETERGENTE, COM CHICANAS ILUMINAÇÃO INTERNA. DIMENSÕES: 1200MM X 1200MM. VAZÃO: 2000 m³/h</t>
  </si>
  <si>
    <t>28.1.47</t>
  </si>
  <si>
    <t>TJRS.CLI-466</t>
  </si>
  <si>
    <t>COIFA TIPO LAVADORA TIPO ILHA EM AÇO INOX COM BOMBA DE RECIRCULAÇÃO, COM RESERVATÓRIO DE DETERGENTE, COM CHICANAS ILUMINAÇÃO INTERNA. DIMENSÕES: 1700MM X 1700MM. VAZÃO: 6300 m³/h</t>
  </si>
  <si>
    <t>28.1.48</t>
  </si>
  <si>
    <t>TJRS.CLI-467</t>
  </si>
  <si>
    <t>COIFA TIPO LAVADORA TIPO ILHA EM AÇO INOX COM BOMBA DE RECIRCULAÇÃO, COM RESERVATÓRIO DE DETERGENTE, COM CHICANAS ILUMINAÇÃO INTERNA. DIMENSÕES: 2600MM X 1500MM. VAZÃO: 5500 m³/h</t>
  </si>
  <si>
    <t>28.1.49</t>
  </si>
  <si>
    <t>SISTEMA SPLIT INVERTER CICLO SÓ FRIO COM EVAPORADORA DO TIPO HIGHWALL - CAPACIDADE: 9.000 BTU/h</t>
  </si>
  <si>
    <t>28.1.50</t>
  </si>
  <si>
    <t>SISTEMA SPLIT INVERTER CICLO SÓ FRIO COM EVAPORADORA DO TIPO CASSETE 4 VIAS - CAPACIDADE: 24.000 BTU/h</t>
  </si>
  <si>
    <t>28.2</t>
  </si>
  <si>
    <t xml:space="preserve">EQUIPAMENTOS DE VENTILAÇÃO </t>
  </si>
  <si>
    <t>28.2.1</t>
  </si>
  <si>
    <t>MERCADO 039</t>
  </si>
  <si>
    <t>GABINETE DE VENTILAÇÃO PARA AR EXTERNO COM VENTILADOR CENTRIFUGO TIPO "SIROCCO", DUPLA ASPIRAÇÃO, PROVIDO DE FILTRO TIPO GAVETA COM PORTA MANTA G4+M5. VAZÃO: 3836m³/h</t>
  </si>
  <si>
    <t>28.2.2</t>
  </si>
  <si>
    <t>MERCADO 040</t>
  </si>
  <si>
    <t>GABINETE DE VENTILAÇÃO PARA AR EXTERNO COM VENTILADOR CENTRIFUGO TIPO "SIROCCO", DUPLA ASPIRAÇÃO, PROVIDO DE FILTRO TIPO GAVETA COM PORTA MANTA G4+M5. VAZÃO: 4813m³/h</t>
  </si>
  <si>
    <t>28.2.3</t>
  </si>
  <si>
    <t>MERCADO 041</t>
  </si>
  <si>
    <t>GABINETE DE VENTILAÇÃO PARA AR EXTERNO COM VENTILADOR CENTRIFUGO TIPO "SIROCCO", DUPLA ASPIRAÇÃO, PROVIDO DE FILTRO TIPO GAVETA COM PORTA MANTA G4+M5. VAZÃO: 6466m³/h</t>
  </si>
  <si>
    <t>28.2.4</t>
  </si>
  <si>
    <t>MERCADO 042</t>
  </si>
  <si>
    <t>GABINETE DE VENTILAÇÃO PARA AR EXTERNO COM VENTILADOR CENTRIFUGO TIPO "SIROCCO", DUPLA ASPIRAÇÃO, PROVIDO DE FILTRO TIPO GAVETA COM PORTA MANTA G4+M5. VAZÃO: 6900m³/h</t>
  </si>
  <si>
    <t>28.2.5</t>
  </si>
  <si>
    <t>MERCADO 043</t>
  </si>
  <si>
    <t>GABINETE DE VENTILAÇÃO PARA AR EXTERNO COM VENTILADOR CENTRIFUGO TIPO "SIROCCO", DUPLA ASPIRAÇÃO, PROVIDO DE FILTRO TIPO GAVETA COM PORTA MANTA G4+M5. VAZÃO: 9369m³/h</t>
  </si>
  <si>
    <t>28.2.6</t>
  </si>
  <si>
    <t>MERCADO 044</t>
  </si>
  <si>
    <t>GABINETE DE VENTILAÇÃO PARA AR EXTERNO COM VENTILADOR CENTRIFUGO TIPO "SIROCCO", DUPLA ASPIRAÇÃO, PROVIDO DE FILTRO TIPO GAVETA COM PORTA MANTA G4+M5. VAZÃO: 10921m³/h</t>
  </si>
  <si>
    <t>28.2.7</t>
  </si>
  <si>
    <t>MERCADO 045</t>
  </si>
  <si>
    <t>GABINETE DE VENTILAÇÃO PARA AR EXTERNO COM VENTILADOR CENTRIFUGO TIPO "SIROCCO", DUPLA ASPIRAÇÃO, PROVIDO DE FILTRO TIPO GAVETA COM PORTA MANTA G4+M5. VAZÃO: 10052m³/h</t>
  </si>
  <si>
    <t>28.2.8</t>
  </si>
  <si>
    <t>MERCADO 046</t>
  </si>
  <si>
    <t>GABINETE DE VENTILAÇÃO PARA AR EXTERNO COM VENTILADOR CENTRIFUGO TIPO "SIROCCO", DUPLA ASPIRAÇÃO, PROVIDO DE FILTRO TIPO GAVETA COM PORTA MANTA G4+M5. VAZÃO: 10766m³/h</t>
  </si>
  <si>
    <t>28.2.9</t>
  </si>
  <si>
    <t>MERCADO 047</t>
  </si>
  <si>
    <t>GABINETE DE VENTILAÇÃO PARA AR EXTERNO COM VENTILADOR CENTRIFUGO TIPO "SIROCCO", DUPLA ASPIRAÇÃO, PROVIDO DE FILTRO TIPO GAVETA COM PORTA MANTA G4+M5. VAZÃO: 11755m³/h</t>
  </si>
  <si>
    <t>28.2.10</t>
  </si>
  <si>
    <t>MERCADO 048</t>
  </si>
  <si>
    <t>GABINETE DE VENTILAÇÃO PARA AR EXTERNO COM VENTILADOR CENTRIFUGO TIPO "SIROCCO", DUPLA ASPIRAÇÃO, PROVIDO DE FILTRO TIPO GAVETA COM PORTA MANTA G4+M5. VAZÃO: 12968m³/h</t>
  </si>
  <si>
    <t>28.2.11</t>
  </si>
  <si>
    <t>MERCADO 049</t>
  </si>
  <si>
    <t>GABINETE DE VENTILAÇÃO PARA AR DE COMPENSAÇÃO COIFAS COM VENTILADOR CENTRIFUGO TIPO "SIROCCO", DUPLA ASPIRAÇÃO, PROVIDO DE FILTRO TIPO GAVETA COM PORTA MANTA G4+M5. VAZÃO: 12600m³/h</t>
  </si>
  <si>
    <t>28.2.12</t>
  </si>
  <si>
    <t>GABINETE DE VENTILAÇÃO PARA AR DE COMPENSAÇÃO COIFAS COM VENTILADOR CENTRIFUGO TIPO "SIROCCO", DUPLA ASPIRAÇÃO, PROVIDO DE FILTRO TIPO GAVETA COM PORTA MANTA G4+M5. VAZÃO: 11600m³/h</t>
  </si>
  <si>
    <t>28.2.13</t>
  </si>
  <si>
    <t>MERCADO 050</t>
  </si>
  <si>
    <t>GABINETE DE VENTILAÇÃO PARA EXAUSTÃO COM VENTILADOR CENTRIFUGO TIPO "SIROCCO", DUPLA ASPIRAÇÃO. VAZÃO: 1015m³/h</t>
  </si>
  <si>
    <t>28.2.14</t>
  </si>
  <si>
    <t>MERCADO 051</t>
  </si>
  <si>
    <t>GABINETE DE VENTILAÇÃO PARA EXAUSTÃO COM VENTILADOR CENTRIFUGO TIPO "SIROCCO", DUPLA ASPIRAÇÃO. VAZÃO: 1030m³/h</t>
  </si>
  <si>
    <t>28.2.15</t>
  </si>
  <si>
    <t>MERCADO 052</t>
  </si>
  <si>
    <t>GABINETE DE VENTILAÇÃO PARA EXAUSTÃO COM VENTILADOR CENTRIFUGO TIPO "LIMIT LOAD", DUPLA ASPIRAÇÃO. VAZÃO: 1330m³/h PROVIDO DE FILTRAGEM ABSOLUTA ISO 35H</t>
  </si>
  <si>
    <t>28.2.16</t>
  </si>
  <si>
    <t>MERCADO 054</t>
  </si>
  <si>
    <t>GABINETE DE VENTILAÇÃO PARA EXAUSTÃO COM VENTILADOR CENTRIFUGO TIPO "SIROCCO", DUPLA ASPIRAÇÃO. VAZÃO: 1600m³/h</t>
  </si>
  <si>
    <t>28.2.17</t>
  </si>
  <si>
    <t>MERCADO 055</t>
  </si>
  <si>
    <t>GABINETE DE VENTILAÇÃO PARA EXAUSTÃO COM VENTILADOR CENTRIFUGO TIPO "SIROCCO", DUPLA ASPIRAÇÃO. VAZÃO: 1650m³/h</t>
  </si>
  <si>
    <t>28.2.18</t>
  </si>
  <si>
    <t>MERCADO 056</t>
  </si>
  <si>
    <t>GABINETE DE VENTILAÇÃO PARA EXAUSTÃO COM VENTILADOR CENTRIFUGO TIPO "SIROCCO", DUPLA ASPIRAÇÃO. VAZÃO: 1940m³/h</t>
  </si>
  <si>
    <t>28.2.19</t>
  </si>
  <si>
    <t>MERCADO 057</t>
  </si>
  <si>
    <t>GABINETE DE VENTILAÇÃO PARA EXAUSTÃO COM VENTILADOR CENTRIFUGO TIPO "SIROCCO", DUPLA ASPIRAÇÃO. VAZÃO: 2400m³/h</t>
  </si>
  <si>
    <t>28.2.20</t>
  </si>
  <si>
    <t>MERCADO 059</t>
  </si>
  <si>
    <t>GABINETE DE VENTILAÇÃO PARA EXAUSTÃO COM VENTILADOR CENTRIFUGO TIPO "SIROCCO", DUPLA ASPIRAÇÃO. VAZÃO: 2490m³/h</t>
  </si>
  <si>
    <t>28.2.21</t>
  </si>
  <si>
    <t>MERCADO 060</t>
  </si>
  <si>
    <t>GABINETE DE VENTILAÇÃO PARA EXAUSTÃO COM VENTILADOR CENTRIFUGO TIPO "SIROCCO", DUPLA ASPIRAÇÃO. VAZÃO: 3120m³/h</t>
  </si>
  <si>
    <t>28.2.22</t>
  </si>
  <si>
    <t>MERCADO 061</t>
  </si>
  <si>
    <t>GABINETE DE VENTILAÇÃO PARA EXAUSTÃO COM VENTILADOR CENTRIFUGO TIPO "SIROCCO", DUPLA ASPIRAÇÃO. VAZÃO: 3180m³/h</t>
  </si>
  <si>
    <t>28.2.23</t>
  </si>
  <si>
    <t>MERCADO 063</t>
  </si>
  <si>
    <t>GABINETE DE VENTILAÇÃO PARA EXAUSTÃO COM VENTILADOR CENTRIFUGO TIPO "SIROCCO", DUPLA ASPIRAÇÃO. VAZÃO: 4360m³/h</t>
  </si>
  <si>
    <t>28.2.24</t>
  </si>
  <si>
    <t>MERCADO 064</t>
  </si>
  <si>
    <t>GABINETE DE VENTILAÇÃO PARA EXAUSTÃO COM VENTILADOR CENTRIFUGO TIPO "LIMIT LOAD", DUPLA ASPIRAÇÃO. VAZÃO: 5320m³/h PROVIDO DE FILTRAGEM ABSOLUTA ISO 35H</t>
  </si>
  <si>
    <t>28.2.25</t>
  </si>
  <si>
    <t>MERCADO 065</t>
  </si>
  <si>
    <t>GABINETE DE VENTILAÇÃO PARA EXAUSTÃO COM VENTILADOR CENTRIFUGO TIPO "SIROCCO", DUPLA ASPIRAÇÃO. VAZÃO: 7285m³/h</t>
  </si>
  <si>
    <t>28.2.26</t>
  </si>
  <si>
    <t>GABINETE DE VENTILAÇÃO PARA EXAUSTÃO COM VENTILADOR CENTRIFUGO TIPO "SIROCCO", DUPLA ASPIRAÇÃO. VAZÃO: 10764m³/h</t>
  </si>
  <si>
    <t>28.2.27</t>
  </si>
  <si>
    <t>MERCADO 066</t>
  </si>
  <si>
    <t>GABINETE DE VENTILAÇÃO PARA EXAUSTÃO DE COIFAS COM VENTILADOR CENTRIFUGO TIPO "SIROCCO", DUPLA ASPIRAÇÃO. VAZÃO: 16500m³/h</t>
  </si>
  <si>
    <t>28.2.28</t>
  </si>
  <si>
    <t>MERCADO 069</t>
  </si>
  <si>
    <t>GABINETE DE VENTILAÇÃO PARA EXAUSTÃO DE COIFAS COM VENTILADOR CENTRIFUGO TIPO "SIROCCO", DUPLA ASPIRAÇÃO. VAZÃO: 13800m³/h</t>
  </si>
  <si>
    <t>28.2.29</t>
  </si>
  <si>
    <t>MERCADO 067</t>
  </si>
  <si>
    <t xml:space="preserve">FORNECIMENTO DE EXAUSTOR HELICOCENTRÍFUGO EM LINHA, ADAPTÁVEL A TUBOS DE Ø=100 MM. VAZÃO: 130m³/h. </t>
  </si>
  <si>
    <t>28.2.30</t>
  </si>
  <si>
    <t>MERCADO 068</t>
  </si>
  <si>
    <t xml:space="preserve">FORNECIMENTO DE EXAUSTOR HELICOCENTRÍFUGO EM LINHA, ADAPTÁVEL A TUBOS DE Ø=150 MM. VAZÃO: 360m³/h. </t>
  </si>
  <si>
    <t>28.3</t>
  </si>
  <si>
    <t>ACESSÓRIOS DE INSTALAÇÕES</t>
  </si>
  <si>
    <t>28.3.1</t>
  </si>
  <si>
    <t>TJRS.CLI-140</t>
  </si>
  <si>
    <t>SUPORTE PARA FIXAÇÃO DAS LINHAS ÁGUA GELADA</t>
  </si>
  <si>
    <t>28.3.2</t>
  </si>
  <si>
    <t>TJRS.CLI-452</t>
  </si>
  <si>
    <t>SUPORTE PARA FIXAÇÃO DOS DUTOS</t>
  </si>
  <si>
    <t>28.3.3</t>
  </si>
  <si>
    <t>TJRS.CLI-232</t>
  </si>
  <si>
    <t>KIT SUPORTAÇÃO PARA FANCOLETE TIPO CASSETE 4 VIAS, COM ACESSORIOS</t>
  </si>
  <si>
    <t>28.3.4</t>
  </si>
  <si>
    <t>TJRS.CLI-231</t>
  </si>
  <si>
    <t>KIT SUPORTAÇÃO PARA FANCOLETE TIPO HIWALL, COM ACESSORIOS</t>
  </si>
  <si>
    <t>28.3.5</t>
  </si>
  <si>
    <t>TJRS.ELE-234</t>
  </si>
  <si>
    <t>KIT SUPORTE PARA GABINETES DE VENTILAÇÃO E EXAUSTÃO, COM ACESSORIOS</t>
  </si>
  <si>
    <t>28.3.6</t>
  </si>
  <si>
    <t>TJRS.ELE-235</t>
  </si>
  <si>
    <t>KIT SUPORTE PARA UNIDADES EXAUSTORAS AXIAL IN LINE, COM ACESSORIOS</t>
  </si>
  <si>
    <t>28.4</t>
  </si>
  <si>
    <t>REDE DE ÁGUA GELADA E ACESSÓRIOS</t>
  </si>
  <si>
    <t>28.4.1</t>
  </si>
  <si>
    <t>TUBO DE AÇO CARBONO PRETO SEM COSTURA SCHEDULE 40, DN= 3/4´ - INCLUSIVE CONEXÕES</t>
  </si>
  <si>
    <t>28.4.2</t>
  </si>
  <si>
    <t>CPOS/CDHU</t>
  </si>
  <si>
    <t xml:space="preserve"> 46.21.012 </t>
  </si>
  <si>
    <t>28.4.3</t>
  </si>
  <si>
    <t xml:space="preserve"> 46.21.036 </t>
  </si>
  <si>
    <t>28.4.4</t>
  </si>
  <si>
    <t xml:space="preserve"> 46.21.040 </t>
  </si>
  <si>
    <t>TUBO DE AÇO CARBONO PRETO SEM COSTURA SCHEDULE 40, DN= 1 1/2´ - INCLUSIVE CONEXÕES</t>
  </si>
  <si>
    <t>28.4.5</t>
  </si>
  <si>
    <t xml:space="preserve"> 46.21.046 </t>
  </si>
  <si>
    <t>TUBO DE AÇO CARBONO PRETO SEM COSTURA SCHEDULE 40, DN= 2´ - INCLUSIVE CONEXÕES</t>
  </si>
  <si>
    <t>28.4.6</t>
  </si>
  <si>
    <t xml:space="preserve"> 46.21.056 </t>
  </si>
  <si>
    <t>TUBO DE AÇO CARBONO PRETO SEM COSTURA SCHEDULE 40, DN= 2 1/2´ - INCLUSIVE CONEXÕES</t>
  </si>
  <si>
    <t>28.4.7</t>
  </si>
  <si>
    <t xml:space="preserve"> 46.21.060 </t>
  </si>
  <si>
    <t>TUBO DE AÇO CARBONO PRETO SEM COSTURA SCHEDULE 40, DN= 3´ - INCLUSIVE CONEXÕES</t>
  </si>
  <si>
    <t>28.4.8</t>
  </si>
  <si>
    <t xml:space="preserve"> 46.21.080 </t>
  </si>
  <si>
    <t>TUBO DE AÇO CARBONO PRETO SEM COSTURA SCHEDULE 40, DN= 4´ - INCLUSIVE CONEXÕES</t>
  </si>
  <si>
    <t>28.4.9</t>
  </si>
  <si>
    <t xml:space="preserve"> 46.21.090 </t>
  </si>
  <si>
    <t>TUBO DE AÇO CARBONO PRETO SEM COSTURA SCHEDULE 40, DN= 5´ - INCLUSIVE CONEXÕES</t>
  </si>
  <si>
    <t>28.4.10</t>
  </si>
  <si>
    <t xml:space="preserve"> 46.21.100 </t>
  </si>
  <si>
    <t>TUBO DE AÇO CARBONO PRETO SEM COSTURA SCHEDULE 40, DN= 6´ - INCLUSIVE CONEXÕES</t>
  </si>
  <si>
    <t>28.4.11</t>
  </si>
  <si>
    <t xml:space="preserve"> 46.21.110 </t>
  </si>
  <si>
    <t>TUBO DE AÇO CARBONO PRETO SEM COSTURA SCHEDULE 40, DN= 8´ - INCLUSIVE CONEXÕES</t>
  </si>
  <si>
    <t>28.4.12</t>
  </si>
  <si>
    <t xml:space="preserve"> 46.21.150 </t>
  </si>
  <si>
    <t>TUBO DE AÇO CARBONO PRETO COM COSTURA SCHEDULE 40, DN= 12´ - INCLUSIVE CONEXÕES</t>
  </si>
  <si>
    <t>28.4.13</t>
  </si>
  <si>
    <t>TJRS.CLI-469</t>
  </si>
  <si>
    <t>TUBO DE AÇO CARBONO PRETO SEM COSTURA, ASTM-A106, GRAU B, SCHEDULE 40, Ø16''</t>
  </si>
  <si>
    <t>28.4.14</t>
  </si>
  <si>
    <t>ISOLAMENTO ELASTOMÉRICO PARA TUBO DE AÇO CARBONO PRETO SEM COSTURA, ASTM-A106, GRAU B, SCHEDULE 40, Ø3/4''</t>
  </si>
  <si>
    <t>28.4.15</t>
  </si>
  <si>
    <t>ISOLAMENTO ELASTOMÉRICO PARA TUBO DE AÇO CARBONO PRETO SEM COSTURA, ASTM-A106, GRAU B, SCHEDULE 40, Ø1''</t>
  </si>
  <si>
    <t>28.4.16</t>
  </si>
  <si>
    <t>ISOLAMENTO ELASTOMÉRICO PARA TUBO DE AÇO CARBONO PRETO SEM COSTURA, ASTM-A106, GRAU B, SCHEDULE 40, Ø1 1/4''</t>
  </si>
  <si>
    <t>28.4.17</t>
  </si>
  <si>
    <t>ISOLAMENTO ELASTOMÉRICO PARA TUBO DE AÇO CARBONO PRETO SEM COSTURA, ASTM-A106, GRAU B, SCHEDULE 40, Ø1 1/2''</t>
  </si>
  <si>
    <t>28.4.18</t>
  </si>
  <si>
    <t>ISOLAMENTO ELASTOMÉRICO PARA TUBO DE AÇO CARBONO PRETO SEM COSTURA, ASTM-A106, GRAU B, SCHEDULE 40, Ø2''</t>
  </si>
  <si>
    <t>28.4.19</t>
  </si>
  <si>
    <t>ISOLAMENTO ELASTOMÉRICO PARA TUBO DE AÇO CARBONO PRETO SEM COSTURA, ASTM-A106, GRAU B, SCHEDULE 40, Ø2 1/2''</t>
  </si>
  <si>
    <t>28.4.20</t>
  </si>
  <si>
    <t>MERCADO 01003</t>
  </si>
  <si>
    <t>ISOLAMENTO ELASTOMÉRICO PARA TUBO DE AÇO CARBONO PRETO SEM COSTURA, ASTM-A106, GRAU B, SCHEDULE 40, Ø3''</t>
  </si>
  <si>
    <t>28.4.21</t>
  </si>
  <si>
    <t>ISOLAMENTO ELASTOMÉRICO PARA TUBO DE AÇO CARBONO PRETO SEM COSTURA, ASTM-A106, GRAU B, SCHEDULE 40, Ø4''</t>
  </si>
  <si>
    <t>28.4.22</t>
  </si>
  <si>
    <t>ISOLAMENTO ELASTOMÉRICO PARA TUBO DE AÇO CARBONO PRETO SEM COSTURA, ASTM-A106, GRAU B, SCHEDULE 40, Ø5''</t>
  </si>
  <si>
    <t>28.4.23</t>
  </si>
  <si>
    <t>ISOLAMENTO ELASTOMÉRICO PARA TUBO DE AÇO CARBONO PRETO SEM COSTURA, ASTM-A106, GRAU B, SCHEDULE 40, Ø6''</t>
  </si>
  <si>
    <t>28.4.24</t>
  </si>
  <si>
    <t>ISOLAMENTO ELASTOMÉRICO PARA TUBO DE AÇO CARBONO PRETO SEM COSTURA, ASTM-A106, GRAU B, SCHEDULE 40, Ø8''</t>
  </si>
  <si>
    <t>28.4.25</t>
  </si>
  <si>
    <t>ISOLAMENTO ELASTOMÉRICO PARA TUBO DE AÇO CARBONO PRETO SEM COSTURA, ASTM-A106, GRAU B, SCHEDULE 40, Ø12''</t>
  </si>
  <si>
    <t>28.4.26</t>
  </si>
  <si>
    <t>ISOLAMENTO ELASTOMÉRICO PARA TUBO DE AÇO CARBONO PRETO SEM COSTURA, ASTM-A106, GRAU B, SCHEDULE 40, Ø14''</t>
  </si>
  <si>
    <t>28.4.27</t>
  </si>
  <si>
    <t>ISOLAMENTO ELASTOMÉRICO PARA TUBO DE AÇO CARBONO PRETO SEM COSTURA, ASTM-A106, GRAU B, SCHEDULE 40, Ø16''</t>
  </si>
  <si>
    <t>28.4.28</t>
  </si>
  <si>
    <t>MERCADO 01004</t>
  </si>
  <si>
    <t>VÁLVULA DE BALANCEAMENTO PARA RAMAIS Ø2''</t>
  </si>
  <si>
    <t>28.4.29</t>
  </si>
  <si>
    <t>MERCADO 01005</t>
  </si>
  <si>
    <t>VÁLVULA DE BALANCEAMENTO PARA RAMAIS Ø2 1/2''</t>
  </si>
  <si>
    <t>28.4.30</t>
  </si>
  <si>
    <t>MERCADO 01006</t>
  </si>
  <si>
    <t>VÁLVULA DE BALANCEAMENTO PARA RAMAIS Ø3''</t>
  </si>
  <si>
    <t>28.4.31</t>
  </si>
  <si>
    <t>MERCADO 01007</t>
  </si>
  <si>
    <t>VÁLVULA DE BALANCEAMENTO PARA RAMAIS Ø4''</t>
  </si>
  <si>
    <t>28.4.32</t>
  </si>
  <si>
    <t>MERCADO 01008</t>
  </si>
  <si>
    <t>VÁLVULA DE BALANCEAMENTO PARA RAMAIS Ø6''</t>
  </si>
  <si>
    <t>28.4.33</t>
  </si>
  <si>
    <t>MERCADO 01009</t>
  </si>
  <si>
    <t>VÁLVULA DE BALANCEAMENTO PARA RAMAIS Ø8''</t>
  </si>
  <si>
    <t>28.4.34</t>
  </si>
  <si>
    <t>MERCADO 01010</t>
  </si>
  <si>
    <t>VÁLVULA BORBOLETA TIPO WAFFER Ø2 1/2''</t>
  </si>
  <si>
    <t>28.4.35</t>
  </si>
  <si>
    <t>MERCADO 01011</t>
  </si>
  <si>
    <t>VÁLVULA BORBOLETA TIPO WAFFER Ø2''</t>
  </si>
  <si>
    <t>28.4.36</t>
  </si>
  <si>
    <t>MERCADO 01012</t>
  </si>
  <si>
    <t>VÁLVULA BORBOLETA TIPO WAFFER Ø3''</t>
  </si>
  <si>
    <t>28.4.37</t>
  </si>
  <si>
    <t>MERCADO 01013</t>
  </si>
  <si>
    <t>VÁLVULA BORBOLETA TIPO WAFFER Ø4''</t>
  </si>
  <si>
    <t>28.4.38</t>
  </si>
  <si>
    <t>MERCADO 01014</t>
  </si>
  <si>
    <t>VÁLVULA BORBOLETA TIPO WAFFER Ø6''</t>
  </si>
  <si>
    <t>28.4.39</t>
  </si>
  <si>
    <t>MERCADO 01015</t>
  </si>
  <si>
    <t>VÁLVULA BORBOLETA TIPO WAFFER Ø8''</t>
  </si>
  <si>
    <t>28.4.40</t>
  </si>
  <si>
    <t>TJRS.CLI-460</t>
  </si>
  <si>
    <t>PURGA DE AR PARA TUBULAÇÕES</t>
  </si>
  <si>
    <t>28.4.41</t>
  </si>
  <si>
    <t>RECAPEAMENTO DE TUBULAÇÃO EXTERNA AO TEMPO - CHAPA DE ALUMÍNIO LISA 26", DIMENSÕES 2,0X1,0M, E= 0,5MM</t>
  </si>
  <si>
    <t>28.4.42</t>
  </si>
  <si>
    <t>TJRS.CLI-500</t>
  </si>
  <si>
    <t>LIGAÇÕES IMEDIATAS 6"- BOMBA CENTRÍFUGA, CONFORME COMPOSIÇÃO</t>
  </si>
  <si>
    <t>28.4.43</t>
  </si>
  <si>
    <t>TJRS.CLI-501</t>
  </si>
  <si>
    <t>LIGAÇÕES IMEDIATAS 8"- BOMBA CENTRÍFUGA , CONFORME COMPOSIÇÃO</t>
  </si>
  <si>
    <t>28.4.44</t>
  </si>
  <si>
    <t>TJRS.CLI-502</t>
  </si>
  <si>
    <t>LIGAÇÕES IMEDIATAS 6"- CHILLER, CONFORME COMPOSIÇÃO</t>
  </si>
  <si>
    <t>28.4.45</t>
  </si>
  <si>
    <t>TJRS.CLI-503</t>
  </si>
  <si>
    <t>LIGAÇÕES IMEDIATAS HIDRÔNICOS(CASSETE, HI WALL, BUILT IN), CONFORME COMPOSIÇÃO</t>
  </si>
  <si>
    <t>28.4.46</t>
  </si>
  <si>
    <t>TJRS.CLI-504</t>
  </si>
  <si>
    <t>LIGAÇÕES IMEDIATAS FAN COILS, AHUS E DOAS, CONFORME COMPOSIÇÃO 1"</t>
  </si>
  <si>
    <t>28.4.47</t>
  </si>
  <si>
    <t>TJRS.CLI-505</t>
  </si>
  <si>
    <t>LIGAÇÕES IMEDIATAS FAN COILS, AHUS E DOAS, CONFORME COMPOSIÇÃO 1 1/2"</t>
  </si>
  <si>
    <t>28.4.48</t>
  </si>
  <si>
    <t>TJRS.CLI-506</t>
  </si>
  <si>
    <t>LIGAÇÕES IMEDIATAS FAN COILS, AHUS E DOAS, CONFORME COMPOSIÇÃO 2"</t>
  </si>
  <si>
    <t>28.4.49</t>
  </si>
  <si>
    <t>TJRS.CLI-507</t>
  </si>
  <si>
    <t>LIGAÇÕES IMEDIATAS FAN COILS, AHUS E DOAS, CONFORME COMPOSIÇÃO 2 1/2"</t>
  </si>
  <si>
    <t>28.4.50</t>
  </si>
  <si>
    <t>TJRS.CLI-640</t>
  </si>
  <si>
    <t>INSTALAÇÃO REDE DE ÁGUA GELADA E ACESSÓRIOS</t>
  </si>
  <si>
    <t>28.5</t>
  </si>
  <si>
    <t>INTERLIGAÇÕES ELÉTRICAS</t>
  </si>
  <si>
    <t>28.5.1</t>
  </si>
  <si>
    <t>TJRS.ELE-01</t>
  </si>
  <si>
    <t>ELETRODUTO EM AÇO GALVANIZADO Ø20MM (3/4”), COM ACESSÓRIOS</t>
  </si>
  <si>
    <t>28.5.2</t>
  </si>
  <si>
    <t>ELETRODUTO GALVANIZADO Ø1'' COM ACESSÓRIOS</t>
  </si>
  <si>
    <t>28.5.3</t>
  </si>
  <si>
    <t>ELETRODUTO FLEXÍVEL CORRUGADO, PVC, DN 20 MM (1/2"), PARA CIRCUITOS TERMINAIS, INSTALADO EM FORRO - FORNECIMENTO E INSTALAÇÃO. AF_03/2023</t>
  </si>
  <si>
    <t>28.5.4</t>
  </si>
  <si>
    <t>TJRS.ELE-03</t>
  </si>
  <si>
    <t>ELETRODUTO EM AÇO GALVANIZADO Ø35MM (1 1/4”), COM ACESSÓRIOS</t>
  </si>
  <si>
    <t>28.5.5</t>
  </si>
  <si>
    <t>ELETRODUTO FLEXÍVEL CORRUGADO, PEAD, DN 40 MM (1 1/4"), PARA CIRCUITOS TERMINAIS, INSTALADO EM FORRO - FORNECIMENTO E INSTALAÇÃO. AF_03/2023</t>
  </si>
  <si>
    <t>28.5.6</t>
  </si>
  <si>
    <t>TJRS.ELE-05</t>
  </si>
  <si>
    <t>CABO SHIELDADO 2X1.5mm 300V PT</t>
  </si>
  <si>
    <t>28.5.7</t>
  </si>
  <si>
    <t>ELETRODUTO FLEXÍVEL CORRUGADO, PEAD, DN 50 (1 1/2"), PARA REDE ENTERRADA DE DISTRIBUIÇÃO DE ENERGIA ELÉTRICA - FORNECIMENTO E INSTALAÇÃO. AF_12/2021</t>
  </si>
  <si>
    <t>28.5.8</t>
  </si>
  <si>
    <t>TJRS.ELE-06</t>
  </si>
  <si>
    <t>QUADRO ELÉTRICO PARA GABINETES DE EXAUSTÃO OU AR EXTERNO COM ACIONAMENTO POR TIMMER E BOTOEIRA NO PRÓPRIO QUADRO.</t>
  </si>
  <si>
    <t>28.5.9</t>
  </si>
  <si>
    <t>SBC</t>
  </si>
  <si>
    <t>QGAT - QUADRO DE AUTOMAÇÃO 800X600X300MM (AXLXP), ESSPESSURA DE CHAPA 1,95MM, COM PLACA DE MONTAGEM, PORTA EXTERNA COM FECHOS RÁPIDOS COM TRAVA PARA CADEADOS E PORTA INTERNA PIVOTANTE, PINTURA ELETROSTÁTICA EPOXI PÓ COR BEGE RAL 7032 - INCLUSO NO BREAK PARA PAINEL ELÉTRICO  - CHAVE SELETORA MANOPLA - REPETIDOR ISOLADOR - ROTEADOR  - FONTE CHAVEADA - CONTROLADOR LÓGICO PROGRAMÁVEL</t>
  </si>
  <si>
    <t>28.5.10</t>
  </si>
  <si>
    <t>MERCADO 01051</t>
  </si>
  <si>
    <t>(AHU-TIPO 1)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</si>
  <si>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28.5.11</t>
  </si>
  <si>
    <t>MERCADO 01052</t>
  </si>
  <si>
    <t>(AHU-TIPO 2)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</si>
  <si>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28.5.12</t>
  </si>
  <si>
    <t>MERCADO 01053</t>
  </si>
  <si>
    <t>(AHU-TIPO 3)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</si>
  <si>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28.5.13</t>
  </si>
  <si>
    <t>MERCADO 01054</t>
  </si>
  <si>
    <t>(AHU-TIPO 4)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</si>
  <si>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28.5.14</t>
  </si>
  <si>
    <t>MERCADO 01055</t>
  </si>
  <si>
    <t>(AHU-TIPO 5)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</si>
  <si>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28.5.15</t>
  </si>
  <si>
    <t>MERCADO 01056</t>
  </si>
  <si>
    <t>(AHU-TIPO 6)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</si>
  <si>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28.5.16</t>
  </si>
  <si>
    <t>MERCADO 01057</t>
  </si>
  <si>
    <t>(AHU-TIPO 7)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</si>
  <si>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28.5.17</t>
  </si>
  <si>
    <t>MERCADO 01058</t>
  </si>
  <si>
    <t>(AHU-TIPO 8)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</si>
  <si>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28.5.18</t>
  </si>
  <si>
    <t>MERCADO 01059</t>
  </si>
  <si>
    <t>(AHU-TIPO 9)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</si>
  <si>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28.5.19</t>
  </si>
  <si>
    <t>MERCADO 01060</t>
  </si>
  <si>
    <t>(AHU-TIPO 11)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</si>
  <si>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28.5.20</t>
  </si>
  <si>
    <t>MERCADO 01061</t>
  </si>
  <si>
    <t>(AHU-TIPO 12)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</si>
  <si>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28.5.21</t>
  </si>
  <si>
    <t>MERCADO 01062</t>
  </si>
  <si>
    <t>(AHU-TIPO 13)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</si>
  <si>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28.5.22</t>
  </si>
  <si>
    <t>MERCADO 01063</t>
  </si>
  <si>
    <t>(AHU-TIPO 14)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</si>
  <si>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28.5.23</t>
  </si>
  <si>
    <t>MERCADO 01064</t>
  </si>
  <si>
    <t>(AHU-TIPO 15)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</si>
  <si>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28.5.24</t>
  </si>
  <si>
    <t>MERCADO 01065</t>
  </si>
  <si>
    <t>(AHU-TIPO 16)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</si>
  <si>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28.5.25</t>
  </si>
  <si>
    <t>MERCADO 01066</t>
  </si>
  <si>
    <t>(AHU-TIPO 20)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</si>
  <si>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28.5.26</t>
  </si>
  <si>
    <t>MERCADO 01067</t>
  </si>
  <si>
    <t>(FANCOIL-TIPO 1) - QUADRO DE COMANDO E CONTROLE VAC COM INVERSOR DE FREQUÊNCIA (ACIONAMENTO,CONTROLADOR MCP18-ETH, SENSOR DE PRESSÃO, PRESSOSTATO PARA STATUS DE FILTRO E VENTILADOR,MISCELÂNEAS), LED DE SINALIZAÇÃO E CHAVE AUT/MANUAL. INCLUSO DISPLAY MDR-PRO COM SENSOR DE TEMPERATURA, MONTADO E TESTADO EM FABRICA.</t>
  </si>
  <si>
    <t>28.5.27</t>
  </si>
  <si>
    <t>MERCADO 01068</t>
  </si>
  <si>
    <t>(FANCOIL-TIPO 2) - QUADRO DE COMANDO E CONTROLE VAC COM INVERSOR DE FREQUÊNCIA (ACIONAMENTO,CONTROLADOR MCP18-ETH, SENSOR DE PRESSÃO, PRESSOSTATO PARA STATUS DE FILTRO E VENTILADOR,MISCELÂNEAS), LED DE SINALIZAÇÃO E CHAVE AUT/MANUAL. INCLUSO DISPLAY MDR-PRO COM SENSOR DE TEMPERATURA, MONTADO E TESTADO EM FABRICA.</t>
  </si>
  <si>
    <t>28.5.28</t>
  </si>
  <si>
    <t>MERCADO 01069</t>
  </si>
  <si>
    <t>(FANCOIL-TIPO 3) - QUADRO DE COMANDO E CONTROLE VAC COM INVERSOR DE FREQUÊNCIA (ACIONAMENTO,CONTROLADOR MCP18-ETH, SENSOR DE PRESSÃO, PRESSOSTATO PARA STATUS DE FILTRO E VENTILADOR,MISCELÂNEAS), LED DE SINALIZAÇÃO E CHAVE AUT/MANUAL. INCLUSO DISPLAY MDR-PRO COM SENSOR DE TEMPERATURA, MONTADO E TESTADO EM FABRICA.</t>
  </si>
  <si>
    <t>28.5.29</t>
  </si>
  <si>
    <t>MERCADO 01070</t>
  </si>
  <si>
    <t>(BUILTIN-TIPO 1)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</si>
  <si>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28.5.30</t>
  </si>
  <si>
    <t>MERCADO 01071</t>
  </si>
  <si>
    <t>(BUILTIN-TIPO 2) - QUADRO DE COMANDO E CONTROLE VAC VENTILADOR EC (ACIONAMENTO,CONTROLADOR MCP18-ETH, SENSOR DE PRESSÃO, PRESSOSTATO PARA STATUS DE FILTRO E VENTILADOR,MISCELÂNEAS), LED DE SINALIZAÇÃO E CHAVE AUT/MANUAL. INCLUSO DISPLAY MDR-PRO COM SENSOR DE TEMPERATURA, MONTADO E TESTADO EM FABRICA.</t>
  </si>
  <si>
    <t>28.5.31</t>
  </si>
  <si>
    <t>TJRS.CLI-639</t>
  </si>
  <si>
    <t>INSTALAÇÃO DE QUADROS DE COMANDO E CONTROLE</t>
  </si>
  <si>
    <t>28.6</t>
  </si>
  <si>
    <t xml:space="preserve"> DUTOS DIFUSORES E ACESSORIOS DO SISTEMA DE  VENTILAÇÃO E EXAUSTÃO</t>
  </si>
  <si>
    <t>28.6.1</t>
  </si>
  <si>
    <t>TJRS.CLI-304</t>
  </si>
  <si>
    <t>DUTO FLEXÍVEL DE ALUMÍNIO SEM ISOLAMENTO TÉRMICO 100MM</t>
  </si>
  <si>
    <t>28.6.2</t>
  </si>
  <si>
    <t>TJRS.CLI-305</t>
  </si>
  <si>
    <t>DUTO FLEXÍVEL DE ALUMÍNIO COM ISOLAMENTO TÉRMICO 150MM</t>
  </si>
  <si>
    <t>28.6.3</t>
  </si>
  <si>
    <t>TJRS.CLI-306</t>
  </si>
  <si>
    <t>DUTO FLEXÍVEL DE ALUMÍNIO COM ISOLAMENTO TÉRMICO 180MM</t>
  </si>
  <si>
    <t>28.6.4</t>
  </si>
  <si>
    <t>TJRS.CLI-307</t>
  </si>
  <si>
    <t>DUTO FLEXÍVEL DE ALUMÍNIO COM ISOLAMENTO TÉRMICO 200MM</t>
  </si>
  <si>
    <t>28.6.5</t>
  </si>
  <si>
    <t>TJRS.CLI-317</t>
  </si>
  <si>
    <t>MPU PARA DUTOS DE AR CONDICIONADO 20MMX2,0MX1,2M</t>
  </si>
  <si>
    <t>28.6.6</t>
  </si>
  <si>
    <t>TJRS.CLI-318</t>
  </si>
  <si>
    <t>MPU PARA DUTOS DE AR CONDICIONADO 10MMX2,0MX1,2M</t>
  </si>
  <si>
    <t>28.6.7</t>
  </si>
  <si>
    <t>TJRS.CLI-455</t>
  </si>
  <si>
    <t>DUTO EM CHAPA METÁLICA PRETA #16, COM SUPORTES E ACESSÓRIOS.</t>
  </si>
  <si>
    <t>28.6.8</t>
  </si>
  <si>
    <t>TJRS.CLI-115</t>
  </si>
  <si>
    <t>ENTRADA DE INSPEÇÃO PARA DUTO (25x15cm)</t>
  </si>
  <si>
    <t>28.6.9</t>
  </si>
  <si>
    <t>TJRS.CLI-510</t>
  </si>
  <si>
    <t>DIFUSOR 4 VIAS COM CAIXA PLENUM, COM REGISTRO E FILTRAGEM TERMINAL ISO 35H - Tamanho(mm): 535x535</t>
  </si>
  <si>
    <t>28.6.10</t>
  </si>
  <si>
    <t>TJRS.CLI-511</t>
  </si>
  <si>
    <t>DIFUSOR 4 VIAS EM ALUMÍNIO ANODIZADO COM REGISTRO E CAIXA PLENUM. - Tamanho(mm): 305x305xØ180</t>
  </si>
  <si>
    <t>28.6.11</t>
  </si>
  <si>
    <t>TJRS.CLI-512</t>
  </si>
  <si>
    <t>DIFUSOR 4 VIAS EM ALUMÍNIO ANODIZADO COM REGISTRO E CAIXA PLENUM. - Tamanho(mm): 361x361xØ200</t>
  </si>
  <si>
    <t>28.6.12</t>
  </si>
  <si>
    <t>TJRS.CLI-513</t>
  </si>
  <si>
    <t>DIFUSOR DE EXAUSTÃO DE AR CIRCULAR, EM PVC, COR BRANCA, COM REGISTRO. - Tamanho(mm): Ø100</t>
  </si>
  <si>
    <t>28.6.13</t>
  </si>
  <si>
    <t>TJRS.CLI-514</t>
  </si>
  <si>
    <t>DIFUSOR HOSPITALAR - FLUXO LAMINAR PARA SALAS DE CIRURGIA - Tamanho(mm): 600x600xØ180</t>
  </si>
  <si>
    <t>28.6.14</t>
  </si>
  <si>
    <t>TJRS.CLI-515</t>
  </si>
  <si>
    <t>DIFUSOR HOSPITALAR - FLUXO LINEAR PARA SALAS DE CIRURGIA - Tamanho(mm): 2060x200xØ150</t>
  </si>
  <si>
    <t>28.6.15</t>
  </si>
  <si>
    <t>TJRS.CLI-516</t>
  </si>
  <si>
    <t>DIFUSOR HOSPITALAR - FLUXO LINEAR PARA SALAS DE CIRURGIA - Tamanho(mm): 3030x200xØ150</t>
  </si>
  <si>
    <t>28.6.16</t>
  </si>
  <si>
    <t>TJRS.CLI-517</t>
  </si>
  <si>
    <t>GRELHA DE INSUFLAMENTO - DEFLEXÃO DUPLA -  ANODIZADO COM REGISTRO - Tamanho(mm): 225x225</t>
  </si>
  <si>
    <t>28.6.17</t>
  </si>
  <si>
    <t>TJRS.CLI-518</t>
  </si>
  <si>
    <t>GRELHA DE INSUFLAMENTO - DEFLEXÃO DUPLA -  ANODIZADO COM REGISTRO -  Tamanho(mm): 225x125</t>
  </si>
  <si>
    <t>28.6.18</t>
  </si>
  <si>
    <t>TJRS.CLI-519</t>
  </si>
  <si>
    <t>GRELHA DE INSUFLAMENTO - DEFLEXÃO DUPLA -  ANODIZADO COM REGISTRO -  Tamanho(mm): 1025x225</t>
  </si>
  <si>
    <t>28.6.19</t>
  </si>
  <si>
    <t>TJRS.CLI-520</t>
  </si>
  <si>
    <t>GRELHA DE INSUFLAMENTO - DEFLEXÃO DUPLA -  ANODIZADO COM REGISTRO -  Tamanho(mm): 1225x525</t>
  </si>
  <si>
    <t>28.6.20</t>
  </si>
  <si>
    <t>TJRS.CLI-521</t>
  </si>
  <si>
    <t>GRELHA DE PORTA, EM ALUMÍNIO, ALETAS HORIZONTAIS FIXAS EM "V" E CONTRA-MOLDURA, PARA INSTALAÇÃO EM PORTA - DIMENSÕES: 400x400mm</t>
  </si>
  <si>
    <t>28.6.21</t>
  </si>
  <si>
    <t>TJRS.CLI-522</t>
  </si>
  <si>
    <t>GRELHA DE RETORNO/EXAUSTÃO DE AR, EM ALUMÍNIO, ALETAS HORIZONTAIS FIXAS E COM REGISTRO. - Tamanho(mm): 225x125</t>
  </si>
  <si>
    <t>28.6.22</t>
  </si>
  <si>
    <t>TJRS.CLI-523</t>
  </si>
  <si>
    <t>GRELHA DE RETORNO/EXAUSTÃO DE AR, EM ALUMÍNIO, ALETAS HORIZONTAIS FIXAS E COM REGISTRO. - Tamanho(mm): 225x165</t>
  </si>
  <si>
    <t>28.6.23</t>
  </si>
  <si>
    <t>TJRS.CLI-524</t>
  </si>
  <si>
    <t>GRELHA DE RETORNO/EXAUSTÃO DE AR, EM ALUMÍNIO, ALETAS HORIZONTAIS FIXAS E COM REGISTRO.- Tamanho(mm): 225x225</t>
  </si>
  <si>
    <t>28.6.24</t>
  </si>
  <si>
    <t>TJRS.CLI-525</t>
  </si>
  <si>
    <t>GRELHA DE RETORNO DE AR, EM ALUMÍNIO, ALETAS HORIZONTAIS FIXAS E COM REGISTRO. - Tamanho(mm): 325x125</t>
  </si>
  <si>
    <t>28.6.25</t>
  </si>
  <si>
    <t>TJRS.CLI-526</t>
  </si>
  <si>
    <t>GRELHA DE RETORNO/EXAUSTÃO DE AR, EM ALUMÍNIO, ALETAS HORIZONTAIS FIXAS E COM REGISTRO. - Tamanho(mm): 325x225</t>
  </si>
  <si>
    <t>28.6.26</t>
  </si>
  <si>
    <t>TJRS.CLI-527</t>
  </si>
  <si>
    <t>GRELHA DE RETORNO/EXAUSTÃO DE AR, EM ALUMÍNIO, ALETAS HORIZONTAIS FIXAS E COM REGISTRO. - Tamanho(mm): 325x325</t>
  </si>
  <si>
    <t>28.6.27</t>
  </si>
  <si>
    <t>TJRS.CLI-528</t>
  </si>
  <si>
    <t>GRELHA DE RETORNO/EXAUSTÃO DE AR, EM ALUMÍNIO, ALETAS HORIZONTAIS FIXAS E COM REGISTRO. - DIMENSÕES: 425X225mm</t>
  </si>
  <si>
    <t>28.6.28</t>
  </si>
  <si>
    <t>TJRS.CLI-529</t>
  </si>
  <si>
    <t>GRELHA DE RETORNO/EXAUSTÃO DE AR, EM ALUMÍNIO, ALETAS HORIZONTAIS FIXAS E COM REGISTRO. - DIMENSÕES: 425X325mm</t>
  </si>
  <si>
    <t>28.6.29</t>
  </si>
  <si>
    <t>TJRS.CLI-530</t>
  </si>
  <si>
    <t>GRELHA DE RETORNO/EXAUSTÃO DE AR, EM ALUMÍNIO, ALETAS HORIZONTAIS FIXAS E COM REGISTRO. - Tamanho(mm): 425x425</t>
  </si>
  <si>
    <t>28.6.30</t>
  </si>
  <si>
    <t>TJRS.CLI-531</t>
  </si>
  <si>
    <t>GRELHA DE RETORNO DE AR, EM ALUMÍNIO, ALETAS HORIZONTAIS FIXAS E COM REGISTRO. - Tamanho(mm): 525x225</t>
  </si>
  <si>
    <t>28.6.31</t>
  </si>
  <si>
    <t>TJRS.CLI-532</t>
  </si>
  <si>
    <t>GRELHA DE RETORNO DE AR, EM ALUMÍNIO, ALETAS HORIZONTAIS FIXAS E COM REGISTRO. - DIMENSÕES: 525X325mm</t>
  </si>
  <si>
    <t>28.6.32</t>
  </si>
  <si>
    <t>TJRS.CLI-533</t>
  </si>
  <si>
    <t>GRELHA DE RETORNO/EXAUSTÃO DE AR, EM ALUMÍNIO, ALETAS HORIZONTAIS FIXAS E COM REGISTRO. - Tamanho(mm): 525x425</t>
  </si>
  <si>
    <t>28.6.33</t>
  </si>
  <si>
    <t>TJRS.CLI-534</t>
  </si>
  <si>
    <t>GRELHA DE RETORNO/EXAUSTÃO DE AR, EM ALUMÍNIO, ALETAS HORIZONTAIS FIXAS E COM REGISTRO. - DIMENSÕES: 525X525mm</t>
  </si>
  <si>
    <t>28.6.34</t>
  </si>
  <si>
    <t>TJRS.CLI-535</t>
  </si>
  <si>
    <t>GRELHA DE RETORNO/EXAUSTÃO DE AR, EM ALUMÍNIO, ALETAS HORIZONTAIS FIXAS E COM REGISTRO. - Tamanho(mm): 625x525</t>
  </si>
  <si>
    <t>28.6.35</t>
  </si>
  <si>
    <t>TJRS.CLI-536</t>
  </si>
  <si>
    <t>GRELHA DE RETORNO DE AR, EM ALUMÍNIO, ALETAS HORIZONTAIS FIXAS, COM REGISTRO - Tamanho(mm): 825x425</t>
  </si>
  <si>
    <t>28.6.36</t>
  </si>
  <si>
    <t>TJRS.CLI-537</t>
  </si>
  <si>
    <t>GRELHA DE RETORNO DE AR, EM ALUMÍNIO, ALETAS HORIZONTAIS FIXAS, COM REGISTRO - Tamanho(mm): 825x525</t>
  </si>
  <si>
    <t>28.6.37</t>
  </si>
  <si>
    <t>TJRS.CLI-538</t>
  </si>
  <si>
    <t>GRELHA DE RETORNO DE AR, EM ALUMÍNIO, ALETAS HORIZONTAIS FIXAS E COM REGISTRO. - Tamanho(mm): 1025x225</t>
  </si>
  <si>
    <t>28.6.38</t>
  </si>
  <si>
    <t>TJRS.CLI-539</t>
  </si>
  <si>
    <t>GRELHA DE RETORNO/EXAUSTÃO DE AR, EM ALUMÍNIO, ALETAS HORIZONTAIS FIXAS E COM REGISTRO. - Tamanho(mm): 1025x525</t>
  </si>
  <si>
    <t>28.6.39</t>
  </si>
  <si>
    <t>TJRS.CLI-540</t>
  </si>
  <si>
    <t>GRELHA DE RETORNO DE AR, EM ALUMÍNIO, ALETAS HORIZONTAIS FIXAS, COM REGISTRO - Tamanho(mm): 1225x525</t>
  </si>
  <si>
    <t>28.6.40</t>
  </si>
  <si>
    <t>TJRS.CLI-541</t>
  </si>
  <si>
    <t>VENEZIANA EXTERIOR EM ALUMÍNIO, COR BRANCA, PINGADEIRA E TELA METÁLICA. - Tamanho(mm): 200x200</t>
  </si>
  <si>
    <t>28.6.41</t>
  </si>
  <si>
    <t>TJRS.CLI-542</t>
  </si>
  <si>
    <t>VENEZIANA EXTERIOR EM ALUMÍNIO, COR BRANCA, PINGADEIRA E TELA METÁLICA. - Tamanho(mm): 100x100</t>
  </si>
  <si>
    <t>28.6.42</t>
  </si>
  <si>
    <t>TJRS.CLI-543</t>
  </si>
  <si>
    <t>VENEZIANA EXTERIOR EM ALUMÍNIO, COR BRANCA, PINGADEIRA E TELA METÁLICA. - Tamanho(mm): 400x300</t>
  </si>
  <si>
    <t>28.6.43</t>
  </si>
  <si>
    <t>TJRS.CLI-544</t>
  </si>
  <si>
    <t>VENEZIANA EXTERIOR EM ALUMÍNIO, COR BRANCA, PINGADEIRA E TELA METÁLICA. - Tamanho(mm): 500x500</t>
  </si>
  <si>
    <t>28.6.44</t>
  </si>
  <si>
    <t>TJRS.CLI-545</t>
  </si>
  <si>
    <t>VENEZIANA EXTERIOR EM ALUMÍNIO, COR BRANCA, PINGADEIRA E TELA METÁLICA. - Tamanho(mm): 600x600</t>
  </si>
  <si>
    <t>28.6.45</t>
  </si>
  <si>
    <t>TJRS.CLI-546</t>
  </si>
  <si>
    <t>TOMADA DE AR EXTERNO, EM ALUMÍNIO EXTRUDADO, COM REGISTRO DE VAZÃO, TELA DE PROTEÇÃO, COM MOLDURA EXTERNA. - Tamanho(mm): 1100x400</t>
  </si>
  <si>
    <t>28.6.46</t>
  </si>
  <si>
    <t>TJRS.CLI-547</t>
  </si>
  <si>
    <t>VENEZIANA EXTERIOR EM ALUMÍNIO, COR BRANCA, PINGADEIRA E TELA METÁLICA. - Tamanho(mm): 1100x1100</t>
  </si>
  <si>
    <t>28.6.47</t>
  </si>
  <si>
    <t>TJRS.CLI-548</t>
  </si>
  <si>
    <t>REGISTROS DE VAZÃO (DAMPER) 100X150mm, EM AÇO GALVANIZADO COM ALETAS CONVERGENTES</t>
  </si>
  <si>
    <t>28.6.48</t>
  </si>
  <si>
    <t>TJRS.CLI-549</t>
  </si>
  <si>
    <t>REGISTROS DE VAZÃO (DAMPER) 150X150mm, EM AÇO GALVANIZADO COM ALETAS CONVERGENTES</t>
  </si>
  <si>
    <t>28.6.49</t>
  </si>
  <si>
    <t>TJRS.CLI-550</t>
  </si>
  <si>
    <t>REGISTROS DE VAZÃO (DAMPER) 150X200mm, EM AÇO GALVANIZADO COM ALETAS CONVERGENTES</t>
  </si>
  <si>
    <t>28.6.50</t>
  </si>
  <si>
    <t>TJRS.CLI-551</t>
  </si>
  <si>
    <t>REGISTROS DE VAZÃO (DAMPER) 150X400mm, EM AÇO GALVANIZADO COM ALETAS CONVERGENTES</t>
  </si>
  <si>
    <t>28.6.51</t>
  </si>
  <si>
    <t>TJRS.CLI-552</t>
  </si>
  <si>
    <t>REGISTROS DE VAZÃO (DAMPER) 200X150mm, EM AÇO GALVANIZADO COM ALETAS CONVERGENTES</t>
  </si>
  <si>
    <t>28.6.52</t>
  </si>
  <si>
    <t>TJRS.CLI-553</t>
  </si>
  <si>
    <t>REGISTROS DE VAZÃO (DAMPER) 200X200mm, EM AÇO GALVANIZADO COM ALETAS CONVERGENTES</t>
  </si>
  <si>
    <t>28.6.53</t>
  </si>
  <si>
    <t>TJRS.CLI-554</t>
  </si>
  <si>
    <t>REGISTROS DE VAZÃO (DAMPER) 200X250mm, EM AÇO GALVANIZADO COM ALETAS CONVERGENTES</t>
  </si>
  <si>
    <t>28.6.54</t>
  </si>
  <si>
    <t>TJRS.CLI-555</t>
  </si>
  <si>
    <t>REGISTROS DE VAZÃO (DAMPER) 200X300mm, EM AÇO GALVANIZADO COM ALETAS CONVERGENTES</t>
  </si>
  <si>
    <t>28.6.55</t>
  </si>
  <si>
    <t>TJRS.CLI-556</t>
  </si>
  <si>
    <t>REGISTROS DE VAZÃO (DAMPER) 200X350mm, EM AÇO GALVANIZADO COM ALETAS CONVERGENTES</t>
  </si>
  <si>
    <t>28.6.56</t>
  </si>
  <si>
    <t>TJRS.CLI-557</t>
  </si>
  <si>
    <t>REGISTROS DE VAZÃO (DAMPER) 200X400mm, EM AÇO GALVANIZADO COM ALETAS CONVERGENTES</t>
  </si>
  <si>
    <t>28.6.57</t>
  </si>
  <si>
    <t>TJRS.CLI-558</t>
  </si>
  <si>
    <t>REGISTROS DE VAZÃO (DAMPER) 250X150mm, EM AÇO GALVANIZADO COM ALETAS CONVERGENTES</t>
  </si>
  <si>
    <t>28.6.58</t>
  </si>
  <si>
    <t>TJRS.CLI-559</t>
  </si>
  <si>
    <t>REGISTROS DE VAZÃO (DAMPER) 250X200mm, EM AÇO GALVANIZADO COM ALETAS CONVERGENTES</t>
  </si>
  <si>
    <t>28.6.59</t>
  </si>
  <si>
    <t>TJRS.CLI-560</t>
  </si>
  <si>
    <t>REGISTROS DE VAZÃO (DAMPER) 250X250mm, EM AÇO GALVANIZADO COM ALETAS CONVERGENTES</t>
  </si>
  <si>
    <t>28.6.60</t>
  </si>
  <si>
    <t>TJRS.CLI-561</t>
  </si>
  <si>
    <t>REGISTROS DE VAZÃO (DAMPER) 250X300mm, EM AÇO GALVANIZADO COM ALETAS CONVERGENTES</t>
  </si>
  <si>
    <t>28.6.61</t>
  </si>
  <si>
    <t>TJRS.CLI-562</t>
  </si>
  <si>
    <t>REGISTROS DE VAZÃO (DAMPER) 250X400mm, EM AÇO GALVANIZADO COM ALETAS CONVERGENTES</t>
  </si>
  <si>
    <t>28.6.62</t>
  </si>
  <si>
    <t>TJRS.CLI-563</t>
  </si>
  <si>
    <t>REGISTROS DE VAZÃO (DAMPER) 300X150mm, EM AÇO GALVANIZADO COM ALETAS CONVERGENTES,</t>
  </si>
  <si>
    <t>28.6.63</t>
  </si>
  <si>
    <t>TJRS.CLI-564</t>
  </si>
  <si>
    <t>REGISTROS DE VAZÃO (DAMPER) 300X200mm, EM AÇO GALVANIZADO COM ALETAS CONVERGENTES</t>
  </si>
  <si>
    <t>28.6.64</t>
  </si>
  <si>
    <t>TJRS.CLI-565</t>
  </si>
  <si>
    <t>REGISTROS DE VAZÃO (DAMPER) 300X250mm, EM AÇO GALVANIZADO COM ALETAS CONVERGENTES</t>
  </si>
  <si>
    <t>28.6.65</t>
  </si>
  <si>
    <t>TJRS.CLI-566</t>
  </si>
  <si>
    <t>REGISTROS DE VAZÃO (DAMPER) 300X300mm, EM AÇO GALVANIZADO COM ALETAS CONVERGENTES</t>
  </si>
  <si>
    <t>28.6.66</t>
  </si>
  <si>
    <t>TJRS.CLI-567</t>
  </si>
  <si>
    <t>REGISTROS DE VAZÃO (DAMPER) 300X400mm, EM AÇO GALVANIZADO COM ALETAS CONVERGENTES</t>
  </si>
  <si>
    <t>28.6.67</t>
  </si>
  <si>
    <t>TJRS.CLI-568</t>
  </si>
  <si>
    <t>REGISTROS DE VAZÃO (DAMPER) 350X150mm, EM AÇO GALVANIZADO COM ALETAS CONVERGENTES</t>
  </si>
  <si>
    <t>28.6.68</t>
  </si>
  <si>
    <t>TJRS.CLI-569</t>
  </si>
  <si>
    <t>REGISTROS DE VAZÃO (DAMPER) 350X300mm, EM AÇO GALVANIZADO COM ALETAS CONVERGENTES</t>
  </si>
  <si>
    <t>28.6.69</t>
  </si>
  <si>
    <t>TJRS.CLI-570</t>
  </si>
  <si>
    <t>REGISTROS DE VAZÃO (DAMPER) 350X350mm, EM AÇO GALVANIZADO COM ALETAS CONVERGENTES</t>
  </si>
  <si>
    <t>28.6.70</t>
  </si>
  <si>
    <t>TJRS.CLI-571</t>
  </si>
  <si>
    <t>REGISTROS DE VAZÃO (DAMPER) 350X400mm, EM AÇO GALVANIZADO COM ALETAS CONVERGENTES</t>
  </si>
  <si>
    <t>28.6.71</t>
  </si>
  <si>
    <t>TJRS.CLI-572</t>
  </si>
  <si>
    <t>REGISTROS DE VAZÃO (DAMPER) 400X200mm, EM AÇO GALVANIZADO COM ALETAS CONVERGENTES</t>
  </si>
  <si>
    <t>28.6.72</t>
  </si>
  <si>
    <t>TJRS.CLI-573</t>
  </si>
  <si>
    <t>REGISTROS DE VAZÃO (DAMPER) 400X300mm, EM AÇO GALVANIZADO COM ALETAS CONVERGENTES</t>
  </si>
  <si>
    <t>28.6.73</t>
  </si>
  <si>
    <t>TJRS.CLI-574</t>
  </si>
  <si>
    <t>REGISTROS DE VAZÃO (DAMPER) 400X350mm, EM AÇO GALVANIZADO COM ALETAS CONVERGENTES</t>
  </si>
  <si>
    <t>28.6.74</t>
  </si>
  <si>
    <t>TJRS.CLI-575</t>
  </si>
  <si>
    <t>REGISTROS DE VAZÃO (DAMPER) 400X400mm, EM AÇO GALVANIZADO COM ALETAS CONVERGENTES</t>
  </si>
  <si>
    <t>28.6.75</t>
  </si>
  <si>
    <t>TJRS.CLI-576</t>
  </si>
  <si>
    <t>REGISTROS DE VAZÃO (DAMPER) 450X300mm, EM AÇO GALVANIZADO COM ALETAS CONVERGENTES</t>
  </si>
  <si>
    <t>28.6.76</t>
  </si>
  <si>
    <t>TJRS.CLI-577</t>
  </si>
  <si>
    <t>REGISTROS DE VAZÃO (DAMPER) 450X400mm, EM AÇO GALVANIZADO COM ALETAS CONVERGENTES</t>
  </si>
  <si>
    <t>28.6.77</t>
  </si>
  <si>
    <t>TJRS.CLI-578</t>
  </si>
  <si>
    <t>REGISTROS DE VAZÃO (DAMPER) 500X200mm, EM AÇO GALVANIZADO COM ALETAS CONVERGENTES</t>
  </si>
  <si>
    <t>28.6.78</t>
  </si>
  <si>
    <t>TJRS.CLI-579</t>
  </si>
  <si>
    <t>REGISTROS DE VAZÃO (DAMPER) 500X300mm, EM AÇO GALVANIZADO COM ALETAS CONVERGENTES</t>
  </si>
  <si>
    <t>28.6.79</t>
  </si>
  <si>
    <t>TJRS.CLI-641</t>
  </si>
  <si>
    <t>REGISTROS DE VAZÃO (DAMPER) 500X350mm, EM AÇO GALVANIZADO COM ALETAS CONVERGENTES</t>
  </si>
  <si>
    <t>28.6.80</t>
  </si>
  <si>
    <t>TJRS.CLI-580</t>
  </si>
  <si>
    <t>REGISTROS DE VAZÃO (DAMPER) 500X400mm, EM AÇO GALVANIZADO COM ALETAS CONVERGENTES</t>
  </si>
  <si>
    <t>28.6.81</t>
  </si>
  <si>
    <t>TJRS.CLI-642</t>
  </si>
  <si>
    <t>REGISTROS DE VAZÃO (DAMPER) 550X250mm, EM AÇO GALVANIZADO COM ALETAS CONVERGENTES</t>
  </si>
  <si>
    <t>28.6.82</t>
  </si>
  <si>
    <t>TJRS.CLI-643</t>
  </si>
  <si>
    <t>REGISTROS DE VAZÃO (DAMPER) 550X350mm, EM AÇO GALVANIZADO COM ALETAS CONVERGENTES</t>
  </si>
  <si>
    <t>28.6.83</t>
  </si>
  <si>
    <t>TJRS.CLI-581</t>
  </si>
  <si>
    <t>REGISTROS DE VAZÃO (DAMPER) 550X400mm, EM AÇO GALVANIZADO COM ALETAS CONVERGENTES</t>
  </si>
  <si>
    <t>28.6.84</t>
  </si>
  <si>
    <t>TJRS.CLI-582</t>
  </si>
  <si>
    <t>REGISTROS DE VAZÃO (DAMPER) 550X500mm, EM AÇO GALVANIZADO COM ALETAS CONVERGENTES</t>
  </si>
  <si>
    <t>28.6.85</t>
  </si>
  <si>
    <t>TJRS.CLI-583</t>
  </si>
  <si>
    <t>REGISTROS DE VAZÃO (DAMPER) 600X350mm, EM AÇO GALVANIZADO COM ALETAS CONVERGENTES</t>
  </si>
  <si>
    <t>28.6.86</t>
  </si>
  <si>
    <t>TJRS.CLI-584</t>
  </si>
  <si>
    <t>REGISTROS DE VAZÃO (DAMPER) 600X400mm, EM AÇO GALVANIZADO COM ALETAS CONVERGENTES</t>
  </si>
  <si>
    <t>28.6.87</t>
  </si>
  <si>
    <t>TJRS.CLI-585</t>
  </si>
  <si>
    <t>REGISTROS DE VAZÃO (DAMPER) 650X300mm, EM AÇO GALVANIZADO COM ALETAS CONVERGENTES</t>
  </si>
  <si>
    <t>28.6.88</t>
  </si>
  <si>
    <t>TJRS.CLI-586</t>
  </si>
  <si>
    <t>REGISTROS DE VAZÃO (DAMPER) 650X350mm, EM AÇO GALVANIZADO COM ALETAS CONVERGENTES</t>
  </si>
  <si>
    <t>28.6.89</t>
  </si>
  <si>
    <t>TJRS.CLI-587</t>
  </si>
  <si>
    <t>REGISTROS DE VAZÃO (DAMPER) 650X650mm, EM AÇO GALVANIZADO COM ALETAS CONVERGENTES</t>
  </si>
  <si>
    <t>28.6.90</t>
  </si>
  <si>
    <t>TJRS.CLI-588</t>
  </si>
  <si>
    <t>REGISTROS DE VAZÃO (DAMPER) 700X400mm, EM AÇO GALVANIZADO COM ALETAS CONVERGENTES</t>
  </si>
  <si>
    <t>28.6.91</t>
  </si>
  <si>
    <t>TJRS.CLI-644</t>
  </si>
  <si>
    <t>REGISTROS DE VAZÃO (DAMPER) 750X300mm, EM AÇO GALVANIZADO COM ALETAS CONVERGENTES</t>
  </si>
  <si>
    <t>28.6.92</t>
  </si>
  <si>
    <t>TJRS.CLI-589</t>
  </si>
  <si>
    <t>REGISTROS DE VAZÃO (DAMPER) 750X400mm, EM AÇO GALVANIZADO COM ALETAS CONVERGENTES</t>
  </si>
  <si>
    <t>28.6.93</t>
  </si>
  <si>
    <t>TJRS.CLI-590</t>
  </si>
  <si>
    <t>REGISTROS DE VAZÃO (DAMPER) 800X400mm, EM AÇO GALVANIZADO COM ALETAS CONVERGENTES</t>
  </si>
  <si>
    <t>28.6.94</t>
  </si>
  <si>
    <t>TJRS.CLI-591</t>
  </si>
  <si>
    <t>REGISTROS DE VAZÃO (DAMPER) 900X400mm, EM AÇO GALVANIZADO COM ALETAS CONVERGENTES</t>
  </si>
  <si>
    <t>28.6.95</t>
  </si>
  <si>
    <t>TJRS.CLI-592</t>
  </si>
  <si>
    <t>REGISTROS DE VAZÃO (DAMPER) 1000X400mm, EM AÇO GALVANIZADO COM ALETAS CONVERGENTES</t>
  </si>
  <si>
    <t>28.6.96</t>
  </si>
  <si>
    <t>TJRS.CLI-593</t>
  </si>
  <si>
    <t>REGISTROS DE VAZÃO (DAMPER) 1200X400mm, EM AÇO GALVANIZADO COM ALETAS CONVERGENTES</t>
  </si>
  <si>
    <t>28.6.97</t>
  </si>
  <si>
    <t>TJRS.CLI-594</t>
  </si>
  <si>
    <t>REGISTROS DE VAZÃO (DAMPER) 1300X400mm, EM AÇO GALVANIZADO COM ALETAS CONVERGENTES</t>
  </si>
  <si>
    <t>28.6.98</t>
  </si>
  <si>
    <t>TJRS.CLI-595</t>
  </si>
  <si>
    <t>DAMPER CORTA FOGO ACIONAMENTO POR TERMOFUSÍVEL E SOLENOIDE 220V COM CHAVE FIM DE CURSO (NA),100x250</t>
  </si>
  <si>
    <t>28.6.99</t>
  </si>
  <si>
    <t>TJRS.CLI-596</t>
  </si>
  <si>
    <t>DAMPER CORTA FOGO ACIONAMENTO POR TERMOFUSÍVEL E SOLENOIDE 220V COM CHAVE FIM DE CURSO (NA),100x300</t>
  </si>
  <si>
    <t>28.6.100</t>
  </si>
  <si>
    <t>TJRS.CLI-597</t>
  </si>
  <si>
    <t>DAMPER CORTA FOGO ACIONAMENTO POR TERMOFUSÍVEL E SOLENOIDE 220V COM CHAVE FIM DE CURSO (NA),150x150</t>
  </si>
  <si>
    <t>28.6.101</t>
  </si>
  <si>
    <t>TJRS.CLI-598</t>
  </si>
  <si>
    <t>DAMPER CORTA FOGO ACIONAMENTO POR TERMOFUSÍVEL E SOLENOIDE 220V COM CHAVE FIM DE CURSO (NA),150x300</t>
  </si>
  <si>
    <t>28.6.102</t>
  </si>
  <si>
    <t>TJRS.CLI-599</t>
  </si>
  <si>
    <t>DAMPER CORTA FOGO ACIONAMENTO POR TERMOFUSÍVEL E SOLENOIDE 220V COM CHAVE FIM DE CURSO (NA),150x400</t>
  </si>
  <si>
    <t>28.6.103</t>
  </si>
  <si>
    <t>TJRS.CLI-600</t>
  </si>
  <si>
    <t>DAMPER CORTA FOGO ACIONAMENTO POR TERMOFUSÍVEL E SOLENOIDE 220V COM CHAVE FIM DE CURSO (NA),200x150</t>
  </si>
  <si>
    <t>28.6.104</t>
  </si>
  <si>
    <t>TJRS.CLI-601</t>
  </si>
  <si>
    <t>DAMPER CORTA FOGO ACIONAMENTO POR TERMOFUSÍVEL E SOLENOIDE 220V COM CHAVE FIM DE CURSO (NA),200x200</t>
  </si>
  <si>
    <t>28.6.105</t>
  </si>
  <si>
    <t>TJRS.CLI-602</t>
  </si>
  <si>
    <t>DAMPER CORTA FOGO ACIONAMENTO POR TERMOFUSÍVEL E SOLENOIDE 220V COM CHAVE FIM DE CURSO (NA),200x300</t>
  </si>
  <si>
    <t>28.6.106</t>
  </si>
  <si>
    <t>TJRS.CLI-603</t>
  </si>
  <si>
    <t>DAMPER CORTA FOGO ACIONAMENTO POR TERMOFUSÍVEL E SOLENOIDE 220V COM CHAVE FIM DE CURSO (NA),250x200</t>
  </si>
  <si>
    <t>28.6.107</t>
  </si>
  <si>
    <t>TJRS.CLI-604</t>
  </si>
  <si>
    <t>DAMPER CORTA FOGO ACIONAMENTO POR TERMOFUSÍVEL E SOLENOIDE 220V COM CHAVE FIM DE CURSO (NA),250x250</t>
  </si>
  <si>
    <t>28.6.108</t>
  </si>
  <si>
    <t>TJRS.CLI-605</t>
  </si>
  <si>
    <t>DAMPER CORTA FOGO ACIONAMENTO POR TERMOFUSÍVEL E SOLENOIDE 220V COM CHAVE FIM DE CURSO (NA),250x300</t>
  </si>
  <si>
    <t>28.6.109</t>
  </si>
  <si>
    <t>TJRS.CLI-606</t>
  </si>
  <si>
    <t>DAMPER CORTA FOGO ACIONAMENTO POR TERMOFUSÍVEL E SOLENOIDE 220V COM CHAVE FIM DE CURSO (NA),250x400</t>
  </si>
  <si>
    <t>28.6.110</t>
  </si>
  <si>
    <t>TJRS.CLI-607</t>
  </si>
  <si>
    <t>DAMPER CORTA FOGO ACIONAMENTO POR TERMOFUSÍVEL E SOLENOIDE 220V COM CHAVE FIM DE CURSO (NA),300x200</t>
  </si>
  <si>
    <t>28.6.111</t>
  </si>
  <si>
    <t>TJRS.CLI-608</t>
  </si>
  <si>
    <t>DAMPER CORTA FOGO ACIONAMENTO POR TERMOFUSÍVEL E SOLENOIDE 220V COM CHAVE FIM DE CURSO (NA),300x250</t>
  </si>
  <si>
    <t>28.6.112</t>
  </si>
  <si>
    <t>TJRS.CLI-609</t>
  </si>
  <si>
    <t>DAMPER CORTA FOGO ACIONAMENTO POR TERMOFUSÍVEL E SOLENOIDE 220V COM CHAVE FIM DE CURSO (NA),300x300</t>
  </si>
  <si>
    <t>28.6.113</t>
  </si>
  <si>
    <t>TJRS.CLI-610</t>
  </si>
  <si>
    <t>DAMPER CORTA FOGO ACIONAMENTO POR TERMOFUSÍVEL E SOLENOIDE 220V COM CHAVE FIM DE CURSO (NA),350x350</t>
  </si>
  <si>
    <t>28.6.114</t>
  </si>
  <si>
    <t>TJRS.CLI-611</t>
  </si>
  <si>
    <t>DAMPER CORTA FOGO ACIONAMENTO POR TERMOFUSÍVEL E SOLENOIDE 220V COM CHAVE FIM DE CURSO (NA),350x400</t>
  </si>
  <si>
    <t>28.6.115</t>
  </si>
  <si>
    <t>TJRS.CLI-612</t>
  </si>
  <si>
    <t>DAMPER CORTA FOGO ACIONAMENTO POR TERMOFUSÍVEL E SOLENOIDE 220V COM CHAVE FIM DE CURSO (NA),400x200</t>
  </si>
  <si>
    <t>28.6.116</t>
  </si>
  <si>
    <t>TJRS.CLI-613</t>
  </si>
  <si>
    <t>DAMPER CORTA FOGO ACIONAMENTO POR TERMOFUSÍVEL E SOLENOIDE 220V COM CHAVE FIM DE CURSO (NA),400x250</t>
  </si>
  <si>
    <t>28.6.117</t>
  </si>
  <si>
    <t>TJRS.CLI-614</t>
  </si>
  <si>
    <t>DAMPER CORTA FOGO ACIONAMENTO POR TERMOFUSÍVEL E SOLENOIDE 220V COM CHAVE FIM DE CURSO (NA),400x400</t>
  </si>
  <si>
    <t>28.6.118</t>
  </si>
  <si>
    <t>TJRS.CLI-615</t>
  </si>
  <si>
    <t>DAMPER CORTA FOGO ACIONAMENTO POR TERMOFUSÍVEL E SOLENOIDE 220V COM CHAVE FIM DE CURSO (NA),450x250</t>
  </si>
  <si>
    <t>28.6.119</t>
  </si>
  <si>
    <t>TJRS.CLI-616</t>
  </si>
  <si>
    <t>DAMPER CORTA FOGO ACIONAMENTO POR TERMOFUSÍVEL E SOLENOIDE 220V COM CHAVE FIM DE CURSO (NA),450x350</t>
  </si>
  <si>
    <t>28.6.120</t>
  </si>
  <si>
    <t>TJRS.CLI-617</t>
  </si>
  <si>
    <t>DAMPER CORTA FOGO ACIONAMENTO POR TERMOFUSÍVEL E SOLENOIDE 220V COM CHAVE FIM DE CURSO (NA),450x400</t>
  </si>
  <si>
    <t>28.6.121</t>
  </si>
  <si>
    <t>TJRS.CLI-618</t>
  </si>
  <si>
    <t>DAMPER CORTA FOGO ACIONAMENTO POR TERMOFUSÍVEL E SOLENOIDE 220V COM CHAVE FIM DE CURSO (NA),500x350</t>
  </si>
  <si>
    <t>28.6.122</t>
  </si>
  <si>
    <t>TJRS.CLI-619</t>
  </si>
  <si>
    <t>DAMPER CORTA FOGO ACIONAMENTO POR TERMOFUSÍVEL E SOLENOIDE 220V COM CHAVE FIM DE CURSO (NA),500x400</t>
  </si>
  <si>
    <t>28.6.123</t>
  </si>
  <si>
    <t>TJRS.CLI-620</t>
  </si>
  <si>
    <t>DAMPER CORTA FOGO ACIONAMENTO POR TERMOFUSÍVEL E SOLENOIDE 220V COM CHAVE FIM DE CURSO (NA),550x400</t>
  </si>
  <si>
    <t>28.6.124</t>
  </si>
  <si>
    <t>TJRS.CLI-621</t>
  </si>
  <si>
    <t>DAMPER CORTA FOGO ACIONAMENTO POR TERMOFUSÍVEL E SOLENOIDE 220V COM CHAVE FIM DE CURSO (NA),600x350</t>
  </si>
  <si>
    <t>28.6.125</t>
  </si>
  <si>
    <t>TJRS.CLI-622</t>
  </si>
  <si>
    <t>DAMPER CORTA FOGO ACIONAMENTO POR TERMOFUSÍVEL E SOLENOIDE 220V COM CHAVE FIM DE CURSO (NA),600x400</t>
  </si>
  <si>
    <t>28.6.126</t>
  </si>
  <si>
    <t>TJRS.CLI-623</t>
  </si>
  <si>
    <t>DAMPER CORTA FOGO ACIONAMENTO POR TERMOFUSÍVEL E SOLENOIDE 220V COM CHAVE FIM DE CURSO (NA),600x600</t>
  </si>
  <si>
    <t>28.6.127</t>
  </si>
  <si>
    <t>TJRS.CLI-624</t>
  </si>
  <si>
    <t>DAMPER CORTA FOGO ACIONAMENTO POR TERMOFUSÍVEL E SOLENOIDE 220V COM CHAVE FIM DE CURSO (NA),650x400</t>
  </si>
  <si>
    <t>28.6.128</t>
  </si>
  <si>
    <t>TJRS.CLI-625</t>
  </si>
  <si>
    <t>DAMPER CORTA FOGO ACIONAMENTO POR TERMOFUSÍVEL E SOLENOIDE 220V COM CHAVE FIM DE CURSO (NA),650x600</t>
  </si>
  <si>
    <t>28.6.129</t>
  </si>
  <si>
    <t>TJRS.CLI-626</t>
  </si>
  <si>
    <t>DAMPER CORTA FOGO ACIONAMENTO POR TERMOFUSÍVEL E SOLENOIDE 220V COM CHAVE FIM DE CURSO (NA),650x650</t>
  </si>
  <si>
    <t>28.6.130</t>
  </si>
  <si>
    <t>TJRS.CLI-627</t>
  </si>
  <si>
    <t>DAMPER CORTA FOGO ACIONAMENTO POR TERMOFUSÍVEL E SOLENOIDE 220V COM CHAVE FIM DE CURSO (NA),700x350</t>
  </si>
  <si>
    <t>28.6.131</t>
  </si>
  <si>
    <t>TJRS.CLI-628</t>
  </si>
  <si>
    <t>DAMPER CORTA FOGO ACIONAMENTO POR TERMOFUSÍVEL E SOLENOIDE 220V COM CHAVE FIM DE CURSO (NA),700x400</t>
  </si>
  <si>
    <t>28.6.132</t>
  </si>
  <si>
    <t>TJRS.CLI-629</t>
  </si>
  <si>
    <t>DAMPER CORTA FOGO ACIONAMENTO POR TERMOFUSÍVEL E SOLENOIDE 220V COM CHAVE FIM DE CURSO (NA),750x400</t>
  </si>
  <si>
    <t>28.6.133</t>
  </si>
  <si>
    <t>TJRS.CLI-630</t>
  </si>
  <si>
    <t>DAMPER CORTA FOGO ACIONAMENTO POR TERMOFUSÍVEL E SOLENOIDE 220V COM CHAVE FIM DE CURSO (NA),800x400</t>
  </si>
  <si>
    <t>28.6.134</t>
  </si>
  <si>
    <t>TJRS.CLI-631</t>
  </si>
  <si>
    <t>DAMPER CORTA FOGO ACIONAMENTO POR TERMOFUSÍVEL E SOLENOIDE 220V COM CHAVE FIM DE CURSO (NA),900x400</t>
  </si>
  <si>
    <t>28.6.135</t>
  </si>
  <si>
    <t>TJRS.CLI-632</t>
  </si>
  <si>
    <t>DAMPER CORTA FOGO ACIONAMENTO POR TERMOFUSÍVEL E SOLENOIDE 220V COM CHAVE FIM DE CURSO (NA),1000x400</t>
  </si>
  <si>
    <t>28.6.136</t>
  </si>
  <si>
    <t>TJRS.CLI-633</t>
  </si>
  <si>
    <t>DAMPER CORTA FOGO ACIONAMENTO POR TERMOFUSÍVEL E SOLENOIDE 220V COM CHAVE FIM DE CURSO (NA),1150x400</t>
  </si>
  <si>
    <t>28.6.137</t>
  </si>
  <si>
    <t>TJRS.CLI-634</t>
  </si>
  <si>
    <t>DAMPER CORTA FOGO ACIONAMENTO POR TERMOFUSÍVEL E SOLENOIDE 220V COM CHAVE FIM DE CURSO (NA),1250x400</t>
  </si>
  <si>
    <t>28.6.138</t>
  </si>
  <si>
    <t>TJRS.CLI-635</t>
  </si>
  <si>
    <t>DAMPER CORTA FOGO ACIONAMENTO POR TERMOFUSÍVEL E SOLENOIDE 220V COM CHAVE FIM DE CURSO (NA),1500x400</t>
  </si>
  <si>
    <t>28.6.139</t>
  </si>
  <si>
    <t>TJRS.CLI-138</t>
  </si>
  <si>
    <t>JUNTA FLEXÍVEL EM LONA DE VINIL REFORÇADA (100MM)  COM CHAPA DE AÇO GALVANIZADA DE FIXAÇÃO (70MM) E CHAPA DE AÇO GALVANIZADO</t>
  </si>
  <si>
    <t>28.7</t>
  </si>
  <si>
    <t>CÂMARAS FRIAS</t>
  </si>
  <si>
    <t>28.7.1</t>
  </si>
  <si>
    <t>ISOLAMENTO DE CÂMARA FRIA EM PAINÉIS DE POLIISOCIANURATO TIPO R1 ESPESSURA 150 MM REVESTIDOS C/ CHAPAS DE AÇO PINTADAS EM AMBAS AS FACES</t>
  </si>
  <si>
    <t>28.7.2</t>
  </si>
  <si>
    <t>ISOLAMENTO DE CÂMARA FRIA EM PAINÉIS DE POLIISOCIANURATO TIPO R1 ESPESSURA 100 MM REVESTIDOS C/ CHAPAS DE AÇO PINTADAS EM AMBAS AS FACES</t>
  </si>
  <si>
    <t>28.7.3</t>
  </si>
  <si>
    <t>TJRS.CLI-457</t>
  </si>
  <si>
    <t>PORTAS GIRATÓRIAS DE 3 BATENTES COM CHAVE, SEM AQUECIMENTO E SOLEIRA METÁLICA</t>
  </si>
  <si>
    <t>28.7.4</t>
  </si>
  <si>
    <t>TJRS.CLI-458</t>
  </si>
  <si>
    <t>PORTAS GIRATÓRIAS DE 3 BATENTES COM CHAVE, AQUECIMENTO E SOLEIRA METÁLICA</t>
  </si>
  <si>
    <t>28.7.5</t>
  </si>
  <si>
    <t>TJRS.CLI-456</t>
  </si>
  <si>
    <t>CORTINA DE PVC PARA DIVISORIA DE LEITOS. FORNECIMENTO E INSTALACAO.</t>
  </si>
  <si>
    <t>28.7.6</t>
  </si>
  <si>
    <t xml:space="preserve"> 61.20.092 </t>
  </si>
  <si>
    <t>CORTINA DE AR COM DUAS VELOCIDADES, PARA VÃO DE 1,50 M</t>
  </si>
  <si>
    <t>28.7.7</t>
  </si>
  <si>
    <t>TJRS.CLI-636</t>
  </si>
  <si>
    <t>CONJUNTO EVAPORADOR E CONDENSADOR PARA CÂMARA FRIA DE RESFRIADOS  - CAPACIDADE: 2500 Kcal/h</t>
  </si>
  <si>
    <t>28.7.8</t>
  </si>
  <si>
    <t>TJRS.CLI-637</t>
  </si>
  <si>
    <t>CONJUNTO EVAPORADOR E CONDENSADOR PARA CÂMARA FRIA DE CONGELADOS  - CAPACIDADE: 4500 Kcal/h</t>
  </si>
  <si>
    <t>28.9</t>
  </si>
  <si>
    <t>SERVIÇOS GERAIS</t>
  </si>
  <si>
    <t>28.9.1</t>
  </si>
  <si>
    <t>TJRS.CLI-400</t>
  </si>
  <si>
    <t>COMISSIONAMENTO, START-UP, TESTES E REGULAGENS DAS INSTALAÇÕES</t>
  </si>
  <si>
    <t>HORA</t>
  </si>
  <si>
    <t>LIMPEZA FINAL DE OBRA E DOCUMENTAÇÃO DE ENTREGA</t>
  </si>
  <si>
    <t>29.1</t>
  </si>
  <si>
    <t>100981</t>
  </si>
  <si>
    <t>CARGA, MANOBRA E DESCARGA DE ENTULHO EM CAMINHÃO BASCULANTE 6 M³ - CARGA COM ESCAVADEIRA HIDRÁULICA (CAÇAMBA DE 0,80 M³ / 111 HP) E DESCARGA LIVRE (UNIDADE: M3). AF_07/2020</t>
  </si>
  <si>
    <t>29.2</t>
  </si>
  <si>
    <t>97914</t>
  </si>
  <si>
    <t>TRANSPORTE COM CAMINHÃO BASCULANTE DE 6 M³, EM VIA URBANA PAVIMENTADA, DMT ATÉ 30 KM (UNIDADE: M3XKM). AF_07/2020</t>
  </si>
  <si>
    <t>M3XKM</t>
  </si>
  <si>
    <t>29.3</t>
  </si>
  <si>
    <t>DESMONTAGEM DE TAPUME COM TELHA METÁLICA</t>
  </si>
  <si>
    <t>29.4</t>
  </si>
  <si>
    <t>CPU-PPR-H</t>
  </si>
  <si>
    <t>EQUIPE DE COMISSIONAMENTO E RECEBIMENTO DA OBRA</t>
  </si>
  <si>
    <t>29.5</t>
  </si>
  <si>
    <t>COM-11743273</t>
  </si>
  <si>
    <t>EQUIPE PARA ELAOBRAÇÃO DE ASBUILT E DATA BOOK</t>
  </si>
  <si>
    <t>29.6</t>
  </si>
  <si>
    <t>29.7</t>
  </si>
  <si>
    <t>2220077</t>
  </si>
  <si>
    <t>LIMPEZA FINAL DE OBRA. INC_05/2019</t>
  </si>
  <si>
    <t>TOTAL ORÇAMENTO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</si>
</sst>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quot;R$ &quot;#,##0.00"/>
    <numFmt numFmtId="165" formatCode="&quot;R$&quot;\ #,##0.00"/>
  </numFmts>
  <fonts count="36" x14ac:knownFonts="1">
    <font>
      <sz val="11"/>
      <color theme="1"/>
      <name val="Aptos Narrow"/>
      <family val="2"/>
      <scheme val="minor"/>
    </font>
    <font>
      <sz val="11"/>
      <color theme="1"/>
      <name val="Aptos Narrow"/>
      <family val="2"/>
      <scheme val="minor"/>
    </font>
    <font>
      <sz val="10"/>
      <name val="Arial"/>
      <family val="2"/>
    </font>
    <font>
      <b/>
      <sz val="6"/>
      <name val="Arial Narrow"/>
      <family val="2"/>
      <charset val="1"/>
    </font>
    <font>
      <b/>
      <sz val="6"/>
      <color rgb="FFFF0000"/>
      <name val="Arial Narrow"/>
      <family val="2"/>
      <charset val="1"/>
    </font>
    <font>
      <sz val="6"/>
      <name val="Arial Narrow"/>
      <family val="2"/>
      <charset val="1"/>
    </font>
    <font>
      <b/>
      <sz val="8"/>
      <name val="Arial Narrow"/>
      <family val="2"/>
      <charset val="1"/>
    </font>
    <font>
      <b/>
      <sz val="16"/>
      <name val="Arial Narrow"/>
      <family val="2"/>
      <charset val="1"/>
    </font>
    <font>
      <sz val="14"/>
      <name val="Arial Narrow"/>
      <family val="2"/>
      <charset val="1"/>
    </font>
    <font>
      <i/>
      <sz val="13"/>
      <name val="Arial Narrow"/>
      <family val="2"/>
      <charset val="1"/>
    </font>
    <font>
      <b/>
      <sz val="13"/>
      <name val="Arial Narrow"/>
      <family val="2"/>
      <charset val="1"/>
    </font>
    <font>
      <sz val="10"/>
      <name val="Arial Narrow"/>
      <family val="2"/>
    </font>
    <font>
      <i/>
      <sz val="14"/>
      <name val="Arial Narrow"/>
      <family val="2"/>
      <charset val="1"/>
    </font>
    <font>
      <sz val="13"/>
      <name val="Arial Narrow"/>
      <family val="2"/>
      <charset val="1"/>
    </font>
    <font>
      <b/>
      <i/>
      <sz val="14"/>
      <name val="Arial Narrow"/>
      <family val="2"/>
      <charset val="1"/>
    </font>
    <font>
      <sz val="10"/>
      <name val="Arial Narrow"/>
      <family val="2"/>
      <charset val="1"/>
    </font>
    <font>
      <b/>
      <sz val="10"/>
      <name val="Arial"/>
      <family val="2"/>
    </font>
    <font>
      <i/>
      <sz val="12"/>
      <name val="Arial Narrow"/>
      <family val="2"/>
      <charset val="1"/>
    </font>
    <font>
      <b/>
      <sz val="12"/>
      <name val="Arial Narrow"/>
      <family val="2"/>
      <charset val="1"/>
    </font>
    <font>
      <sz val="12"/>
      <name val="Arial Narrow"/>
      <family val="2"/>
      <charset val="1"/>
    </font>
    <font>
      <b/>
      <sz val="8"/>
      <color rgb="FFFF0000"/>
      <name val="Arial Narrow"/>
      <family val="2"/>
      <charset val="1"/>
    </font>
    <font>
      <b/>
      <sz val="12"/>
      <color theme="0"/>
      <name val="Arial"/>
      <family val="2"/>
    </font>
    <font>
      <i/>
      <sz val="6"/>
      <name val="Arial Narrow"/>
      <family val="2"/>
      <charset val="1"/>
    </font>
    <font>
      <i/>
      <sz val="6"/>
      <color rgb="FFFF0000"/>
      <name val="Arial Narrow"/>
      <family val="2"/>
      <charset val="1"/>
    </font>
    <font>
      <b/>
      <i/>
      <sz val="6"/>
      <name val="Arial Narrow"/>
      <family val="2"/>
      <charset val="1"/>
    </font>
    <font>
      <b/>
      <sz val="10"/>
      <color rgb="FFFFFFFF"/>
      <name val="Arial Narrow"/>
      <family val="2"/>
      <charset val="1"/>
    </font>
    <font>
      <sz val="12"/>
      <name val="Arial"/>
      <family val="2"/>
      <charset val="1"/>
    </font>
    <font>
      <sz val="6"/>
      <name val="Arial"/>
      <family val="2"/>
      <charset val="1"/>
    </font>
    <font>
      <sz val="10"/>
      <color rgb="FFFFFFFF"/>
      <name val="Arial Narrow"/>
      <family val="2"/>
      <charset val="1"/>
    </font>
    <font>
      <sz val="10"/>
      <color rgb="FFFFFFFF"/>
      <name val="Arial"/>
      <family val="2"/>
      <charset val="1"/>
    </font>
    <font>
      <sz val="10"/>
      <color rgb="FFFF0000"/>
      <name val="Arial"/>
      <family val="2"/>
      <charset val="1"/>
    </font>
    <font>
      <sz val="10"/>
      <name val="Arial"/>
      <family val="2"/>
      <charset val="1"/>
    </font>
    <font>
      <b/>
      <sz val="10"/>
      <name val="Arial Narrow"/>
      <family val="2"/>
      <charset val="1"/>
    </font>
    <font>
      <sz val="10"/>
      <color theme="1"/>
      <name val="Arial Narrow"/>
      <family val="2"/>
    </font>
    <font>
      <b/>
      <sz val="10"/>
      <name val="Arial"/>
      <family val="2"/>
      <charset val="1"/>
    </font>
    <font>
      <b/>
      <sz val="12"/>
      <color rgb="FFFFFFFF"/>
      <name val="Arial Narrow"/>
      <family val="2"/>
      <charset val="1"/>
    </font>
  </fonts>
  <fills count="8">
    <fill>
      <patternFill patternType="none"/>
    </fill>
    <fill>
      <patternFill patternType="gray125"/>
    </fill>
    <fill>
      <patternFill patternType="solid">
        <fgColor rgb="FFFFFFFF"/>
        <bgColor rgb="FFFFFFCC"/>
      </patternFill>
    </fill>
    <fill>
      <patternFill patternType="solid">
        <fgColor rgb="FF002060"/>
        <bgColor indexed="64"/>
      </patternFill>
    </fill>
    <fill>
      <patternFill patternType="solid">
        <fgColor rgb="FF333333"/>
        <bgColor rgb="FF203864"/>
      </patternFill>
    </fill>
    <fill>
      <patternFill patternType="solid">
        <fgColor rgb="FF203864"/>
        <bgColor rgb="FF003366"/>
      </patternFill>
    </fill>
    <fill>
      <patternFill patternType="solid">
        <fgColor theme="0" tint="-0.14999847407452621"/>
        <bgColor indexed="64"/>
      </patternFill>
    </fill>
    <fill>
      <patternFill patternType="solid">
        <fgColor rgb="FF000000"/>
        <bgColor rgb="FF003300"/>
      </patternFill>
    </fill>
  </fills>
  <borders count="19">
    <border>
      <left/>
      <right/>
      <top/>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indexed="64"/>
      </right>
      <top/>
      <bottom style="medium">
        <color indexed="64"/>
      </bottom>
      <diagonal/>
    </border>
    <border>
      <left/>
      <right/>
      <top/>
      <bottom style="thin">
        <color auto="1"/>
      </bottom>
      <diagonal/>
    </border>
    <border>
      <left style="medium">
        <color auto="1"/>
      </left>
      <right style="thin">
        <color rgb="FFFFFFFF"/>
      </right>
      <top style="thin">
        <color auto="1"/>
      </top>
      <bottom/>
      <diagonal/>
    </border>
    <border>
      <left style="thin">
        <color rgb="FFFFFFFF"/>
      </left>
      <right style="thin">
        <color rgb="FFFFFFFF"/>
      </right>
      <top style="thin">
        <color auto="1"/>
      </top>
      <bottom/>
      <diagonal/>
    </border>
    <border>
      <left style="thin">
        <color rgb="FFFFFFFF"/>
      </left>
      <right style="thin">
        <color rgb="FFFFFFFF"/>
      </right>
      <top style="thin">
        <color auto="1"/>
      </top>
      <bottom style="thin">
        <color rgb="FFFFFFFF"/>
      </bottom>
      <diagonal/>
    </border>
    <border>
      <left style="medium">
        <color auto="1"/>
      </left>
      <right style="thin">
        <color rgb="FFFFFFFF"/>
      </right>
      <top/>
      <bottom style="thin">
        <color rgb="FF777777"/>
      </bottom>
      <diagonal/>
    </border>
    <border>
      <left style="thin">
        <color rgb="FFFFFFFF"/>
      </left>
      <right style="thin">
        <color rgb="FFFFFFFF"/>
      </right>
      <top/>
      <bottom style="thin">
        <color rgb="FF777777"/>
      </bottom>
      <diagonal/>
    </border>
    <border>
      <left style="thin">
        <color rgb="FFFFFFFF"/>
      </left>
      <right style="thin">
        <color rgb="FFFFFFFF"/>
      </right>
      <top/>
      <bottom/>
      <diagonal/>
    </border>
    <border>
      <left/>
      <right/>
      <top style="thin">
        <color rgb="FF777777"/>
      </top>
      <bottom style="thin">
        <color rgb="FF777777"/>
      </bottom>
      <diagonal/>
    </border>
    <border>
      <left/>
      <right/>
      <top style="thin">
        <color rgb="FF777777"/>
      </top>
      <bottom/>
      <diagonal/>
    </border>
    <border>
      <left style="thin">
        <color auto="1"/>
      </left>
      <right style="thin">
        <color auto="1"/>
      </right>
      <top style="thin">
        <color auto="1"/>
      </top>
      <bottom style="thin">
        <color auto="1"/>
      </bottom>
      <diagonal/>
    </border>
    <border>
      <left style="thin">
        <color auto="1"/>
      </left>
      <right/>
      <top/>
      <bottom style="medium">
        <color auto="1"/>
      </bottom>
      <diagonal/>
    </border>
    <border>
      <left style="thin">
        <color auto="1"/>
      </left>
      <right style="thin">
        <color auto="1"/>
      </right>
      <top/>
      <bottom style="medium">
        <color auto="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cellStyleXfs>
  <cellXfs count="132">
    <xf numFmtId="0" fontId="0" fillId="0" borderId="0" xfId="0"/>
    <xf numFmtId="0" fontId="3" fillId="0" borderId="0" xfId="3" applyFont="1" applyAlignment="1">
      <alignment horizontal="center" vertical="center" wrapText="1"/>
    </xf>
    <xf numFmtId="0" fontId="4" fillId="0" borderId="0" xfId="3" applyFont="1" applyAlignment="1">
      <alignment horizontal="center" vertical="center"/>
    </xf>
    <xf numFmtId="0" fontId="3" fillId="0" borderId="0" xfId="3" applyFont="1" applyAlignment="1">
      <alignment horizontal="left" vertical="center"/>
    </xf>
    <xf numFmtId="4" fontId="3" fillId="0" borderId="0" xfId="3" applyNumberFormat="1" applyFont="1" applyAlignment="1">
      <alignment horizontal="center" vertical="center" wrapText="1"/>
    </xf>
    <xf numFmtId="43" fontId="3" fillId="0" borderId="0" xfId="1" applyFont="1" applyAlignment="1">
      <alignment horizontal="right" vertical="center"/>
    </xf>
    <xf numFmtId="2" fontId="3" fillId="0" borderId="0" xfId="3" applyNumberFormat="1" applyFont="1" applyAlignment="1">
      <alignment horizontal="right" vertical="center" wrapText="1"/>
    </xf>
    <xf numFmtId="164" fontId="3" fillId="0" borderId="0" xfId="3" applyNumberFormat="1" applyFont="1" applyAlignment="1">
      <alignment horizontal="center" vertical="center" wrapText="1"/>
    </xf>
    <xf numFmtId="10" fontId="3" fillId="0" borderId="0" xfId="2" applyNumberFormat="1" applyFont="1" applyAlignment="1">
      <alignment horizontal="center" vertical="center" wrapText="1"/>
    </xf>
    <xf numFmtId="0" fontId="5" fillId="0" borderId="0" xfId="3" applyFont="1" applyAlignment="1">
      <alignment vertical="center" wrapText="1"/>
    </xf>
    <xf numFmtId="0" fontId="6" fillId="0" borderId="0" xfId="3" applyFont="1" applyAlignment="1">
      <alignment horizontal="center" vertical="center" wrapText="1"/>
    </xf>
    <xf numFmtId="0" fontId="7" fillId="0" borderId="0" xfId="3" applyFont="1" applyAlignment="1">
      <alignment horizontal="left" vertical="center"/>
    </xf>
    <xf numFmtId="0" fontId="8" fillId="0" borderId="0" xfId="3" applyFont="1" applyAlignment="1">
      <alignment horizontal="left" vertical="center"/>
    </xf>
    <xf numFmtId="0" fontId="8" fillId="0" borderId="0" xfId="3" applyFont="1" applyAlignment="1">
      <alignment vertical="center" wrapText="1"/>
    </xf>
    <xf numFmtId="43" fontId="9" fillId="0" borderId="0" xfId="1" applyFont="1" applyAlignment="1">
      <alignment horizontal="right" vertical="center"/>
    </xf>
    <xf numFmtId="4" fontId="10" fillId="0" borderId="1" xfId="3" applyNumberFormat="1" applyFont="1" applyBorder="1" applyAlignment="1">
      <alignment vertical="center"/>
    </xf>
    <xf numFmtId="4" fontId="10" fillId="0" borderId="2" xfId="3" applyNumberFormat="1" applyFont="1" applyBorder="1" applyAlignment="1">
      <alignment vertical="center"/>
    </xf>
    <xf numFmtId="4" fontId="10" fillId="0" borderId="2" xfId="3" applyNumberFormat="1" applyFont="1" applyBorder="1" applyAlignment="1">
      <alignment horizontal="center" vertical="center"/>
    </xf>
    <xf numFmtId="4" fontId="10" fillId="0" borderId="3" xfId="3" applyNumberFormat="1" applyFont="1" applyBorder="1" applyAlignment="1">
      <alignment horizontal="center" vertical="center"/>
    </xf>
    <xf numFmtId="10" fontId="11" fillId="0" borderId="0" xfId="2" applyNumberFormat="1" applyFont="1" applyAlignment="1">
      <alignment vertical="center"/>
    </xf>
    <xf numFmtId="10" fontId="10" fillId="0" borderId="0" xfId="2" applyNumberFormat="1" applyFont="1" applyAlignment="1">
      <alignment horizontal="center" vertical="center"/>
    </xf>
    <xf numFmtId="4" fontId="12" fillId="0" borderId="0" xfId="3" applyNumberFormat="1" applyFont="1" applyAlignment="1">
      <alignment horizontal="left" vertical="center" wrapText="1"/>
    </xf>
    <xf numFmtId="43" fontId="13" fillId="0" borderId="0" xfId="1" applyFont="1" applyAlignment="1">
      <alignment horizontal="right" vertical="center"/>
    </xf>
    <xf numFmtId="0" fontId="8" fillId="0" borderId="4" xfId="3" applyFont="1" applyBorder="1" applyAlignment="1">
      <alignment vertical="center" wrapText="1"/>
    </xf>
    <xf numFmtId="0" fontId="8" fillId="0" borderId="5" xfId="3" applyFont="1" applyBorder="1" applyAlignment="1">
      <alignment vertical="center" wrapText="1"/>
    </xf>
    <xf numFmtId="4" fontId="10" fillId="0" borderId="5" xfId="3" applyNumberFormat="1" applyFont="1" applyBorder="1" applyAlignment="1">
      <alignment horizontal="center" vertical="center"/>
    </xf>
    <xf numFmtId="4" fontId="10" fillId="0" borderId="6" xfId="3" applyNumberFormat="1" applyFont="1" applyBorder="1" applyAlignment="1">
      <alignment horizontal="center" vertical="center"/>
    </xf>
    <xf numFmtId="10" fontId="14" fillId="0" borderId="0" xfId="2" applyNumberFormat="1" applyFont="1" applyAlignment="1">
      <alignment horizontal="center" vertical="center"/>
    </xf>
    <xf numFmtId="2" fontId="15" fillId="0" borderId="0" xfId="1" applyNumberFormat="1" applyFont="1" applyAlignment="1">
      <alignment horizontal="right" vertical="center" wrapText="1"/>
    </xf>
    <xf numFmtId="4" fontId="9" fillId="0" borderId="0" xfId="3" applyNumberFormat="1" applyFont="1" applyAlignment="1">
      <alignment horizontal="left" vertical="center"/>
    </xf>
    <xf numFmtId="4" fontId="9" fillId="0" borderId="0" xfId="3" applyNumberFormat="1" applyFont="1" applyAlignment="1">
      <alignment horizontal="right" vertical="center" wrapText="1"/>
    </xf>
    <xf numFmtId="4" fontId="13" fillId="0" borderId="0" xfId="3" applyNumberFormat="1" applyFont="1" applyAlignment="1">
      <alignment horizontal="center" vertical="center" wrapText="1"/>
    </xf>
    <xf numFmtId="4" fontId="14" fillId="0" borderId="4" xfId="3" applyNumberFormat="1" applyFont="1" applyBorder="1" applyAlignment="1">
      <alignment horizontal="left" vertical="center"/>
    </xf>
    <xf numFmtId="165" fontId="14" fillId="0" borderId="6" xfId="1" applyNumberFormat="1" applyFont="1" applyBorder="1" applyAlignment="1">
      <alignment horizontal="center" vertical="center"/>
    </xf>
    <xf numFmtId="164" fontId="14" fillId="0" borderId="0" xfId="3" applyNumberFormat="1" applyFont="1" applyAlignment="1">
      <alignment horizontal="center" vertical="center"/>
    </xf>
    <xf numFmtId="0" fontId="8" fillId="2" borderId="0" xfId="3" applyFont="1" applyFill="1" applyAlignment="1">
      <alignment vertical="center" wrapText="1"/>
    </xf>
    <xf numFmtId="0" fontId="6" fillId="0" borderId="0" xfId="3" applyFont="1" applyAlignment="1">
      <alignment horizontal="left" vertical="center"/>
    </xf>
    <xf numFmtId="4" fontId="14" fillId="0" borderId="0" xfId="3" applyNumberFormat="1" applyFont="1" applyAlignment="1">
      <alignment horizontal="left" vertical="center"/>
    </xf>
    <xf numFmtId="165" fontId="14" fillId="0" borderId="0" xfId="1" applyNumberFormat="1" applyFont="1" applyAlignment="1">
      <alignment horizontal="center" vertical="center"/>
    </xf>
    <xf numFmtId="4" fontId="16" fillId="0" borderId="0" xfId="3" applyNumberFormat="1" applyFont="1" applyAlignment="1">
      <alignment horizontal="right" vertical="center"/>
    </xf>
    <xf numFmtId="4" fontId="16" fillId="0" borderId="0" xfId="3" applyNumberFormat="1" applyFont="1" applyAlignment="1">
      <alignment horizontal="left" vertical="center"/>
    </xf>
    <xf numFmtId="4" fontId="12" fillId="0" borderId="0" xfId="3" applyNumberFormat="1" applyFont="1" applyAlignment="1">
      <alignment horizontal="center" vertical="center" wrapText="1"/>
    </xf>
    <xf numFmtId="2" fontId="17" fillId="0" borderId="0" xfId="3" applyNumberFormat="1" applyFont="1" applyAlignment="1">
      <alignment horizontal="right" vertical="center" wrapText="1"/>
    </xf>
    <xf numFmtId="1" fontId="17" fillId="0" borderId="0" xfId="3" applyNumberFormat="1" applyFont="1" applyAlignment="1">
      <alignment horizontal="left" vertical="center" wrapText="1"/>
    </xf>
    <xf numFmtId="0" fontId="18" fillId="0" borderId="0" xfId="3" applyFont="1" applyAlignment="1">
      <alignment vertical="center" wrapText="1"/>
    </xf>
    <xf numFmtId="0" fontId="19" fillId="0" borderId="0" xfId="3" applyFont="1" applyAlignment="1">
      <alignment vertical="center" wrapText="1"/>
    </xf>
    <xf numFmtId="0" fontId="17" fillId="0" borderId="0" xfId="3" applyFont="1" applyAlignment="1">
      <alignment horizontal="right" vertical="center" wrapText="1"/>
    </xf>
    <xf numFmtId="10" fontId="17" fillId="0" borderId="0" xfId="3" applyNumberFormat="1" applyFont="1" applyAlignment="1">
      <alignment horizontal="left" vertical="center" wrapText="1"/>
    </xf>
    <xf numFmtId="0" fontId="17" fillId="0" borderId="0" xfId="3" applyFont="1" applyAlignment="1">
      <alignment horizontal="right" vertical="center"/>
    </xf>
    <xf numFmtId="0" fontId="17" fillId="0" borderId="0" xfId="3" applyFont="1" applyAlignment="1">
      <alignment horizontal="left" vertical="center" wrapText="1"/>
    </xf>
    <xf numFmtId="0" fontId="16" fillId="0" borderId="0" xfId="3" applyFont="1" applyAlignment="1">
      <alignment horizontal="left" vertical="center"/>
    </xf>
    <xf numFmtId="17" fontId="17" fillId="0" borderId="0" xfId="3" applyNumberFormat="1" applyFont="1" applyAlignment="1">
      <alignment horizontal="left" vertical="center" wrapText="1"/>
    </xf>
    <xf numFmtId="4" fontId="17" fillId="0" borderId="0" xfId="3" applyNumberFormat="1" applyFont="1" applyAlignment="1">
      <alignment horizontal="right" vertical="center" wrapText="1"/>
    </xf>
    <xf numFmtId="4" fontId="17" fillId="0" borderId="0" xfId="3" applyNumberFormat="1" applyFont="1" applyAlignment="1">
      <alignment vertical="center" wrapText="1"/>
    </xf>
    <xf numFmtId="0" fontId="20" fillId="0" borderId="0" xfId="3" applyFont="1" applyAlignment="1">
      <alignment horizontal="center" vertical="center"/>
    </xf>
    <xf numFmtId="0" fontId="21" fillId="3" borderId="0" xfId="3" applyFont="1" applyFill="1" applyAlignment="1">
      <alignment horizontal="center" vertical="center" wrapText="1"/>
    </xf>
    <xf numFmtId="0" fontId="22" fillId="0" borderId="7" xfId="3" applyFont="1" applyBorder="1" applyAlignment="1">
      <alignment horizontal="center" vertical="center" wrapText="1"/>
    </xf>
    <xf numFmtId="0" fontId="23" fillId="0" borderId="7" xfId="3" applyFont="1" applyBorder="1" applyAlignment="1">
      <alignment horizontal="center" vertical="center"/>
    </xf>
    <xf numFmtId="0" fontId="22" fillId="0" borderId="7" xfId="3" applyFont="1" applyBorder="1" applyAlignment="1">
      <alignment horizontal="left" vertical="center"/>
    </xf>
    <xf numFmtId="4" fontId="22" fillId="0" borderId="7" xfId="3" applyNumberFormat="1" applyFont="1" applyBorder="1" applyAlignment="1">
      <alignment horizontal="left" vertical="center" wrapText="1"/>
    </xf>
    <xf numFmtId="4" fontId="22" fillId="0" borderId="7" xfId="3" applyNumberFormat="1" applyFont="1" applyBorder="1" applyAlignment="1">
      <alignment horizontal="center" vertical="center" wrapText="1"/>
    </xf>
    <xf numFmtId="43" fontId="22" fillId="0" borderId="7" xfId="1" applyFont="1" applyBorder="1" applyAlignment="1">
      <alignment horizontal="right" vertical="center"/>
    </xf>
    <xf numFmtId="2" fontId="22" fillId="0" borderId="7" xfId="3" applyNumberFormat="1" applyFont="1" applyBorder="1" applyAlignment="1">
      <alignment horizontal="right" vertical="center" wrapText="1"/>
    </xf>
    <xf numFmtId="4" fontId="24" fillId="0" borderId="7" xfId="3" applyNumberFormat="1" applyFont="1" applyBorder="1" applyAlignment="1">
      <alignment horizontal="right" vertical="center" wrapText="1"/>
    </xf>
    <xf numFmtId="4" fontId="22" fillId="0" borderId="7" xfId="3" applyNumberFormat="1" applyFont="1" applyBorder="1" applyAlignment="1">
      <alignment horizontal="right" vertical="center" wrapText="1"/>
    </xf>
    <xf numFmtId="10" fontId="22" fillId="0" borderId="7" xfId="2" applyNumberFormat="1" applyFont="1" applyBorder="1" applyAlignment="1">
      <alignment horizontal="right" vertical="center" wrapText="1"/>
    </xf>
    <xf numFmtId="0" fontId="25" fillId="4" borderId="8" xfId="3" applyFont="1" applyFill="1" applyBorder="1" applyAlignment="1">
      <alignment horizontal="center" vertical="center" wrapText="1"/>
    </xf>
    <xf numFmtId="0" fontId="25" fillId="4" borderId="9" xfId="3" applyFont="1" applyFill="1" applyBorder="1" applyAlignment="1">
      <alignment horizontal="center" vertical="center"/>
    </xf>
    <xf numFmtId="0" fontId="25" fillId="4" borderId="9" xfId="3" applyFont="1" applyFill="1" applyBorder="1" applyAlignment="1">
      <alignment horizontal="center" vertical="center" wrapText="1"/>
    </xf>
    <xf numFmtId="0" fontId="25" fillId="4" borderId="9" xfId="3" applyFont="1" applyFill="1" applyBorder="1" applyAlignment="1">
      <alignment horizontal="center" vertical="center" wrapText="1"/>
    </xf>
    <xf numFmtId="4" fontId="25" fillId="4" borderId="9" xfId="3" applyNumberFormat="1" applyFont="1" applyFill="1" applyBorder="1" applyAlignment="1">
      <alignment horizontal="center" vertical="center" wrapText="1"/>
    </xf>
    <xf numFmtId="43" fontId="25" fillId="4" borderId="9" xfId="1" applyFont="1" applyFill="1" applyBorder="1" applyAlignment="1">
      <alignment horizontal="center" vertical="center"/>
    </xf>
    <xf numFmtId="4" fontId="25" fillId="4" borderId="10" xfId="3" applyNumberFormat="1" applyFont="1" applyFill="1" applyBorder="1" applyAlignment="1">
      <alignment horizontal="center" vertical="center" wrapText="1"/>
    </xf>
    <xf numFmtId="0" fontId="26" fillId="0" borderId="0" xfId="3" applyFont="1" applyAlignment="1">
      <alignment vertical="center" wrapText="1"/>
    </xf>
    <xf numFmtId="0" fontId="25" fillId="4" borderId="11" xfId="3" applyFont="1" applyFill="1" applyBorder="1" applyAlignment="1">
      <alignment horizontal="center" vertical="center" wrapText="1"/>
    </xf>
    <xf numFmtId="0" fontId="25" fillId="4" borderId="12" xfId="3" applyFont="1" applyFill="1" applyBorder="1" applyAlignment="1">
      <alignment horizontal="center" vertical="center"/>
    </xf>
    <xf numFmtId="0" fontId="25" fillId="4" borderId="12" xfId="3" applyFont="1" applyFill="1" applyBorder="1" applyAlignment="1">
      <alignment horizontal="center" vertical="center" wrapText="1"/>
    </xf>
    <xf numFmtId="0" fontId="25" fillId="4" borderId="13" xfId="3" applyFont="1" applyFill="1" applyBorder="1" applyAlignment="1">
      <alignment vertical="center" wrapText="1"/>
    </xf>
    <xf numFmtId="4" fontId="25" fillId="4" borderId="13" xfId="3" applyNumberFormat="1" applyFont="1" applyFill="1" applyBorder="1" applyAlignment="1">
      <alignment horizontal="center" vertical="center" wrapText="1"/>
    </xf>
    <xf numFmtId="43" fontId="25" fillId="4" borderId="13" xfId="1" applyFont="1" applyFill="1" applyBorder="1" applyAlignment="1">
      <alignment vertical="center"/>
    </xf>
    <xf numFmtId="2" fontId="25" fillId="4" borderId="13" xfId="3" applyNumberFormat="1" applyFont="1" applyFill="1" applyBorder="1" applyAlignment="1">
      <alignment horizontal="center" vertical="center" wrapText="1"/>
    </xf>
    <xf numFmtId="0" fontId="27" fillId="0" borderId="0" xfId="3" applyFont="1" applyAlignment="1">
      <alignment vertical="center" wrapText="1"/>
    </xf>
    <xf numFmtId="0" fontId="25" fillId="5" borderId="14" xfId="3" applyFont="1" applyFill="1" applyBorder="1" applyAlignment="1">
      <alignment horizontal="center" vertical="center" wrapText="1"/>
    </xf>
    <xf numFmtId="0" fontId="25" fillId="5" borderId="14" xfId="3" applyFont="1" applyFill="1" applyBorder="1" applyAlignment="1">
      <alignment horizontal="left" vertical="center"/>
    </xf>
    <xf numFmtId="0" fontId="25" fillId="5" borderId="14" xfId="3" applyFont="1" applyFill="1" applyBorder="1" applyAlignment="1">
      <alignment horizontal="left" vertical="center" wrapText="1"/>
    </xf>
    <xf numFmtId="4" fontId="28" fillId="5" borderId="15" xfId="3" applyNumberFormat="1" applyFont="1" applyFill="1" applyBorder="1" applyAlignment="1">
      <alignment horizontal="center" vertical="center" wrapText="1"/>
    </xf>
    <xf numFmtId="4" fontId="28" fillId="5" borderId="15" xfId="1" applyNumberFormat="1" applyFont="1" applyFill="1" applyBorder="1" applyAlignment="1">
      <alignment horizontal="right" vertical="center"/>
    </xf>
    <xf numFmtId="4" fontId="25" fillId="5" borderId="15" xfId="1" applyNumberFormat="1" applyFont="1" applyFill="1" applyBorder="1" applyAlignment="1">
      <alignment horizontal="right" vertical="center" wrapText="1"/>
    </xf>
    <xf numFmtId="4" fontId="28" fillId="5" borderId="15" xfId="1" applyNumberFormat="1" applyFont="1" applyFill="1" applyBorder="1" applyAlignment="1">
      <alignment horizontal="center" vertical="center" wrapText="1"/>
    </xf>
    <xf numFmtId="0" fontId="29" fillId="0" borderId="0" xfId="3" applyFont="1" applyAlignment="1">
      <alignment vertical="center" wrapText="1"/>
    </xf>
    <xf numFmtId="0" fontId="15" fillId="0" borderId="16" xfId="3" applyFont="1" applyBorder="1" applyAlignment="1">
      <alignment horizontal="center" vertical="center" wrapText="1"/>
    </xf>
    <xf numFmtId="0" fontId="15" fillId="0" borderId="16" xfId="3" applyFont="1" applyBorder="1" applyAlignment="1">
      <alignment horizontal="left" vertical="center"/>
    </xf>
    <xf numFmtId="0" fontId="11" fillId="0" borderId="16" xfId="3" applyFont="1" applyBorder="1" applyAlignment="1">
      <alignment horizontal="left" vertical="center" wrapText="1"/>
    </xf>
    <xf numFmtId="3" fontId="15" fillId="6" borderId="16" xfId="3" applyNumberFormat="1" applyFont="1" applyFill="1" applyBorder="1" applyAlignment="1">
      <alignment horizontal="center" vertical="center" wrapText="1"/>
    </xf>
    <xf numFmtId="4" fontId="15" fillId="0" borderId="16" xfId="1" applyNumberFormat="1" applyFont="1" applyBorder="1" applyAlignment="1">
      <alignment horizontal="right" vertical="center" wrapText="1"/>
    </xf>
    <xf numFmtId="4" fontId="15" fillId="0" borderId="16" xfId="1" applyNumberFormat="1" applyFont="1" applyBorder="1" applyAlignment="1">
      <alignment vertical="center" wrapText="1"/>
    </xf>
    <xf numFmtId="10" fontId="15" fillId="0" borderId="16" xfId="1" applyNumberFormat="1" applyFont="1" applyBorder="1" applyAlignment="1">
      <alignment vertical="center" wrapText="1"/>
    </xf>
    <xf numFmtId="0" fontId="30" fillId="0" borderId="0" xfId="3" applyFont="1" applyAlignment="1">
      <alignment horizontal="left" vertical="center"/>
    </xf>
    <xf numFmtId="0" fontId="15" fillId="0" borderId="16" xfId="3" applyFont="1" applyBorder="1" applyAlignment="1">
      <alignment horizontal="left" vertical="center" wrapText="1"/>
    </xf>
    <xf numFmtId="43" fontId="1" fillId="0" borderId="16" xfId="1" applyBorder="1"/>
    <xf numFmtId="43" fontId="1" fillId="0" borderId="16" xfId="1" applyBorder="1" applyAlignment="1">
      <alignment vertical="center"/>
    </xf>
    <xf numFmtId="4" fontId="28" fillId="5" borderId="0" xfId="1" applyNumberFormat="1" applyFont="1" applyFill="1" applyAlignment="1">
      <alignment horizontal="right" vertical="center"/>
    </xf>
    <xf numFmtId="0" fontId="15" fillId="0" borderId="16" xfId="3" applyFont="1" applyBorder="1" applyAlignment="1">
      <alignment horizontal="center" vertical="center"/>
    </xf>
    <xf numFmtId="0" fontId="11" fillId="0" borderId="16" xfId="3" applyFont="1" applyBorder="1" applyAlignment="1">
      <alignment horizontal="left" vertical="center"/>
    </xf>
    <xf numFmtId="4" fontId="15" fillId="0" borderId="16" xfId="1" applyNumberFormat="1" applyFont="1" applyBorder="1" applyAlignment="1">
      <alignment horizontal="right" vertical="center"/>
    </xf>
    <xf numFmtId="4" fontId="15" fillId="0" borderId="16" xfId="1" applyNumberFormat="1" applyFont="1" applyBorder="1" applyAlignment="1">
      <alignment vertical="center"/>
    </xf>
    <xf numFmtId="0" fontId="31" fillId="0" borderId="0" xfId="3" applyFont="1" applyAlignment="1">
      <alignment vertical="center" wrapText="1"/>
    </xf>
    <xf numFmtId="0" fontId="32" fillId="5" borderId="14" xfId="3" applyFont="1" applyFill="1" applyBorder="1" applyAlignment="1">
      <alignment horizontal="left" vertical="center" wrapText="1"/>
    </xf>
    <xf numFmtId="0" fontId="33" fillId="0" borderId="16" xfId="3" applyFont="1" applyBorder="1" applyAlignment="1">
      <alignment horizontal="left" vertical="center" wrapText="1"/>
    </xf>
    <xf numFmtId="0" fontId="2" fillId="0" borderId="16" xfId="3" applyBorder="1" applyAlignment="1">
      <alignment horizontal="center" vertical="center" wrapText="1"/>
    </xf>
    <xf numFmtId="0" fontId="2" fillId="0" borderId="16" xfId="3" applyBorder="1" applyAlignment="1">
      <alignment horizontal="left" vertical="center" wrapText="1"/>
    </xf>
    <xf numFmtId="0" fontId="31" fillId="0" borderId="0" xfId="3" applyFont="1" applyAlignment="1">
      <alignment horizontal="center" vertical="center" wrapText="1"/>
    </xf>
    <xf numFmtId="0" fontId="30" fillId="0" borderId="0" xfId="3" applyFont="1" applyAlignment="1">
      <alignment horizontal="center" vertical="center"/>
    </xf>
    <xf numFmtId="0" fontId="0" fillId="0" borderId="0" xfId="3" applyFont="1" applyAlignment="1">
      <alignment horizontal="left" vertical="center" wrapText="1"/>
    </xf>
    <xf numFmtId="0" fontId="0" fillId="0" borderId="0" xfId="3" applyFont="1" applyAlignment="1">
      <alignment horizontal="center" vertical="center"/>
    </xf>
    <xf numFmtId="4" fontId="0" fillId="0" borderId="0" xfId="3" applyNumberFormat="1" applyFont="1" applyAlignment="1">
      <alignment vertical="center"/>
    </xf>
    <xf numFmtId="4" fontId="34" fillId="0" borderId="0" xfId="3" applyNumberFormat="1" applyFont="1" applyAlignment="1">
      <alignment vertical="center" wrapText="1"/>
    </xf>
    <xf numFmtId="4" fontId="31" fillId="0" borderId="0" xfId="3" applyNumberFormat="1" applyFont="1" applyAlignment="1">
      <alignment vertical="center" wrapText="1"/>
    </xf>
    <xf numFmtId="4" fontId="31" fillId="0" borderId="0" xfId="2" applyNumberFormat="1" applyFont="1" applyAlignment="1">
      <alignment vertical="center" wrapText="1"/>
    </xf>
    <xf numFmtId="0" fontId="35" fillId="7" borderId="17" xfId="3" applyFont="1" applyFill="1" applyBorder="1" applyAlignment="1">
      <alignment horizontal="left" vertical="center"/>
    </xf>
    <xf numFmtId="0" fontId="35" fillId="7" borderId="17" xfId="3" applyFont="1" applyFill="1" applyBorder="1" applyAlignment="1">
      <alignment vertical="center" wrapText="1"/>
    </xf>
    <xf numFmtId="43" fontId="35" fillId="7" borderId="5" xfId="1" applyFont="1" applyFill="1" applyBorder="1" applyAlignment="1">
      <alignment horizontal="center" vertical="center" wrapText="1"/>
    </xf>
    <xf numFmtId="4" fontId="35" fillId="7" borderId="5" xfId="1" applyNumberFormat="1" applyFont="1" applyFill="1" applyBorder="1" applyAlignment="1">
      <alignment horizontal="center" vertical="center"/>
    </xf>
    <xf numFmtId="4" fontId="35" fillId="7" borderId="5" xfId="1" applyNumberFormat="1" applyFont="1" applyFill="1" applyBorder="1" applyAlignment="1">
      <alignment horizontal="right" vertical="center" wrapText="1"/>
    </xf>
    <xf numFmtId="4" fontId="35" fillId="7" borderId="5" xfId="1" applyNumberFormat="1" applyFont="1" applyFill="1" applyBorder="1" applyAlignment="1">
      <alignment horizontal="right" vertical="center"/>
    </xf>
    <xf numFmtId="4" fontId="35" fillId="7" borderId="5" xfId="1" applyNumberFormat="1" applyFont="1" applyFill="1" applyBorder="1" applyAlignment="1">
      <alignment vertical="center" wrapText="1"/>
    </xf>
    <xf numFmtId="4" fontId="35" fillId="7" borderId="18" xfId="1" applyNumberFormat="1" applyFont="1" applyFill="1" applyBorder="1" applyAlignment="1">
      <alignment horizontal="right" vertical="center" wrapText="1"/>
    </xf>
    <xf numFmtId="0" fontId="31" fillId="0" borderId="0" xfId="3" applyFont="1" applyAlignment="1">
      <alignment horizontal="left" vertical="center"/>
    </xf>
    <xf numFmtId="4" fontId="31" fillId="0" borderId="0" xfId="3" applyNumberFormat="1" applyFont="1" applyAlignment="1">
      <alignment horizontal="center" vertical="center" wrapText="1"/>
    </xf>
    <xf numFmtId="43" fontId="31" fillId="0" borderId="0" xfId="1" applyFont="1" applyAlignment="1">
      <alignment horizontal="right" vertical="center"/>
    </xf>
    <xf numFmtId="2" fontId="31" fillId="0" borderId="0" xfId="3" applyNumberFormat="1" applyFont="1" applyAlignment="1">
      <alignment horizontal="right" vertical="center" wrapText="1"/>
    </xf>
    <xf numFmtId="10" fontId="31" fillId="0" borderId="0" xfId="2" applyNumberFormat="1" applyFont="1" applyAlignment="1">
      <alignment vertical="center" wrapText="1"/>
    </xf>
  </cellXfs>
  <cellStyles count="4">
    <cellStyle name="Normal" xfId="0" builtinId="0"/>
    <cellStyle name="Porcentagem" xfId="2" builtinId="5"/>
    <cellStyle name="Separador de milhares 6 9 2 2" xfId="3" xr:uid="{22466E96-6B2B-4FEF-9B07-C3814D31796A}"/>
    <cellStyle name="Vírgula" xfId="1" builtinId="3"/>
  </cellStyles>
  <dxfs count="71">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
      <font>
        <b/>
        <i val="0"/>
      </font>
      <fill>
        <patternFill>
          <bgColor theme="0" tint="-0.14996795556505021"/>
        </patternFill>
      </fill>
    </dxf>
  </dxfs>
  <tableStyles count="1" defaultTableStyle="TableStyleMedium2" defaultPivotStyle="PivotStyleLight16">
    <tableStyle name="Invisible" pivot="0" table="0" count="0" xr9:uid="{2F73DD80-6E5E-4718-AC4B-D742CA5920D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absolute">
    <xdr:from>
      <xdr:col>0</xdr:col>
      <xdr:colOff>224118</xdr:colOff>
      <xdr:row>0</xdr:row>
      <xdr:rowOff>145676</xdr:rowOff>
    </xdr:from>
    <xdr:to>
      <xdr:col>3</xdr:col>
      <xdr:colOff>5939117</xdr:colOff>
      <xdr:row>7</xdr:row>
      <xdr:rowOff>71546</xdr:rowOff>
    </xdr:to>
    <xdr:grpSp>
      <xdr:nvGrpSpPr>
        <xdr:cNvPr id="2" name="Agrupar 1">
          <a:extLst>
            <a:ext uri="{FF2B5EF4-FFF2-40B4-BE49-F238E27FC236}">
              <a16:creationId xmlns:a16="http://schemas.microsoft.com/office/drawing/2014/main" id="{E6D8C1B5-E9E6-4431-A847-2BBC7F5D83C9}"/>
            </a:ext>
          </a:extLst>
        </xdr:cNvPr>
        <xdr:cNvGrpSpPr>
          <a:grpSpLocks noChangeAspect="1"/>
        </xdr:cNvGrpSpPr>
      </xdr:nvGrpSpPr>
      <xdr:grpSpPr>
        <a:xfrm>
          <a:off x="224118" y="145676"/>
          <a:ext cx="8489673" cy="1499566"/>
          <a:chOff x="0" y="16565"/>
          <a:chExt cx="8489673" cy="1483001"/>
        </a:xfrm>
      </xdr:grpSpPr>
      <xdr:pic>
        <xdr:nvPicPr>
          <xdr:cNvPr id="3" name="Picture">
            <a:extLst>
              <a:ext uri="{FF2B5EF4-FFF2-40B4-BE49-F238E27FC236}">
                <a16:creationId xmlns:a16="http://schemas.microsoft.com/office/drawing/2014/main" id="{1894CEF3-649D-B57E-0FA6-AB14775204AC}"/>
              </a:ext>
            </a:extLst>
          </xdr:cNvPr>
          <xdr:cNvPicPr/>
        </xdr:nvPicPr>
        <xdr:blipFill rotWithShape="1">
          <a:blip xmlns:r="http://schemas.openxmlformats.org/officeDocument/2006/relationships" r:embed="rId1"/>
          <a:srcRect r="69383"/>
          <a:stretch>
            <a:fillRect/>
          </a:stretch>
        </xdr:blipFill>
        <xdr:spPr>
          <a:xfrm>
            <a:off x="157370" y="124239"/>
            <a:ext cx="2089587" cy="1216051"/>
          </a:xfrm>
          <a:prstGeom prst="rect">
            <a:avLst/>
          </a:prstGeom>
        </xdr:spPr>
      </xdr:pic>
      <xdr:sp macro="" textlink="">
        <xdr:nvSpPr>
          <xdr:cNvPr id="4" name="CaixaDeTexto 3">
            <a:extLst>
              <a:ext uri="{FF2B5EF4-FFF2-40B4-BE49-F238E27FC236}">
                <a16:creationId xmlns:a16="http://schemas.microsoft.com/office/drawing/2014/main" id="{060CFB77-3A65-2DBA-5AA8-75C45FE9C27B}"/>
              </a:ext>
            </a:extLst>
          </xdr:cNvPr>
          <xdr:cNvSpPr txBox="1"/>
        </xdr:nvSpPr>
        <xdr:spPr>
          <a:xfrm>
            <a:off x="2522764" y="136070"/>
            <a:ext cx="3765097" cy="10055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800" b="1"/>
              <a:t>Obra: CONSTRUÇÃO DO HU-UFCA</a:t>
            </a:r>
            <a:br>
              <a:rPr lang="pt-BR" sz="1800" b="1"/>
            </a:br>
            <a:br>
              <a:rPr lang="pt-BR" sz="1800" b="1"/>
            </a:br>
            <a:r>
              <a:rPr lang="pt-BR" sz="1800" b="1"/>
              <a:t>Cliente: EBSERH</a:t>
            </a:r>
            <a:br>
              <a:rPr lang="pt-BR" sz="1800" b="1"/>
            </a:br>
            <a:endParaRPr lang="pt-BR" sz="1800" b="1"/>
          </a:p>
        </xdr:txBody>
      </xdr:sp>
      <xdr:sp macro="" textlink="">
        <xdr:nvSpPr>
          <xdr:cNvPr id="5" name="CaixaDeTexto 4">
            <a:extLst>
              <a:ext uri="{FF2B5EF4-FFF2-40B4-BE49-F238E27FC236}">
                <a16:creationId xmlns:a16="http://schemas.microsoft.com/office/drawing/2014/main" id="{9517838B-BFA9-0263-49D8-DD81DCB8BD62}"/>
              </a:ext>
            </a:extLst>
          </xdr:cNvPr>
          <xdr:cNvSpPr txBox="1"/>
        </xdr:nvSpPr>
        <xdr:spPr>
          <a:xfrm>
            <a:off x="6263369" y="148259"/>
            <a:ext cx="2024624" cy="1242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Bef>
                <a:spcPts val="600"/>
              </a:spcBef>
              <a:spcAft>
                <a:spcPts val="600"/>
              </a:spcAft>
            </a:pPr>
            <a:r>
              <a:rPr lang="pt-BR" sz="1000" b="0" i="0" u="none" strike="noStrike">
                <a:solidFill>
                  <a:schemeClr val="dk1"/>
                </a:solidFill>
                <a:effectLst/>
                <a:latin typeface="+mn-lt"/>
                <a:ea typeface="+mn-ea"/>
                <a:cs typeface="+mn-cs"/>
              </a:rPr>
              <a:t>BDI Serviços:</a:t>
            </a:r>
            <a:r>
              <a:rPr lang="pt-BR" sz="1000" b="0">
                <a:effectLst/>
                <a:latin typeface="+mn-lt"/>
              </a:rPr>
              <a:t> </a:t>
            </a:r>
            <a:r>
              <a:rPr lang="pt-BR" sz="1000" b="0" i="0" u="none" strike="noStrike">
                <a:solidFill>
                  <a:schemeClr val="dk1"/>
                </a:solidFill>
                <a:effectLst/>
                <a:latin typeface="+mn-lt"/>
                <a:ea typeface="+mn-ea"/>
                <a:cs typeface="+mn-cs"/>
              </a:rPr>
              <a:t>27,53%</a:t>
            </a:r>
            <a:r>
              <a:rPr lang="pt-BR" sz="1000" b="0">
                <a:effectLst/>
                <a:latin typeface="+mn-lt"/>
              </a:rPr>
              <a:t> </a:t>
            </a:r>
          </a:p>
          <a:p>
            <a:pPr algn="l">
              <a:spcBef>
                <a:spcPts val="600"/>
              </a:spcBef>
              <a:spcAft>
                <a:spcPts val="600"/>
              </a:spcAft>
            </a:pPr>
            <a:r>
              <a:rPr lang="pt-BR" sz="1000" b="0" i="0" u="none" strike="noStrike">
                <a:solidFill>
                  <a:schemeClr val="dk1"/>
                </a:solidFill>
                <a:effectLst/>
                <a:latin typeface="+mn-lt"/>
                <a:ea typeface="+mn-ea"/>
                <a:cs typeface="+mn-cs"/>
              </a:rPr>
              <a:t>BDI Fornecimentos:</a:t>
            </a:r>
            <a:r>
              <a:rPr lang="pt-BR" sz="1000" b="0">
                <a:effectLst/>
                <a:latin typeface="+mn-lt"/>
              </a:rPr>
              <a:t> </a:t>
            </a:r>
            <a:r>
              <a:rPr lang="pt-BR" sz="1000" b="0" i="0" u="none" strike="noStrike">
                <a:solidFill>
                  <a:schemeClr val="dk1"/>
                </a:solidFill>
                <a:effectLst/>
                <a:latin typeface="+mn-lt"/>
                <a:ea typeface="+mn-ea"/>
                <a:cs typeface="+mn-cs"/>
              </a:rPr>
              <a:t>18,37%</a:t>
            </a:r>
            <a:r>
              <a:rPr lang="pt-BR" sz="1000" b="0">
                <a:effectLst/>
                <a:latin typeface="+mn-lt"/>
              </a:rPr>
              <a:t> </a:t>
            </a:r>
          </a:p>
          <a:p>
            <a:pPr algn="l">
              <a:spcBef>
                <a:spcPts val="600"/>
              </a:spcBef>
              <a:spcAft>
                <a:spcPts val="600"/>
              </a:spcAft>
            </a:pPr>
            <a:r>
              <a:rPr lang="pt-BR" sz="1000" b="0" i="0" u="none" strike="noStrike">
                <a:solidFill>
                  <a:schemeClr val="dk1"/>
                </a:solidFill>
                <a:effectLst/>
                <a:latin typeface="+mn-lt"/>
                <a:ea typeface="+mn-ea"/>
                <a:cs typeface="+mn-cs"/>
              </a:rPr>
              <a:t>Enc. Sociais Mens.:</a:t>
            </a:r>
            <a:r>
              <a:rPr lang="pt-BR" sz="1000" b="0">
                <a:effectLst/>
                <a:latin typeface="+mn-lt"/>
              </a:rPr>
              <a:t> </a:t>
            </a:r>
            <a:r>
              <a:rPr lang="pt-BR" sz="1000" b="0" i="0" u="none" strike="noStrike">
                <a:solidFill>
                  <a:schemeClr val="dk1"/>
                </a:solidFill>
                <a:effectLst/>
                <a:latin typeface="+mn-lt"/>
                <a:ea typeface="+mn-ea"/>
                <a:cs typeface="+mn-cs"/>
              </a:rPr>
              <a:t>71,84%</a:t>
            </a:r>
            <a:r>
              <a:rPr lang="pt-BR" sz="1000" b="0">
                <a:effectLst/>
                <a:latin typeface="+mn-lt"/>
              </a:rPr>
              <a:t> </a:t>
            </a:r>
          </a:p>
          <a:p>
            <a:pPr algn="l">
              <a:spcBef>
                <a:spcPts val="600"/>
              </a:spcBef>
              <a:spcAft>
                <a:spcPts val="600"/>
              </a:spcAft>
            </a:pPr>
            <a:r>
              <a:rPr lang="pt-BR" sz="1000" b="0" i="0">
                <a:solidFill>
                  <a:schemeClr val="dk1"/>
                </a:solidFill>
                <a:effectLst/>
                <a:latin typeface="+mn-lt"/>
                <a:ea typeface="+mn-ea"/>
                <a:cs typeface="+mn-cs"/>
              </a:rPr>
              <a:t>Enc. Sociais Horista:</a:t>
            </a:r>
            <a:r>
              <a:rPr lang="pt-BR" sz="1000" b="0">
                <a:solidFill>
                  <a:schemeClr val="dk1"/>
                </a:solidFill>
                <a:effectLst/>
                <a:latin typeface="+mn-lt"/>
                <a:ea typeface="+mn-ea"/>
                <a:cs typeface="+mn-cs"/>
              </a:rPr>
              <a:t> </a:t>
            </a:r>
            <a:r>
              <a:rPr lang="pt-BR" sz="1000" b="0" i="0">
                <a:solidFill>
                  <a:schemeClr val="dk1"/>
                </a:solidFill>
                <a:effectLst/>
                <a:latin typeface="+mn-lt"/>
                <a:ea typeface="+mn-ea"/>
                <a:cs typeface="+mn-cs"/>
              </a:rPr>
              <a:t>115,10%</a:t>
            </a:r>
            <a:br>
              <a:rPr lang="pt-BR" sz="1000">
                <a:solidFill>
                  <a:schemeClr val="dk1"/>
                </a:solidFill>
                <a:effectLst/>
                <a:latin typeface="+mn-lt"/>
                <a:ea typeface="+mn-ea"/>
                <a:cs typeface="+mn-cs"/>
              </a:rPr>
            </a:br>
            <a:br>
              <a:rPr lang="pt-BR" sz="1400" b="1"/>
            </a:br>
            <a:endParaRPr lang="pt-BR" sz="1400" b="1"/>
          </a:p>
        </xdr:txBody>
      </xdr:sp>
      <xdr:sp macro="" textlink="">
        <xdr:nvSpPr>
          <xdr:cNvPr id="6" name="Retângulo 5">
            <a:extLst>
              <a:ext uri="{FF2B5EF4-FFF2-40B4-BE49-F238E27FC236}">
                <a16:creationId xmlns:a16="http://schemas.microsoft.com/office/drawing/2014/main" id="{3D3CED52-AC2A-6966-A827-023F4C47D7D6}"/>
              </a:ext>
            </a:extLst>
          </xdr:cNvPr>
          <xdr:cNvSpPr/>
        </xdr:nvSpPr>
        <xdr:spPr>
          <a:xfrm>
            <a:off x="0" y="16565"/>
            <a:ext cx="8489673" cy="1483001"/>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APP_2\_APP_ORGCAMENTO_EBERH\PLANILHA%20DE%20OR&#199;AMENTO%20B&#193;SICO%20-%20LICITA&#199;&#195;O.xlsx" TargetMode="External"/><Relationship Id="rId1" Type="http://schemas.openxmlformats.org/officeDocument/2006/relationships/externalLinkPath" Target="PLANILHA%20DE%20OR&#199;AMENTO%20B&#193;SICO%20-%20LICITA&#199;&#195;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I EQUIPAMENTOS (2)"/>
      <sheetName val="CAPA"/>
      <sheetName val="RESUMO"/>
      <sheetName val="CRONOGRAMA"/>
      <sheetName val="BDI SERVIÇOS"/>
      <sheetName val="BDI EQUIPAMENTOS"/>
      <sheetName val="ENCARGOS SOCIAIS"/>
      <sheetName val="COTAÇÕES"/>
      <sheetName val="MAPA DE COTAÇÕES"/>
      <sheetName val="COMPOSIÇÕES_A"/>
      <sheetName val="PO"/>
      <sheetName val="COMPOSIÇÕES_CLI"/>
    </sheetNames>
    <sheetDataSet>
      <sheetData sheetId="0"/>
      <sheetData sheetId="1"/>
      <sheetData sheetId="2"/>
      <sheetData sheetId="3"/>
      <sheetData sheetId="4"/>
      <sheetData sheetId="5"/>
      <sheetData sheetId="6"/>
      <sheetData sheetId="7"/>
      <sheetData sheetId="8">
        <row r="12">
          <cell r="A12" t="str">
            <v>CLI_CE-MERCADO 028</v>
          </cell>
          <cell r="D12">
            <v>1653600</v>
          </cell>
        </row>
        <row r="15">
          <cell r="A15" t="str">
            <v>INS-64019723</v>
          </cell>
          <cell r="D15">
            <v>2553371.912</v>
          </cell>
        </row>
        <row r="18">
          <cell r="A18" t="str">
            <v>INS-41303312</v>
          </cell>
          <cell r="D18">
            <v>811200</v>
          </cell>
        </row>
        <row r="21">
          <cell r="A21" t="str">
            <v>INS-85491565</v>
          </cell>
          <cell r="D21">
            <v>624000</v>
          </cell>
        </row>
        <row r="24">
          <cell r="A24" t="str">
            <v>CLI_CE-MERCADO 020</v>
          </cell>
          <cell r="D24">
            <v>21216</v>
          </cell>
        </row>
        <row r="27">
          <cell r="A27" t="str">
            <v>CLI_CE-MERCADO 01070</v>
          </cell>
          <cell r="D27">
            <v>13681.2</v>
          </cell>
        </row>
        <row r="30">
          <cell r="A30" t="str">
            <v>CLI_CE-MERCADO 08</v>
          </cell>
          <cell r="D30">
            <v>144404.50959999999</v>
          </cell>
        </row>
        <row r="33">
          <cell r="A33" t="str">
            <v>INS-00502757</v>
          </cell>
          <cell r="D33">
            <v>405568.69</v>
          </cell>
        </row>
        <row r="36">
          <cell r="A36" t="str">
            <v>CLI_CE-MERCADO 010</v>
          </cell>
          <cell r="D36">
            <v>76938.950400000002</v>
          </cell>
        </row>
        <row r="39">
          <cell r="A39" t="str">
            <v>INS-77902812</v>
          </cell>
          <cell r="D39">
            <v>748800</v>
          </cell>
        </row>
        <row r="42">
          <cell r="A42" t="str">
            <v>CLI_CE-MERCADO 073</v>
          </cell>
          <cell r="D42">
            <v>703.04</v>
          </cell>
        </row>
        <row r="45">
          <cell r="A45" t="str">
            <v>CLI_CE-MERCADO 03</v>
          </cell>
          <cell r="D45">
            <v>66739.92</v>
          </cell>
        </row>
        <row r="48">
          <cell r="A48" t="str">
            <v>I-EL-11</v>
          </cell>
          <cell r="D48">
            <v>697179.40240000002</v>
          </cell>
        </row>
        <row r="51">
          <cell r="A51" t="str">
            <v>I-EL-10</v>
          </cell>
          <cell r="D51">
            <v>697179.40240000002</v>
          </cell>
        </row>
        <row r="54">
          <cell r="A54" t="str">
            <v>CLI_CE-MERCADO 04</v>
          </cell>
          <cell r="D54">
            <v>80452.27840000001</v>
          </cell>
        </row>
        <row r="57">
          <cell r="A57" t="str">
            <v>COT-GAS-02</v>
          </cell>
          <cell r="D57">
            <v>468000</v>
          </cell>
        </row>
        <row r="60">
          <cell r="A60" t="str">
            <v>CLI_CE-MERCADO 02</v>
          </cell>
          <cell r="D60">
            <v>53228.427199999998</v>
          </cell>
        </row>
        <row r="63">
          <cell r="A63" t="str">
            <v>I-EL-12</v>
          </cell>
          <cell r="D63">
            <v>486612.38080000004</v>
          </cell>
        </row>
        <row r="66">
          <cell r="A66" t="str">
            <v>CLI_CE-MERCADO 05</v>
          </cell>
          <cell r="D66">
            <v>92105.561599999986</v>
          </cell>
        </row>
        <row r="69">
          <cell r="A69" t="str">
            <v>I-EL-120</v>
          </cell>
          <cell r="D69">
            <v>377520</v>
          </cell>
        </row>
        <row r="72">
          <cell r="A72" t="str">
            <v>CLI_CE-MERCADO 026</v>
          </cell>
          <cell r="D72">
            <v>6656</v>
          </cell>
        </row>
        <row r="75">
          <cell r="A75" t="str">
            <v>I-EL-09</v>
          </cell>
          <cell r="D75">
            <v>435407.37760000001</v>
          </cell>
        </row>
        <row r="78">
          <cell r="A78" t="str">
            <v>I-EL-119</v>
          </cell>
          <cell r="D78">
            <v>330720</v>
          </cell>
        </row>
        <row r="81">
          <cell r="A81" t="str">
            <v>INS-71361044</v>
          </cell>
          <cell r="D81">
            <v>311803.0968</v>
          </cell>
        </row>
        <row r="84">
          <cell r="A84" t="str">
            <v>I-EL-07</v>
          </cell>
          <cell r="D84">
            <v>377324.79720000003</v>
          </cell>
        </row>
        <row r="87">
          <cell r="A87" t="str">
            <v>I-EL-08</v>
          </cell>
          <cell r="D87">
            <v>377324.79720000003</v>
          </cell>
        </row>
        <row r="90">
          <cell r="A90" t="str">
            <v>I-EL-06</v>
          </cell>
          <cell r="D90">
            <v>377324.79720000003</v>
          </cell>
        </row>
        <row r="93">
          <cell r="A93" t="str">
            <v>I-EL-05</v>
          </cell>
          <cell r="D93">
            <v>377324.79720000003</v>
          </cell>
        </row>
        <row r="96">
          <cell r="A96" t="str">
            <v>CLI_CE-MERCADO 011</v>
          </cell>
          <cell r="D96">
            <v>39594.630400000002</v>
          </cell>
        </row>
        <row r="99">
          <cell r="A99" t="str">
            <v>CLI_CE-MERCADO 025</v>
          </cell>
          <cell r="D99">
            <v>6032</v>
          </cell>
        </row>
        <row r="102">
          <cell r="A102" t="str">
            <v>CLI_CE-MERCADO 01</v>
          </cell>
          <cell r="D102">
            <v>38963.121599999999</v>
          </cell>
        </row>
        <row r="105">
          <cell r="A105" t="str">
            <v>INS-85791508</v>
          </cell>
          <cell r="D105">
            <v>0.9</v>
          </cell>
        </row>
        <row r="108">
          <cell r="A108" t="str">
            <v>CLI_CE-MERCADO 024</v>
          </cell>
          <cell r="D108">
            <v>4576</v>
          </cell>
        </row>
        <row r="111">
          <cell r="A111" t="str">
            <v>CLI_CE-MERCADO 07</v>
          </cell>
          <cell r="D111">
            <v>108974.73599999999</v>
          </cell>
        </row>
        <row r="114">
          <cell r="A114" t="str">
            <v>I-EL-04</v>
          </cell>
          <cell r="D114">
            <v>256731.60239999997</v>
          </cell>
        </row>
        <row r="117">
          <cell r="A117" t="str">
            <v>I-EL-03</v>
          </cell>
          <cell r="D117">
            <v>256731.60239999997</v>
          </cell>
        </row>
        <row r="120">
          <cell r="A120" t="str">
            <v>I-EL-01</v>
          </cell>
          <cell r="D120">
            <v>256731.60239999997</v>
          </cell>
        </row>
        <row r="123">
          <cell r="A123" t="str">
            <v>I-EL-02</v>
          </cell>
          <cell r="D123">
            <v>256731.60239999997</v>
          </cell>
        </row>
        <row r="126">
          <cell r="A126" t="str">
            <v>CLI_CE-MERCADO 075</v>
          </cell>
          <cell r="D126">
            <v>480.69839999999999</v>
          </cell>
        </row>
        <row r="129">
          <cell r="A129" t="str">
            <v>COT-GAS-01</v>
          </cell>
          <cell r="D129">
            <v>182000</v>
          </cell>
        </row>
        <row r="132">
          <cell r="A132" t="str">
            <v>CLI_CE-MERCADO 023</v>
          </cell>
          <cell r="D132">
            <v>4472</v>
          </cell>
        </row>
        <row r="135">
          <cell r="A135" t="str">
            <v>CLI_CE-MERCADO 029</v>
          </cell>
          <cell r="D135">
            <v>35060.038</v>
          </cell>
        </row>
        <row r="138">
          <cell r="A138" t="str">
            <v>CLI_CE-MERCADO 027</v>
          </cell>
          <cell r="D138">
            <v>4784</v>
          </cell>
        </row>
        <row r="141">
          <cell r="A141" t="str">
            <v>CLI_CE-MERCADO 01060</v>
          </cell>
          <cell r="D141">
            <v>16128.32</v>
          </cell>
        </row>
        <row r="144">
          <cell r="A144" t="str">
            <v>I-EL-121</v>
          </cell>
          <cell r="D144">
            <v>167128</v>
          </cell>
        </row>
        <row r="147">
          <cell r="A147" t="str">
            <v>COT-SOM15</v>
          </cell>
          <cell r="D147">
            <v>16328</v>
          </cell>
        </row>
        <row r="150">
          <cell r="A150" t="str">
            <v>CLI_CE-MERCADO 016</v>
          </cell>
          <cell r="D150">
            <v>38360.400000000001</v>
          </cell>
        </row>
        <row r="153">
          <cell r="A153" t="str">
            <v>CLI_CE-MERCADO 034</v>
          </cell>
          <cell r="D153">
            <v>151166.14240000001</v>
          </cell>
        </row>
        <row r="156">
          <cell r="A156" t="str">
            <v>CLI_CE-MERCADO 09</v>
          </cell>
          <cell r="D156">
            <v>148467.82079999999</v>
          </cell>
        </row>
        <row r="159">
          <cell r="A159" t="str">
            <v>I-EL-122</v>
          </cell>
          <cell r="D159">
            <v>153192</v>
          </cell>
        </row>
        <row r="162">
          <cell r="A162" t="str">
            <v>CLI_CE-MERCADO 021</v>
          </cell>
          <cell r="D162">
            <v>28683.200000000001</v>
          </cell>
        </row>
        <row r="165">
          <cell r="A165" t="str">
            <v>CLI_CE-MERCADO 01052</v>
          </cell>
          <cell r="D165">
            <v>15315.04</v>
          </cell>
        </row>
        <row r="168">
          <cell r="A168" t="str">
            <v>CLI_CE-MERCADO 01053</v>
          </cell>
          <cell r="D168">
            <v>15315.04</v>
          </cell>
        </row>
        <row r="171">
          <cell r="A171" t="str">
            <v>CLI_CE-MERCADO 06</v>
          </cell>
          <cell r="D171">
            <v>123563.93919999999</v>
          </cell>
        </row>
        <row r="174">
          <cell r="A174" t="str">
            <v>CLI_CE-MERCADO 01017</v>
          </cell>
          <cell r="D174">
            <v>178.70320000000001</v>
          </cell>
        </row>
        <row r="177">
          <cell r="A177" t="str">
            <v>CLI_CE-MERCADO 032</v>
          </cell>
          <cell r="D177">
            <v>107114.2176</v>
          </cell>
        </row>
        <row r="180">
          <cell r="A180" t="str">
            <v>CLI_CE-MERCADO 033</v>
          </cell>
          <cell r="D180">
            <v>97216.303599999985</v>
          </cell>
        </row>
        <row r="183">
          <cell r="A183" t="str">
            <v>CLI_CE-MERCADO 01061</v>
          </cell>
          <cell r="D183">
            <v>13681.2</v>
          </cell>
        </row>
        <row r="186">
          <cell r="A186" t="str">
            <v>CLI_CE-MERCADO 01058</v>
          </cell>
          <cell r="D186">
            <v>15916.16</v>
          </cell>
        </row>
        <row r="189">
          <cell r="A189" t="str">
            <v>CLI_CE-MERCADO 074</v>
          </cell>
          <cell r="D189">
            <v>824.72</v>
          </cell>
        </row>
        <row r="192">
          <cell r="A192" t="str">
            <v>CLI_CE-MERCADO 077</v>
          </cell>
          <cell r="D192">
            <v>2348.3200000000002</v>
          </cell>
        </row>
        <row r="195">
          <cell r="A195" t="str">
            <v>CLI_CE-MERCADO 013</v>
          </cell>
          <cell r="D195">
            <v>46650.936799999996</v>
          </cell>
        </row>
        <row r="198">
          <cell r="A198" t="str">
            <v>CLI_CE-MERCADO 01003</v>
          </cell>
          <cell r="D198">
            <v>94.681600000000003</v>
          </cell>
        </row>
        <row r="201">
          <cell r="A201" t="str">
            <v>CLI_CE-MERCADO 01027</v>
          </cell>
          <cell r="D201">
            <v>4096.0191999999997</v>
          </cell>
        </row>
        <row r="204">
          <cell r="A204" t="str">
            <v>CLI_CE-MERCADO 01054</v>
          </cell>
          <cell r="D204">
            <v>15315.04</v>
          </cell>
        </row>
        <row r="207">
          <cell r="A207" t="str">
            <v>CLI_CE-MERCADO 018</v>
          </cell>
          <cell r="D207">
            <v>87984.374400000001</v>
          </cell>
        </row>
        <row r="210">
          <cell r="A210" t="str">
            <v>CLI_CE-MERCADO 081</v>
          </cell>
          <cell r="D210">
            <v>1021.9352</v>
          </cell>
        </row>
        <row r="213">
          <cell r="A213" t="str">
            <v>CLI_CE-MERCADO 01051</v>
          </cell>
          <cell r="D213">
            <v>13681.2</v>
          </cell>
        </row>
        <row r="216">
          <cell r="A216" t="str">
            <v>CLI_CE-MERCADO 031</v>
          </cell>
          <cell r="D216">
            <v>81438.864000000001</v>
          </cell>
        </row>
        <row r="219">
          <cell r="A219" t="str">
            <v>I-EL-74</v>
          </cell>
          <cell r="D219">
            <v>80912</v>
          </cell>
        </row>
        <row r="222">
          <cell r="A222" t="str">
            <v>COT-SOM14</v>
          </cell>
          <cell r="D222">
            <v>39176.800000000003</v>
          </cell>
        </row>
        <row r="225">
          <cell r="A225" t="str">
            <v>CLI_CE-MERCADO 01071</v>
          </cell>
          <cell r="D225">
            <v>15491.84</v>
          </cell>
        </row>
        <row r="228">
          <cell r="A228" t="str">
            <v>CLI_CE-MERCADO 030</v>
          </cell>
          <cell r="D228">
            <v>77325.887599999987</v>
          </cell>
        </row>
        <row r="231">
          <cell r="A231" t="str">
            <v>I-EL-98</v>
          </cell>
          <cell r="D231">
            <v>78104</v>
          </cell>
        </row>
        <row r="234">
          <cell r="A234" t="str">
            <v>CLI_CE-MERCADO 01028</v>
          </cell>
          <cell r="D234">
            <v>4413.5727999999999</v>
          </cell>
        </row>
        <row r="237">
          <cell r="A237" t="str">
            <v>CLI_CE-MERCADO 012</v>
          </cell>
          <cell r="D237">
            <v>72342.399999999994</v>
          </cell>
        </row>
        <row r="240">
          <cell r="A240" t="str">
            <v>CLI_CE-MERCADO 01014</v>
          </cell>
          <cell r="D240">
            <v>1250.4960000000001</v>
          </cell>
        </row>
        <row r="243">
          <cell r="A243" t="str">
            <v>CLI_CE-MERCADO 017</v>
          </cell>
          <cell r="D243">
            <v>68380</v>
          </cell>
        </row>
        <row r="246">
          <cell r="A246" t="str">
            <v>CLI_CE-MERCADO 078</v>
          </cell>
          <cell r="D246">
            <v>3282.24</v>
          </cell>
        </row>
        <row r="249">
          <cell r="A249" t="str">
            <v>I-EL-99</v>
          </cell>
          <cell r="D249">
            <v>66560</v>
          </cell>
        </row>
        <row r="252">
          <cell r="A252" t="str">
            <v>CLI_CE-MERCADO 01066</v>
          </cell>
          <cell r="D252">
            <v>15951.52</v>
          </cell>
        </row>
        <row r="255">
          <cell r="A255" t="str">
            <v>CLI_CE-MERCADO 01055</v>
          </cell>
          <cell r="D255">
            <v>15916.16</v>
          </cell>
        </row>
        <row r="258">
          <cell r="A258" t="str">
            <v>CLI_CE-MERCADO 093</v>
          </cell>
          <cell r="D258">
            <v>810.78399999999999</v>
          </cell>
        </row>
        <row r="261">
          <cell r="A261" t="str">
            <v>CLI_CE-MERCADO 072</v>
          </cell>
          <cell r="D261">
            <v>2001.9479999999999</v>
          </cell>
        </row>
        <row r="264">
          <cell r="A264" t="str">
            <v>I-EL-96</v>
          </cell>
          <cell r="D264">
            <v>64480</v>
          </cell>
        </row>
        <row r="267">
          <cell r="A267" t="str">
            <v>CLI_CE-MERCADO 022</v>
          </cell>
          <cell r="D267">
            <v>4368</v>
          </cell>
        </row>
        <row r="270">
          <cell r="A270" t="str">
            <v>CLI_CE-MERCADO 019</v>
          </cell>
          <cell r="D270">
            <v>58541.599999999999</v>
          </cell>
        </row>
        <row r="273">
          <cell r="A273" t="str">
            <v>CLI_CE-MERCADO 037</v>
          </cell>
          <cell r="D273">
            <v>507</v>
          </cell>
        </row>
        <row r="276">
          <cell r="A276" t="str">
            <v>CLI_CE-MERCADO 015</v>
          </cell>
          <cell r="D276">
            <v>56457.127999999997</v>
          </cell>
        </row>
        <row r="279">
          <cell r="A279" t="str">
            <v>CLI_CE-MERCADO 014</v>
          </cell>
          <cell r="D279">
            <v>52526.5</v>
          </cell>
        </row>
        <row r="282">
          <cell r="A282" t="str">
            <v>CLI_CE-MERCADO 040</v>
          </cell>
          <cell r="D282">
            <v>8280.48</v>
          </cell>
        </row>
        <row r="285">
          <cell r="A285" t="str">
            <v>CLI_CE-MERCADO 01007</v>
          </cell>
          <cell r="D285">
            <v>5127.8656000000001</v>
          </cell>
        </row>
        <row r="288">
          <cell r="A288" t="str">
            <v>I-EL-102</v>
          </cell>
          <cell r="D288">
            <v>50232</v>
          </cell>
        </row>
        <row r="291">
          <cell r="A291" t="str">
            <v>CLI_CE-MERCADO 01002</v>
          </cell>
          <cell r="D291">
            <v>2425.1552000000001</v>
          </cell>
        </row>
        <row r="294">
          <cell r="A294" t="str">
            <v>CLI_CE-MERCADO 01009</v>
          </cell>
          <cell r="D294">
            <v>19102.584800000001</v>
          </cell>
        </row>
        <row r="297">
          <cell r="A297" t="str">
            <v>CLI_CE-MERCADO 01008</v>
          </cell>
          <cell r="D297">
            <v>8618.5112000000008</v>
          </cell>
        </row>
        <row r="300">
          <cell r="A300" t="str">
            <v>CLI_CE-MERCADO 01006</v>
          </cell>
          <cell r="D300">
            <v>2757.1023999999998</v>
          </cell>
        </row>
        <row r="303">
          <cell r="A303" t="str">
            <v>I-EL-116</v>
          </cell>
          <cell r="D303">
            <v>38792</v>
          </cell>
        </row>
        <row r="306">
          <cell r="A306" t="str">
            <v>CLI_CE-MERCADO 01021</v>
          </cell>
          <cell r="D306">
            <v>980.62639999999999</v>
          </cell>
        </row>
        <row r="309">
          <cell r="A309" t="str">
            <v>CLI_CE-MERCADO 01025</v>
          </cell>
          <cell r="D309">
            <v>688.76080000000002</v>
          </cell>
        </row>
        <row r="312">
          <cell r="A312" t="str">
            <v>CLI_CE-MERCADO 076</v>
          </cell>
          <cell r="D312">
            <v>1664</v>
          </cell>
        </row>
        <row r="315">
          <cell r="A315" t="str">
            <v>CLI_CE-MERCADO 01020</v>
          </cell>
          <cell r="D315">
            <v>691.09040000000005</v>
          </cell>
        </row>
        <row r="318">
          <cell r="A318" t="str">
            <v>CLI_CE-MERCADO 01057</v>
          </cell>
          <cell r="D318">
            <v>15916.16</v>
          </cell>
        </row>
        <row r="321">
          <cell r="A321" t="str">
            <v>COT-SOM19</v>
          </cell>
          <cell r="D321">
            <v>31064.799999999999</v>
          </cell>
        </row>
        <row r="324">
          <cell r="A324" t="str">
            <v>COT-SOM13</v>
          </cell>
          <cell r="D324">
            <v>31064.799999999999</v>
          </cell>
        </row>
        <row r="327">
          <cell r="A327" t="str">
            <v>CLI_CE-MERCADO 01063</v>
          </cell>
          <cell r="D327">
            <v>15315.04</v>
          </cell>
        </row>
        <row r="330">
          <cell r="A330" t="str">
            <v>CLI_CE-MERCADO 01032</v>
          </cell>
          <cell r="D330">
            <v>197.38679999999999</v>
          </cell>
        </row>
        <row r="333">
          <cell r="A333" t="str">
            <v>CLI_CE-MERCADO 067</v>
          </cell>
          <cell r="D333">
            <v>418.08</v>
          </cell>
        </row>
        <row r="336">
          <cell r="A336" t="str">
            <v>CLI_CE-MERCADO 01018</v>
          </cell>
          <cell r="D336">
            <v>309.37920000000003</v>
          </cell>
        </row>
        <row r="339">
          <cell r="A339" t="str">
            <v>CLI_CE-MERCADO 01034</v>
          </cell>
          <cell r="D339">
            <v>363.88560000000001</v>
          </cell>
        </row>
        <row r="342">
          <cell r="A342" t="str">
            <v>CLI_CE-MERCADO 053</v>
          </cell>
          <cell r="D342">
            <v>4181.84</v>
          </cell>
        </row>
        <row r="345">
          <cell r="A345" t="str">
            <v>INS-83936279</v>
          </cell>
          <cell r="D345">
            <v>65950</v>
          </cell>
        </row>
        <row r="348">
          <cell r="A348" t="str">
            <v>I-EL-50</v>
          </cell>
          <cell r="D348">
            <v>24752</v>
          </cell>
        </row>
        <row r="351">
          <cell r="A351" t="str">
            <v>CLI_CE-MERCADO 01012</v>
          </cell>
          <cell r="D351">
            <v>1255.0719999999999</v>
          </cell>
        </row>
        <row r="354">
          <cell r="A354" t="str">
            <v>I-EL-57</v>
          </cell>
          <cell r="D354">
            <v>24544</v>
          </cell>
        </row>
        <row r="357">
          <cell r="A357" t="str">
            <v>CLI_CE-MERCADO 048</v>
          </cell>
          <cell r="D357">
            <v>23025.599999999999</v>
          </cell>
        </row>
        <row r="360">
          <cell r="A360" t="str">
            <v>CLI_CE-MERCADO 01068</v>
          </cell>
          <cell r="D360">
            <v>22826.959999999999</v>
          </cell>
        </row>
        <row r="363">
          <cell r="A363" t="str">
            <v>CLI_CE-MERCADO 01072</v>
          </cell>
          <cell r="D363">
            <v>7594.5012000000006</v>
          </cell>
        </row>
        <row r="366">
          <cell r="A366" t="str">
            <v>CLI_CE-MERCADO 01022</v>
          </cell>
          <cell r="D366">
            <v>3592.0663999999997</v>
          </cell>
        </row>
        <row r="369">
          <cell r="A369" t="str">
            <v>CLI_CE-MERCADO 01067</v>
          </cell>
          <cell r="D369">
            <v>21573.759999999998</v>
          </cell>
        </row>
        <row r="372">
          <cell r="A372" t="str">
            <v>CLI_CE-MERCADO 038</v>
          </cell>
          <cell r="D372">
            <v>1117.4695999999999</v>
          </cell>
        </row>
        <row r="375">
          <cell r="A375" t="str">
            <v>CLI_CE-MERCADO 01069</v>
          </cell>
          <cell r="D375">
            <v>21218.080000000002</v>
          </cell>
        </row>
        <row r="378">
          <cell r="A378" t="str">
            <v>I-EL-100</v>
          </cell>
          <cell r="D378">
            <v>21840</v>
          </cell>
        </row>
        <row r="381">
          <cell r="A381" t="str">
            <v>CLI_CE-MERCADO 036</v>
          </cell>
          <cell r="D381">
            <v>752.39840000000004</v>
          </cell>
        </row>
        <row r="384">
          <cell r="A384" t="str">
            <v>COT-SOM11</v>
          </cell>
          <cell r="D384">
            <v>21819.200000000001</v>
          </cell>
        </row>
        <row r="387">
          <cell r="A387" t="str">
            <v>CLI_CE-MERCADO 01015</v>
          </cell>
          <cell r="D387">
            <v>2056.7456000000002</v>
          </cell>
        </row>
        <row r="390">
          <cell r="A390" t="str">
            <v>CLI_CE-MERCADO 01005</v>
          </cell>
          <cell r="D390">
            <v>15575.9344</v>
          </cell>
        </row>
        <row r="393">
          <cell r="A393" t="str">
            <v>CLI_CE-MERCADO 035</v>
          </cell>
          <cell r="D393">
            <v>507</v>
          </cell>
        </row>
        <row r="396">
          <cell r="A396" t="str">
            <v>CLI_CE-MERCADO 080</v>
          </cell>
          <cell r="D396">
            <v>107.9312</v>
          </cell>
        </row>
        <row r="399">
          <cell r="A399" t="str">
            <v>COT-SOM3</v>
          </cell>
          <cell r="D399">
            <v>10025.6</v>
          </cell>
        </row>
        <row r="402">
          <cell r="A402" t="str">
            <v>COT-SOM17</v>
          </cell>
          <cell r="D402">
            <v>191.30799999999999</v>
          </cell>
        </row>
        <row r="405">
          <cell r="A405" t="str">
            <v>CLI_CE-MERCADO 01016</v>
          </cell>
          <cell r="D405">
            <v>110.24</v>
          </cell>
        </row>
        <row r="408">
          <cell r="A408" t="str">
            <v>I-EL-114</v>
          </cell>
          <cell r="D408">
            <v>19656</v>
          </cell>
        </row>
        <row r="411">
          <cell r="A411" t="str">
            <v>CLI_CE-MERCADO 083</v>
          </cell>
          <cell r="D411">
            <v>212.0976</v>
          </cell>
        </row>
        <row r="414">
          <cell r="A414" t="str">
            <v>I-EL-105</v>
          </cell>
          <cell r="D414">
            <v>19510.400000000001</v>
          </cell>
        </row>
        <row r="417">
          <cell r="A417" t="str">
            <v>I-EL-33</v>
          </cell>
          <cell r="D417">
            <v>19032</v>
          </cell>
        </row>
        <row r="420">
          <cell r="A420" t="str">
            <v>I-EL-34</v>
          </cell>
          <cell r="D420">
            <v>18980</v>
          </cell>
        </row>
        <row r="423">
          <cell r="A423" t="str">
            <v>I-EL-73</v>
          </cell>
          <cell r="D423">
            <v>18616</v>
          </cell>
        </row>
        <row r="426">
          <cell r="A426" t="str">
            <v>I-EL-123</v>
          </cell>
          <cell r="D426">
            <v>18200</v>
          </cell>
        </row>
        <row r="429">
          <cell r="A429" t="str">
            <v>I-EL-49</v>
          </cell>
          <cell r="D429">
            <v>18200</v>
          </cell>
        </row>
        <row r="432">
          <cell r="A432" t="str">
            <v>CLI_CE-MERCADO 049</v>
          </cell>
          <cell r="D432">
            <v>16811.277600000001</v>
          </cell>
        </row>
        <row r="435">
          <cell r="A435" t="str">
            <v>I-EL-32</v>
          </cell>
          <cell r="D435">
            <v>17472</v>
          </cell>
        </row>
        <row r="438">
          <cell r="A438" t="str">
            <v>CLI_CE-MERCADO 047</v>
          </cell>
          <cell r="D438">
            <v>16609.0288</v>
          </cell>
        </row>
        <row r="441">
          <cell r="A441" t="str">
            <v>CLI_CE-MERCADO 01059</v>
          </cell>
          <cell r="D441">
            <v>16547.439999999999</v>
          </cell>
        </row>
        <row r="444">
          <cell r="A444" t="str">
            <v>I-EL-44</v>
          </cell>
          <cell r="D444">
            <v>17160</v>
          </cell>
        </row>
        <row r="447">
          <cell r="A447" t="str">
            <v>CLI_CE-MERCADO 01073</v>
          </cell>
          <cell r="D447">
            <v>16106.703600000001</v>
          </cell>
        </row>
        <row r="450">
          <cell r="A450" t="str">
            <v>CLI_CE-MERCADO 01062</v>
          </cell>
          <cell r="D450">
            <v>15951.52</v>
          </cell>
        </row>
        <row r="453">
          <cell r="A453" t="str">
            <v>CLI_CE-MERCADO 01056</v>
          </cell>
          <cell r="D453">
            <v>15916.16</v>
          </cell>
        </row>
        <row r="456">
          <cell r="A456" t="str">
            <v>I-EL-115</v>
          </cell>
          <cell r="D456">
            <v>16328</v>
          </cell>
        </row>
        <row r="459">
          <cell r="A459" t="str">
            <v>CLI_CE-MERCADO 044</v>
          </cell>
          <cell r="D459">
            <v>15540.408000000001</v>
          </cell>
        </row>
        <row r="462">
          <cell r="A462" t="str">
            <v>CLI_CE-MERCADO 046</v>
          </cell>
          <cell r="D462">
            <v>15540.408000000001</v>
          </cell>
        </row>
        <row r="465">
          <cell r="A465" t="str">
            <v>CLI_CE-MERCADO 01010</v>
          </cell>
          <cell r="D465">
            <v>1044.3368</v>
          </cell>
        </row>
        <row r="468">
          <cell r="A468" t="str">
            <v>CLI_CE-MERCADO 01065</v>
          </cell>
          <cell r="D468">
            <v>15315.04</v>
          </cell>
        </row>
        <row r="471">
          <cell r="A471" t="str">
            <v>CLI_CE-MERCADO 01064</v>
          </cell>
          <cell r="D471">
            <v>15315.04</v>
          </cell>
        </row>
        <row r="474">
          <cell r="A474" t="str">
            <v>I-EL-124</v>
          </cell>
          <cell r="D474">
            <v>15912</v>
          </cell>
        </row>
        <row r="477">
          <cell r="A477" t="str">
            <v>CLI_CE-MERCADO 01013</v>
          </cell>
          <cell r="D477">
            <v>1842.8384000000001</v>
          </cell>
        </row>
        <row r="480">
          <cell r="A480" t="str">
            <v>CLI_CE-MERCADO 01004</v>
          </cell>
          <cell r="D480">
            <v>945.72400000000005</v>
          </cell>
        </row>
        <row r="483">
          <cell r="A483" t="str">
            <v>COT-SOM10</v>
          </cell>
          <cell r="D483">
            <v>14726.4</v>
          </cell>
        </row>
        <row r="486">
          <cell r="A486" t="str">
            <v>I-EL-104</v>
          </cell>
          <cell r="D486">
            <v>14352</v>
          </cell>
        </row>
        <row r="489">
          <cell r="A489" t="str">
            <v>I-EL-61</v>
          </cell>
          <cell r="D489">
            <v>14352</v>
          </cell>
        </row>
        <row r="492">
          <cell r="A492" t="str">
            <v>I-EL-55</v>
          </cell>
          <cell r="D492">
            <v>14248</v>
          </cell>
        </row>
        <row r="495">
          <cell r="A495" t="str">
            <v>CLI_CE-MERCADO 085</v>
          </cell>
          <cell r="D495">
            <v>244.28559999999999</v>
          </cell>
        </row>
        <row r="498">
          <cell r="A498" t="str">
            <v>I-EL-54</v>
          </cell>
          <cell r="D498">
            <v>13104</v>
          </cell>
        </row>
        <row r="501">
          <cell r="A501" t="str">
            <v>I-EL-64</v>
          </cell>
          <cell r="D501">
            <v>12792</v>
          </cell>
        </row>
        <row r="504">
          <cell r="A504" t="str">
            <v>CLI_CE-MERCADO 01014</v>
          </cell>
          <cell r="D504">
            <v>1250.4960000000001</v>
          </cell>
        </row>
        <row r="507">
          <cell r="A507" t="str">
            <v>CLI_CE-MERCADO 01023</v>
          </cell>
          <cell r="D507">
            <v>5968.7212</v>
          </cell>
        </row>
        <row r="510">
          <cell r="A510" t="str">
            <v>I-EL-101</v>
          </cell>
          <cell r="D510">
            <v>12272</v>
          </cell>
        </row>
        <row r="513">
          <cell r="A513" t="str">
            <v>CLI_CE-MERCADO 094</v>
          </cell>
          <cell r="D513">
            <v>620.06880000000001</v>
          </cell>
        </row>
        <row r="516">
          <cell r="A516" t="str">
            <v>I-EL-117</v>
          </cell>
          <cell r="D516">
            <v>12209.6</v>
          </cell>
        </row>
        <row r="519">
          <cell r="A519" t="str">
            <v>I-EL-118</v>
          </cell>
          <cell r="D519">
            <v>12209.6</v>
          </cell>
        </row>
        <row r="522">
          <cell r="A522" t="str">
            <v>I-EL-85</v>
          </cell>
          <cell r="D522">
            <v>12168</v>
          </cell>
        </row>
        <row r="525">
          <cell r="A525" t="str">
            <v>I-EL-125</v>
          </cell>
          <cell r="D525">
            <v>12064</v>
          </cell>
        </row>
        <row r="528">
          <cell r="A528" t="str">
            <v>I-EL-126</v>
          </cell>
          <cell r="D528">
            <v>12064</v>
          </cell>
        </row>
        <row r="531">
          <cell r="A531" t="str">
            <v>CLI_CE-MERCADO 01001</v>
          </cell>
          <cell r="D531">
            <v>1859.6135999999999</v>
          </cell>
        </row>
        <row r="534">
          <cell r="A534" t="str">
            <v>I-EL-45</v>
          </cell>
          <cell r="D534">
            <v>11232</v>
          </cell>
        </row>
        <row r="537">
          <cell r="A537" t="str">
            <v>I-EL-93</v>
          </cell>
          <cell r="D537">
            <v>11128</v>
          </cell>
        </row>
        <row r="540">
          <cell r="A540" t="str">
            <v>I-EL-97</v>
          </cell>
          <cell r="D540">
            <v>11128</v>
          </cell>
        </row>
        <row r="543">
          <cell r="A543" t="str">
            <v>I-EL-70</v>
          </cell>
          <cell r="D543">
            <v>11128</v>
          </cell>
        </row>
        <row r="546">
          <cell r="A546" t="str">
            <v>I-EL-88</v>
          </cell>
          <cell r="D546">
            <v>11044.8</v>
          </cell>
        </row>
        <row r="549">
          <cell r="A549" t="str">
            <v>I-EL-87</v>
          </cell>
          <cell r="D549">
            <v>10868</v>
          </cell>
        </row>
        <row r="552">
          <cell r="A552" t="str">
            <v>I-EL-92</v>
          </cell>
          <cell r="D552">
            <v>10816</v>
          </cell>
        </row>
        <row r="555">
          <cell r="A555" t="str">
            <v>I-EL-31</v>
          </cell>
          <cell r="D555">
            <v>10816</v>
          </cell>
        </row>
        <row r="558">
          <cell r="A558" t="str">
            <v>I-EL-30</v>
          </cell>
          <cell r="D558">
            <v>10816</v>
          </cell>
        </row>
        <row r="561">
          <cell r="A561" t="str">
            <v>I-EL-29</v>
          </cell>
          <cell r="D561">
            <v>10816</v>
          </cell>
        </row>
        <row r="564">
          <cell r="A564" t="str">
            <v>CLI_CE-MERCADO 01011</v>
          </cell>
          <cell r="D564">
            <v>980.62639999999999</v>
          </cell>
        </row>
        <row r="567">
          <cell r="A567" t="str">
            <v>CLI_CE-MERCADO 052</v>
          </cell>
          <cell r="D567">
            <v>10308.2096</v>
          </cell>
        </row>
        <row r="570">
          <cell r="A570" t="str">
            <v>I-EL-94</v>
          </cell>
          <cell r="D570">
            <v>10712</v>
          </cell>
        </row>
        <row r="573">
          <cell r="A573" t="str">
            <v>I-EL-51</v>
          </cell>
          <cell r="D573">
            <v>10712</v>
          </cell>
        </row>
        <row r="576">
          <cell r="A576" t="str">
            <v>I-EL-86</v>
          </cell>
          <cell r="D576">
            <v>10608</v>
          </cell>
        </row>
        <row r="579">
          <cell r="A579" t="str">
            <v>I-EL-91</v>
          </cell>
          <cell r="D579">
            <v>10608</v>
          </cell>
        </row>
        <row r="582">
          <cell r="A582" t="str">
            <v>I-EL-69</v>
          </cell>
          <cell r="D582">
            <v>10608</v>
          </cell>
        </row>
        <row r="585">
          <cell r="A585" t="str">
            <v>COT-SOM18</v>
          </cell>
          <cell r="D585">
            <v>101.8056</v>
          </cell>
        </row>
        <row r="588">
          <cell r="A588" t="str">
            <v>COT-SOM8</v>
          </cell>
          <cell r="D588">
            <v>5194.8</v>
          </cell>
        </row>
        <row r="591">
          <cell r="A591" t="str">
            <v>CLI_CE-MERCADO 01015</v>
          </cell>
          <cell r="D591">
            <v>2056.7456000000002</v>
          </cell>
        </row>
        <row r="594">
          <cell r="A594" t="str">
            <v>I-EL-90</v>
          </cell>
          <cell r="D594">
            <v>10296</v>
          </cell>
        </row>
        <row r="597">
          <cell r="A597" t="str">
            <v>CLI_CE-MERCADO 0109</v>
          </cell>
          <cell r="D597">
            <v>273.55119999999999</v>
          </cell>
        </row>
        <row r="600">
          <cell r="A600" t="str">
            <v>CLI_CE-MERCADO 043</v>
          </cell>
          <cell r="D600">
            <v>9831.4216000000015</v>
          </cell>
        </row>
        <row r="603">
          <cell r="A603" t="str">
            <v>I-EL-56</v>
          </cell>
          <cell r="D603">
            <v>10192</v>
          </cell>
        </row>
        <row r="606">
          <cell r="A606" t="str">
            <v>I-EL-89</v>
          </cell>
          <cell r="D606">
            <v>10192</v>
          </cell>
        </row>
        <row r="609">
          <cell r="A609" t="str">
            <v>I-EL-103</v>
          </cell>
          <cell r="D609">
            <v>10088</v>
          </cell>
        </row>
        <row r="612">
          <cell r="A612" t="str">
            <v>I-EL-62</v>
          </cell>
          <cell r="D612">
            <v>9984</v>
          </cell>
        </row>
        <row r="615">
          <cell r="A615" t="str">
            <v>CLI_CE-MERCADO 042</v>
          </cell>
          <cell r="D615">
            <v>9557.6</v>
          </cell>
        </row>
        <row r="618">
          <cell r="A618" t="str">
            <v>I-EL-20</v>
          </cell>
          <cell r="D618">
            <v>9932</v>
          </cell>
        </row>
        <row r="621">
          <cell r="A621" t="str">
            <v>I-EL-75</v>
          </cell>
          <cell r="D621">
            <v>9880</v>
          </cell>
        </row>
        <row r="624">
          <cell r="A624" t="str">
            <v>I-EL-76</v>
          </cell>
          <cell r="D624">
            <v>9776</v>
          </cell>
        </row>
        <row r="627">
          <cell r="A627" t="str">
            <v>I-EL-77</v>
          </cell>
          <cell r="D627">
            <v>9776</v>
          </cell>
        </row>
        <row r="630">
          <cell r="A630" t="str">
            <v>CLI_CE-MERCADO 01033</v>
          </cell>
          <cell r="D630">
            <v>388.10719999999998</v>
          </cell>
        </row>
        <row r="633">
          <cell r="A633" t="str">
            <v>I-EL-78</v>
          </cell>
          <cell r="D633">
            <v>9568</v>
          </cell>
        </row>
        <row r="636">
          <cell r="A636" t="str">
            <v>CLI_CE-MERCADO 065</v>
          </cell>
          <cell r="D636">
            <v>7404.8</v>
          </cell>
        </row>
        <row r="639">
          <cell r="A639" t="str">
            <v>I-EL-21</v>
          </cell>
          <cell r="D639">
            <v>9256</v>
          </cell>
        </row>
        <row r="642">
          <cell r="A642" t="str">
            <v>I-EL-84</v>
          </cell>
          <cell r="D642">
            <v>9256</v>
          </cell>
        </row>
        <row r="645">
          <cell r="A645" t="str">
            <v>I-EL-81</v>
          </cell>
          <cell r="D645">
            <v>9152</v>
          </cell>
        </row>
        <row r="648">
          <cell r="A648" t="str">
            <v>I-EL-27</v>
          </cell>
          <cell r="D648">
            <v>9152</v>
          </cell>
        </row>
        <row r="651">
          <cell r="A651" t="str">
            <v>I-EL-66</v>
          </cell>
          <cell r="D651">
            <v>9152</v>
          </cell>
        </row>
        <row r="654">
          <cell r="A654" t="str">
            <v>I-EL-65</v>
          </cell>
          <cell r="D654">
            <v>9048</v>
          </cell>
        </row>
        <row r="657">
          <cell r="A657" t="str">
            <v>I-EL-67</v>
          </cell>
          <cell r="D657">
            <v>8944</v>
          </cell>
        </row>
        <row r="660">
          <cell r="A660" t="str">
            <v>I-EL-68</v>
          </cell>
          <cell r="D660">
            <v>8944</v>
          </cell>
        </row>
        <row r="663">
          <cell r="A663" t="str">
            <v>I-EL-16</v>
          </cell>
          <cell r="D663">
            <v>8840</v>
          </cell>
        </row>
        <row r="666">
          <cell r="A666" t="str">
            <v>I-EL-48</v>
          </cell>
          <cell r="D666">
            <v>8840</v>
          </cell>
        </row>
        <row r="669">
          <cell r="A669" t="str">
            <v>I-EL-59</v>
          </cell>
          <cell r="D669">
            <v>8736</v>
          </cell>
        </row>
        <row r="672">
          <cell r="A672" t="str">
            <v>I-EL-17</v>
          </cell>
          <cell r="D672">
            <v>8736</v>
          </cell>
        </row>
        <row r="675">
          <cell r="A675" t="str">
            <v>CLI_CE-MERCADO 064</v>
          </cell>
          <cell r="D675">
            <v>6934.72</v>
          </cell>
        </row>
        <row r="678">
          <cell r="A678" t="str">
            <v>I-EL-80</v>
          </cell>
          <cell r="D678">
            <v>8320</v>
          </cell>
        </row>
        <row r="681">
          <cell r="A681" t="str">
            <v>I-EL-13</v>
          </cell>
          <cell r="D681">
            <v>8216</v>
          </cell>
        </row>
        <row r="684">
          <cell r="A684" t="str">
            <v>I-EL-53</v>
          </cell>
          <cell r="D684">
            <v>8216</v>
          </cell>
        </row>
        <row r="687">
          <cell r="A687" t="str">
            <v>COT-SOM5</v>
          </cell>
          <cell r="D687">
            <v>8205.6</v>
          </cell>
        </row>
        <row r="690">
          <cell r="A690" t="str">
            <v>CLI_CE-MERCADO 082</v>
          </cell>
          <cell r="D690">
            <v>1576.5464000000002</v>
          </cell>
        </row>
        <row r="693">
          <cell r="A693" t="str">
            <v>COT-SOM16</v>
          </cell>
          <cell r="D693">
            <v>8049.6</v>
          </cell>
        </row>
        <row r="696">
          <cell r="A696" t="str">
            <v>I-EL-79</v>
          </cell>
          <cell r="D696">
            <v>8008</v>
          </cell>
        </row>
        <row r="699">
          <cell r="A699" t="str">
            <v>I-EL-47</v>
          </cell>
          <cell r="D699">
            <v>8008</v>
          </cell>
        </row>
        <row r="702">
          <cell r="A702" t="str">
            <v>CLI_CE-MERCADO 061</v>
          </cell>
          <cell r="D702">
            <v>7669.3240000000005</v>
          </cell>
        </row>
        <row r="705">
          <cell r="A705" t="str">
            <v>I-EL-46</v>
          </cell>
          <cell r="D705">
            <v>7904</v>
          </cell>
        </row>
        <row r="708">
          <cell r="A708" t="str">
            <v>CLI_CE-MERCADO 060</v>
          </cell>
          <cell r="D708">
            <v>7669.3240000000005</v>
          </cell>
        </row>
        <row r="711">
          <cell r="A711" t="str">
            <v>I-EL-19</v>
          </cell>
          <cell r="D711">
            <v>7800</v>
          </cell>
        </row>
        <row r="714">
          <cell r="A714" t="str">
            <v>I-EL-15</v>
          </cell>
          <cell r="D714">
            <v>7800</v>
          </cell>
        </row>
        <row r="717">
          <cell r="A717" t="str">
            <v>I-EL-52</v>
          </cell>
          <cell r="D717">
            <v>7800</v>
          </cell>
        </row>
        <row r="720">
          <cell r="A720" t="str">
            <v>CLI_CE-MERCADO 091</v>
          </cell>
          <cell r="D720">
            <v>523.22400000000005</v>
          </cell>
        </row>
        <row r="723">
          <cell r="A723" t="str">
            <v>I-EL-63</v>
          </cell>
          <cell r="D723">
            <v>7904</v>
          </cell>
        </row>
        <row r="726">
          <cell r="A726" t="str">
            <v>CLI_CE-MERCADO 041</v>
          </cell>
          <cell r="D726">
            <v>7124</v>
          </cell>
        </row>
        <row r="729">
          <cell r="A729" t="str">
            <v>I-EL-24</v>
          </cell>
          <cell r="D729">
            <v>7384</v>
          </cell>
        </row>
        <row r="732">
          <cell r="A732" t="str">
            <v>I-EL-35</v>
          </cell>
          <cell r="D732">
            <v>7384</v>
          </cell>
        </row>
        <row r="735">
          <cell r="A735" t="str">
            <v>CLI_CE-MERCADO 063</v>
          </cell>
          <cell r="D735">
            <v>6934.72</v>
          </cell>
        </row>
        <row r="738">
          <cell r="A738" t="str">
            <v>I-EL-82</v>
          </cell>
          <cell r="D738">
            <v>7176</v>
          </cell>
        </row>
        <row r="741">
          <cell r="A741" t="str">
            <v>I-EL-39</v>
          </cell>
          <cell r="D741">
            <v>7176</v>
          </cell>
        </row>
        <row r="744">
          <cell r="A744" t="str">
            <v>I-EL-60</v>
          </cell>
          <cell r="D744">
            <v>7176</v>
          </cell>
        </row>
        <row r="747">
          <cell r="A747" t="str">
            <v>COT-SOM12</v>
          </cell>
          <cell r="D747">
            <v>7092.8</v>
          </cell>
        </row>
        <row r="750">
          <cell r="A750" t="str">
            <v>I-EL-58</v>
          </cell>
          <cell r="D750">
            <v>7072</v>
          </cell>
        </row>
        <row r="753">
          <cell r="A753" t="str">
            <v>I-EL-28</v>
          </cell>
          <cell r="D753">
            <v>7072</v>
          </cell>
        </row>
        <row r="756">
          <cell r="A756" t="str">
            <v>I-EL-83</v>
          </cell>
          <cell r="D756">
            <v>6760</v>
          </cell>
        </row>
        <row r="759">
          <cell r="A759" t="str">
            <v>CLI_CE-MERCADO 079</v>
          </cell>
          <cell r="D759">
            <v>98.217600000000004</v>
          </cell>
        </row>
        <row r="762">
          <cell r="A762" t="str">
            <v>CLI_CE-MERCADO 059</v>
          </cell>
          <cell r="D762">
            <v>6311.9159999999993</v>
          </cell>
        </row>
        <row r="765">
          <cell r="A765" t="str">
            <v>CLI_CE-MERCADO 057</v>
          </cell>
          <cell r="D765">
            <v>6311.9159999999993</v>
          </cell>
        </row>
        <row r="768">
          <cell r="A768" t="str">
            <v>I-EL-72</v>
          </cell>
          <cell r="D768">
            <v>6552</v>
          </cell>
        </row>
        <row r="771">
          <cell r="A771" t="str">
            <v>I-EL-113</v>
          </cell>
          <cell r="D771">
            <v>6448</v>
          </cell>
        </row>
        <row r="774">
          <cell r="A774" t="str">
            <v>I-EL-40</v>
          </cell>
          <cell r="D774">
            <v>6448</v>
          </cell>
        </row>
        <row r="777">
          <cell r="A777" t="str">
            <v>I-EL-111</v>
          </cell>
          <cell r="D777">
            <v>6448</v>
          </cell>
        </row>
        <row r="780">
          <cell r="A780" t="str">
            <v>I-EL-107</v>
          </cell>
          <cell r="D780">
            <v>6448</v>
          </cell>
        </row>
        <row r="783">
          <cell r="A783" t="str">
            <v>I-EL-109</v>
          </cell>
          <cell r="D783">
            <v>6448</v>
          </cell>
        </row>
        <row r="786">
          <cell r="A786" t="str">
            <v>I-EL-106</v>
          </cell>
          <cell r="D786">
            <v>6448</v>
          </cell>
        </row>
        <row r="789">
          <cell r="A789" t="str">
            <v>I-EL-38</v>
          </cell>
          <cell r="D789">
            <v>6448</v>
          </cell>
        </row>
        <row r="792">
          <cell r="A792" t="str">
            <v>I-EL-112</v>
          </cell>
          <cell r="D792">
            <v>6448</v>
          </cell>
        </row>
        <row r="795">
          <cell r="A795" t="str">
            <v>I-EL-110</v>
          </cell>
          <cell r="D795">
            <v>6448</v>
          </cell>
        </row>
        <row r="798">
          <cell r="A798" t="str">
            <v>I-EL-108</v>
          </cell>
          <cell r="D798">
            <v>6448</v>
          </cell>
        </row>
        <row r="801">
          <cell r="A801" t="str">
            <v>I-EL-18</v>
          </cell>
          <cell r="D801">
            <v>6448</v>
          </cell>
        </row>
        <row r="804">
          <cell r="A804" t="str">
            <v>I-EL-43</v>
          </cell>
          <cell r="D804">
            <v>6344</v>
          </cell>
        </row>
        <row r="807">
          <cell r="A807" t="str">
            <v>CLI_CE-MERCADO 056</v>
          </cell>
          <cell r="D807">
            <v>5911.2872000000007</v>
          </cell>
        </row>
        <row r="810">
          <cell r="A810" t="str">
            <v>I-EL-41</v>
          </cell>
          <cell r="D810">
            <v>5928</v>
          </cell>
        </row>
        <row r="813">
          <cell r="A813" t="str">
            <v>I-EL-36</v>
          </cell>
          <cell r="D813">
            <v>5928</v>
          </cell>
        </row>
        <row r="816">
          <cell r="A816" t="str">
            <v>CLI_CE-MERCADO 055</v>
          </cell>
          <cell r="D816">
            <v>5652.2232000000004</v>
          </cell>
        </row>
        <row r="819">
          <cell r="A819" t="str">
            <v>I-EL-37</v>
          </cell>
          <cell r="D819">
            <v>5824</v>
          </cell>
        </row>
        <row r="822">
          <cell r="A822" t="str">
            <v>CLI_CE-MERCADO 039</v>
          </cell>
          <cell r="D822">
            <v>5595.2</v>
          </cell>
        </row>
        <row r="825">
          <cell r="A825" t="str">
            <v>CLI_CE-MERCADO 0122</v>
          </cell>
          <cell r="D825">
            <v>349.1592</v>
          </cell>
        </row>
        <row r="828">
          <cell r="A828" t="str">
            <v>I-EL-95</v>
          </cell>
          <cell r="D828">
            <v>5720</v>
          </cell>
        </row>
        <row r="831">
          <cell r="A831" t="str">
            <v>COT-SOM6</v>
          </cell>
          <cell r="D831">
            <v>5553.6</v>
          </cell>
        </row>
        <row r="834">
          <cell r="A834" t="str">
            <v>CLI_CE-MERCADO 051</v>
          </cell>
          <cell r="D834">
            <v>5177.6608000000006</v>
          </cell>
        </row>
        <row r="837">
          <cell r="A837" t="str">
            <v>CLI_CE-MERCADO 062</v>
          </cell>
          <cell r="D837">
            <v>5036.72</v>
          </cell>
        </row>
        <row r="840">
          <cell r="A840" t="str">
            <v>CLI_CE-MERCADO 050</v>
          </cell>
          <cell r="D840">
            <v>4927.8527999999997</v>
          </cell>
        </row>
        <row r="843">
          <cell r="A843" t="str">
            <v>CLI_CE-MERCADO 0102</v>
          </cell>
          <cell r="D843">
            <v>155.88559999999998</v>
          </cell>
        </row>
        <row r="846">
          <cell r="A846" t="str">
            <v>CLI_CE-MERCADO 058</v>
          </cell>
          <cell r="D846">
            <v>4640.4799999999996</v>
          </cell>
        </row>
        <row r="849">
          <cell r="A849" t="str">
            <v>CLI_CE-MERCADO 096</v>
          </cell>
          <cell r="D849">
            <v>61.0792</v>
          </cell>
        </row>
        <row r="852">
          <cell r="A852" t="str">
            <v>CLI_CE-MERCADO 054</v>
          </cell>
          <cell r="D852">
            <v>4303.0364</v>
          </cell>
        </row>
        <row r="855">
          <cell r="A855" t="str">
            <v>CLI_CE-MERCADO 086</v>
          </cell>
          <cell r="D855">
            <v>221.80080000000001</v>
          </cell>
        </row>
        <row r="858">
          <cell r="A858" t="str">
            <v>I-EL-71</v>
          </cell>
          <cell r="D858">
            <v>4784</v>
          </cell>
        </row>
        <row r="861">
          <cell r="A861" t="str">
            <v>I-EL-25</v>
          </cell>
          <cell r="D861">
            <v>4784</v>
          </cell>
        </row>
        <row r="864">
          <cell r="A864" t="str">
            <v>I-EL-23</v>
          </cell>
          <cell r="D864">
            <v>4680</v>
          </cell>
        </row>
        <row r="867">
          <cell r="A867" t="str">
            <v>CLI_CE-MERCADO 0115</v>
          </cell>
          <cell r="D867">
            <v>300.85119999999995</v>
          </cell>
        </row>
        <row r="870">
          <cell r="A870" t="str">
            <v>I-EL-14</v>
          </cell>
          <cell r="D870">
            <v>3952</v>
          </cell>
        </row>
        <row r="873">
          <cell r="A873" t="str">
            <v>I-EL-26</v>
          </cell>
          <cell r="D873">
            <v>3952</v>
          </cell>
        </row>
        <row r="876">
          <cell r="A876" t="str">
            <v>I-EL-42</v>
          </cell>
          <cell r="D876">
            <v>3952</v>
          </cell>
        </row>
        <row r="879">
          <cell r="A879" t="str">
            <v>I-EL-22</v>
          </cell>
          <cell r="D879">
            <v>3952</v>
          </cell>
        </row>
        <row r="882">
          <cell r="A882" t="str">
            <v>COT-SOM1</v>
          </cell>
          <cell r="D882">
            <v>3837.6</v>
          </cell>
        </row>
        <row r="885">
          <cell r="A885" t="str">
            <v>CLI_CE-MERCADO 092</v>
          </cell>
          <cell r="D885">
            <v>473.2208</v>
          </cell>
        </row>
        <row r="888">
          <cell r="A888" t="str">
            <v>COT-SOM7</v>
          </cell>
          <cell r="D888">
            <v>3837.6</v>
          </cell>
        </row>
        <row r="891">
          <cell r="A891" t="str">
            <v>CLI_CE-MERCADO 0100</v>
          </cell>
          <cell r="D891">
            <v>612.22719999999993</v>
          </cell>
        </row>
        <row r="894">
          <cell r="A894" t="str">
            <v>INS-30224417</v>
          </cell>
          <cell r="D894">
            <v>99</v>
          </cell>
        </row>
        <row r="897">
          <cell r="A897" t="str">
            <v>COT-SOM4</v>
          </cell>
          <cell r="D897">
            <v>1206.4000000000001</v>
          </cell>
        </row>
        <row r="900">
          <cell r="A900" t="str">
            <v>COT-SOM9</v>
          </cell>
          <cell r="D900">
            <v>191.30799999999999</v>
          </cell>
        </row>
        <row r="903">
          <cell r="A903" t="str">
            <v>INS-35489489</v>
          </cell>
          <cell r="D903">
            <v>601.5</v>
          </cell>
        </row>
        <row r="906">
          <cell r="A906" t="str">
            <v>COT-SOM2</v>
          </cell>
          <cell r="D906">
            <v>2919.6856000000002</v>
          </cell>
        </row>
        <row r="909">
          <cell r="A909" t="str">
            <v>CLI_CE-MERCADO 0124</v>
          </cell>
          <cell r="D909">
            <v>461.26079999999996</v>
          </cell>
        </row>
        <row r="912">
          <cell r="A912" t="str">
            <v>CLI_CE-MERCADO 0128</v>
          </cell>
          <cell r="D912">
            <v>459.5136</v>
          </cell>
        </row>
        <row r="915">
          <cell r="A915" t="str">
            <v>CLI_CE-MERCADO 090</v>
          </cell>
          <cell r="D915">
            <v>310.51279999999997</v>
          </cell>
        </row>
        <row r="918">
          <cell r="A918" t="str">
            <v>CLI_CE-MERCADO 01031</v>
          </cell>
          <cell r="D918">
            <v>199.89839999999998</v>
          </cell>
        </row>
        <row r="921">
          <cell r="A921" t="str">
            <v>CLI_CE-MERCADO 0137</v>
          </cell>
          <cell r="D921">
            <v>927.01440000000002</v>
          </cell>
        </row>
        <row r="924">
          <cell r="A924" t="str">
            <v>CLI_CE-MERCADO 088</v>
          </cell>
          <cell r="D924">
            <v>257.86799999999999</v>
          </cell>
        </row>
        <row r="927">
          <cell r="A927" t="str">
            <v>CLI_CE-MERCADO 0127</v>
          </cell>
          <cell r="D927">
            <v>428.31359999999995</v>
          </cell>
        </row>
        <row r="930">
          <cell r="A930" t="str">
            <v>CLI_CE-MERCADO 0106</v>
          </cell>
          <cell r="D930">
            <v>210.1944</v>
          </cell>
        </row>
        <row r="933">
          <cell r="A933" t="str">
            <v>CLI_CE-MERCADO 0134</v>
          </cell>
          <cell r="D933">
            <v>741.3119999999999</v>
          </cell>
        </row>
        <row r="936">
          <cell r="A936" t="str">
            <v>CLI_CE-MERCADO 0107</v>
          </cell>
          <cell r="D936">
            <v>231.3064</v>
          </cell>
        </row>
        <row r="939">
          <cell r="A939" t="str">
            <v>CLI_CE-MERCADO 0131</v>
          </cell>
          <cell r="D939">
            <v>340.61039999999997</v>
          </cell>
        </row>
        <row r="942">
          <cell r="A942" t="str">
            <v>CLI_CE-MERCADO 0120</v>
          </cell>
          <cell r="D942">
            <v>259.75040000000001</v>
          </cell>
        </row>
        <row r="945">
          <cell r="A945" t="str">
            <v>CLI_CE-MERCADO 01030</v>
          </cell>
          <cell r="D945">
            <v>158.93799999999999</v>
          </cell>
        </row>
        <row r="948">
          <cell r="A948" t="str">
            <v>CLI_CE-MERCADO 01039</v>
          </cell>
          <cell r="D948">
            <v>151.03399999999999</v>
          </cell>
        </row>
        <row r="951">
          <cell r="A951" t="str">
            <v>CLI_CE-MERCADO 01038</v>
          </cell>
          <cell r="D951">
            <v>147.76320000000001</v>
          </cell>
        </row>
        <row r="954">
          <cell r="A954" t="str">
            <v>CLI_CE-MERCADO 098</v>
          </cell>
          <cell r="D954">
            <v>367.21359999999999</v>
          </cell>
        </row>
        <row r="957">
          <cell r="A957" t="str">
            <v>CLI_CE-MERCADO 099</v>
          </cell>
          <cell r="D957">
            <v>534.45600000000002</v>
          </cell>
        </row>
        <row r="960">
          <cell r="A960" t="str">
            <v>CLI_CE-MERCADO 0140</v>
          </cell>
          <cell r="D960">
            <v>1029.5999999999999</v>
          </cell>
        </row>
        <row r="963">
          <cell r="A963" t="str">
            <v>CLI_CE-MERCADO 0119</v>
          </cell>
          <cell r="D963">
            <v>248.56</v>
          </cell>
        </row>
        <row r="966">
          <cell r="A966" t="str">
            <v>CLI_CE-MERCADO 0139</v>
          </cell>
          <cell r="D966">
            <v>980.17920000000004</v>
          </cell>
        </row>
        <row r="969">
          <cell r="A969" t="str">
            <v>CLI_CE-MERCADO 0110</v>
          </cell>
          <cell r="D969">
            <v>195.38480000000001</v>
          </cell>
        </row>
        <row r="972">
          <cell r="A972" t="str">
            <v>CLI_CE-MERCADO 0138</v>
          </cell>
          <cell r="D972">
            <v>963.7056</v>
          </cell>
        </row>
        <row r="975">
          <cell r="A975" t="str">
            <v>CLI_CE-MERCADO 0133</v>
          </cell>
          <cell r="D975">
            <v>906.048</v>
          </cell>
        </row>
        <row r="978">
          <cell r="A978" t="str">
            <v>CLI_CE-MERCADO 0129</v>
          </cell>
          <cell r="D978">
            <v>766.02239999999995</v>
          </cell>
        </row>
        <row r="981">
          <cell r="A981" t="str">
            <v>CLI_CE-MERCADO 0118</v>
          </cell>
          <cell r="D981">
            <v>375.83519999999999</v>
          </cell>
        </row>
        <row r="984">
          <cell r="A984" t="str">
            <v>CLI_CE-MERCADO 0135</v>
          </cell>
          <cell r="D984">
            <v>741.3119999999999</v>
          </cell>
        </row>
        <row r="987">
          <cell r="A987" t="str">
            <v>CLI_CE-MERCADO 095</v>
          </cell>
          <cell r="D987">
            <v>91.52</v>
          </cell>
        </row>
        <row r="990">
          <cell r="A990" t="str">
            <v>CLI_CE-MERCADO 0104</v>
          </cell>
          <cell r="D990">
            <v>254.64400000000001</v>
          </cell>
        </row>
        <row r="993">
          <cell r="A993" t="str">
            <v>CLI_CE-MERCADO 0121</v>
          </cell>
          <cell r="D993">
            <v>243.57840000000002</v>
          </cell>
        </row>
        <row r="996">
          <cell r="A996" t="str">
            <v>CLI_CE-MERCADO 01037</v>
          </cell>
          <cell r="D996">
            <v>240.11520000000002</v>
          </cell>
        </row>
        <row r="999">
          <cell r="A999" t="str">
            <v>CLI_CE-MERCADO 01036</v>
          </cell>
          <cell r="D999">
            <v>240.11520000000002</v>
          </cell>
        </row>
        <row r="1002">
          <cell r="A1002" t="str">
            <v>CLI_CE-MERCADO 0123</v>
          </cell>
          <cell r="D1002">
            <v>438.3288</v>
          </cell>
        </row>
        <row r="1005">
          <cell r="A1005" t="str">
            <v>CLI_CE-MERCADO 0114</v>
          </cell>
          <cell r="D1005">
            <v>215.13440000000003</v>
          </cell>
        </row>
        <row r="1008">
          <cell r="A1008" t="str">
            <v>CLI_CE-MERCADO 0126</v>
          </cell>
          <cell r="D1008">
            <v>418.45440000000002</v>
          </cell>
        </row>
        <row r="1011">
          <cell r="A1011" t="str">
            <v>CLI_CE-MERCADO 0117</v>
          </cell>
          <cell r="D1011">
            <v>155.5008</v>
          </cell>
        </row>
        <row r="1014">
          <cell r="A1014" t="str">
            <v>CLI_CE-MERCADO 0130</v>
          </cell>
          <cell r="D1014">
            <v>296.5872</v>
          </cell>
        </row>
        <row r="1017">
          <cell r="A1017" t="str">
            <v>CLI_CE-MERCADO 097</v>
          </cell>
          <cell r="D1017">
            <v>266.79119999999995</v>
          </cell>
        </row>
        <row r="1020">
          <cell r="A1020" t="str">
            <v>CLI_CE-MERCADO 0125</v>
          </cell>
          <cell r="D1020">
            <v>247.02080000000001</v>
          </cell>
        </row>
        <row r="1023">
          <cell r="A1023" t="str">
            <v>CLI_CE-MERCADO 0108</v>
          </cell>
          <cell r="D1023">
            <v>174.74080000000001</v>
          </cell>
        </row>
        <row r="1026">
          <cell r="A1026" t="str">
            <v>CLI_CE-MERCADO 0101</v>
          </cell>
          <cell r="D1026">
            <v>136.12559999999999</v>
          </cell>
        </row>
        <row r="1029">
          <cell r="A1029" t="str">
            <v>VAE-01</v>
          </cell>
          <cell r="D1029">
            <v>116.4072</v>
          </cell>
        </row>
        <row r="1032">
          <cell r="A1032" t="str">
            <v>VAE-02</v>
          </cell>
          <cell r="D1032">
            <v>150.23840000000001</v>
          </cell>
        </row>
        <row r="1035">
          <cell r="A1035" t="str">
            <v>VAE-03</v>
          </cell>
          <cell r="D1035">
            <v>202.7688</v>
          </cell>
        </row>
        <row r="1038">
          <cell r="A1038" t="str">
            <v>VAE-04</v>
          </cell>
          <cell r="D1038">
            <v>424.46559999999999</v>
          </cell>
        </row>
        <row r="1041">
          <cell r="A1041" t="str">
            <v>VAE-05</v>
          </cell>
          <cell r="D1041">
            <v>159.3904</v>
          </cell>
        </row>
        <row r="1044">
          <cell r="A1044" t="str">
            <v>VAE-06</v>
          </cell>
          <cell r="D1044">
            <v>540.8728000000001</v>
          </cell>
        </row>
        <row r="1047">
          <cell r="A1047" t="str">
            <v>COT-ELE-HUUFCA-001</v>
          </cell>
          <cell r="D1047">
            <v>246612.76639999999</v>
          </cell>
        </row>
        <row r="1050">
          <cell r="A1050" t="str">
            <v>COT-ELE-HUUFCA-002</v>
          </cell>
          <cell r="D1050">
            <v>59290</v>
          </cell>
        </row>
        <row r="1053">
          <cell r="A1053" t="str">
            <v>COT-ELE-HUUFCA-003</v>
          </cell>
          <cell r="D1053">
            <v>189300</v>
          </cell>
        </row>
        <row r="1056">
          <cell r="A1056" t="str">
            <v>COT-ELE-HUUFCA-004</v>
          </cell>
          <cell r="D1056">
            <v>189300</v>
          </cell>
        </row>
      </sheetData>
      <sheetData sheetId="9"/>
      <sheetData sheetId="10"/>
      <sheetData sheetId="1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BFAA-EC65-4E2B-85FF-F7F829B4C8B3}">
  <dimension ref="A1:U1619"/>
  <sheetViews>
    <sheetView tabSelected="1" topLeftCell="A11" zoomScale="115" zoomScaleNormal="115" workbookViewId="0">
      <pane ySplit="2" topLeftCell="A13" activePane="bottomLeft" state="frozen"/>
      <selection activeCell="A11" sqref="A11"/>
      <selection pane="bottomLeft" activeCell="C19" sqref="C19"/>
    </sheetView>
  </sheetViews>
  <sheetFormatPr defaultColWidth="24.42578125" defaultRowHeight="12.75" x14ac:dyDescent="0.25"/>
  <cols>
    <col min="1" max="1" width="7.85546875" style="111" bestFit="1" customWidth="1"/>
    <col min="2" max="2" width="19.42578125" style="112" bestFit="1" customWidth="1"/>
    <col min="3" max="3" width="14.42578125" style="127" customWidth="1"/>
    <col min="4" max="4" width="152.42578125" style="106" customWidth="1"/>
    <col min="5" max="5" width="8" style="128" customWidth="1"/>
    <col min="6" max="6" width="11.5703125" style="129" bestFit="1" customWidth="1"/>
    <col min="7" max="7" width="21.85546875" style="130" customWidth="1"/>
    <col min="8" max="8" width="10" style="130" bestFit="1" customWidth="1"/>
    <col min="9" max="9" width="10.85546875" style="116" bestFit="1" customWidth="1"/>
    <col min="10" max="10" width="14.42578125" style="117" bestFit="1" customWidth="1"/>
    <col min="11" max="11" width="13.42578125" style="117" bestFit="1" customWidth="1"/>
    <col min="12" max="12" width="14.42578125" style="117" bestFit="1" customWidth="1"/>
    <col min="13" max="13" width="6.42578125" style="117" bestFit="1" customWidth="1"/>
    <col min="14" max="14" width="15.28515625" style="131" bestFit="1" customWidth="1"/>
    <col min="15" max="15" width="10" style="131" bestFit="1" customWidth="1"/>
    <col min="16" max="16" width="10.85546875" style="131" bestFit="1" customWidth="1"/>
    <col min="17" max="17" width="14.85546875" style="131" bestFit="1" customWidth="1"/>
    <col min="18" max="18" width="13.42578125" style="131" bestFit="1" customWidth="1"/>
    <col min="19" max="19" width="14.85546875" style="117" bestFit="1" customWidth="1"/>
    <col min="20" max="20" width="24.42578125" style="97"/>
    <col min="21" max="16384" width="24.42578125" style="106"/>
  </cols>
  <sheetData>
    <row r="1" spans="1:19" s="9" customFormat="1" thickBot="1" x14ac:dyDescent="0.3">
      <c r="A1" s="1"/>
      <c r="B1" s="2"/>
      <c r="C1" s="3"/>
      <c r="D1" s="1" t="s">
        <v>0</v>
      </c>
      <c r="E1" s="4"/>
      <c r="F1" s="5"/>
      <c r="G1" s="6"/>
      <c r="H1" s="6"/>
      <c r="I1" s="4"/>
      <c r="J1" s="7"/>
      <c r="K1" s="1"/>
      <c r="L1" s="1"/>
      <c r="M1" s="1"/>
      <c r="N1" s="8"/>
      <c r="O1" s="8"/>
      <c r="P1" s="8"/>
      <c r="Q1" s="8"/>
      <c r="R1" s="8"/>
      <c r="S1" s="7"/>
    </row>
    <row r="2" spans="1:19" s="13" customFormat="1" ht="18" customHeight="1" x14ac:dyDescent="0.25">
      <c r="A2" s="10"/>
      <c r="B2" s="11"/>
      <c r="C2" s="12"/>
      <c r="F2" s="14"/>
      <c r="G2" s="15" t="s">
        <v>1</v>
      </c>
      <c r="H2" s="16"/>
      <c r="I2" s="17"/>
      <c r="J2" s="17"/>
      <c r="K2" s="17"/>
      <c r="L2" s="18"/>
      <c r="M2" s="19"/>
      <c r="N2" s="20"/>
      <c r="O2" s="20"/>
      <c r="P2" s="20"/>
      <c r="Q2" s="20"/>
      <c r="R2" s="20"/>
    </row>
    <row r="3" spans="1:19" s="13" customFormat="1" ht="18.75" thickBot="1" x14ac:dyDescent="0.3">
      <c r="A3" s="10"/>
      <c r="B3" s="21"/>
      <c r="C3" s="21"/>
      <c r="D3" s="21"/>
      <c r="E3" s="21"/>
      <c r="F3" s="22"/>
      <c r="G3" s="23"/>
      <c r="H3" s="24"/>
      <c r="I3" s="25"/>
      <c r="J3" s="25"/>
      <c r="K3" s="25"/>
      <c r="L3" s="26"/>
      <c r="M3" s="19"/>
      <c r="N3" s="27"/>
      <c r="O3" s="27"/>
      <c r="P3" s="28"/>
      <c r="Q3" s="28"/>
      <c r="R3" s="27"/>
    </row>
    <row r="4" spans="1:19" s="13" customFormat="1" ht="18.75" thickBot="1" x14ac:dyDescent="0.3">
      <c r="A4" s="10"/>
      <c r="B4" s="29"/>
      <c r="D4" s="30"/>
      <c r="E4" s="31"/>
      <c r="F4" s="22"/>
      <c r="G4" s="32" t="s">
        <v>2</v>
      </c>
      <c r="H4" s="32"/>
      <c r="I4" s="32"/>
      <c r="J4" s="33">
        <v>246907693.59999993</v>
      </c>
      <c r="K4" s="33"/>
      <c r="L4" s="33"/>
      <c r="M4" s="34"/>
      <c r="N4" s="27"/>
      <c r="O4" s="27"/>
      <c r="P4" s="27"/>
      <c r="Q4" s="27"/>
      <c r="R4" s="27"/>
      <c r="S4" s="35"/>
    </row>
    <row r="5" spans="1:19" s="13" customFormat="1" ht="18" x14ac:dyDescent="0.25">
      <c r="A5" s="10"/>
      <c r="B5" s="29"/>
      <c r="C5" s="36"/>
      <c r="D5" s="30"/>
      <c r="E5" s="31"/>
      <c r="F5" s="22"/>
      <c r="G5" s="37"/>
      <c r="H5" s="37"/>
      <c r="I5" s="37"/>
      <c r="J5" s="38"/>
      <c r="K5" s="38"/>
      <c r="L5" s="38"/>
      <c r="M5" s="34"/>
      <c r="N5" s="27"/>
      <c r="O5" s="27"/>
      <c r="P5" s="27"/>
      <c r="Q5" s="27"/>
      <c r="R5" s="27"/>
      <c r="S5" s="35"/>
    </row>
    <row r="6" spans="1:19" s="13" customFormat="1" ht="18" x14ac:dyDescent="0.25">
      <c r="A6" s="39"/>
      <c r="B6" s="40"/>
      <c r="D6" s="30"/>
      <c r="E6" s="41"/>
      <c r="F6" s="22"/>
      <c r="G6" s="42" t="s">
        <v>3</v>
      </c>
      <c r="H6" s="43"/>
      <c r="I6" s="44"/>
      <c r="J6" s="45"/>
      <c r="K6" s="46" t="s">
        <v>4</v>
      </c>
      <c r="L6" s="47">
        <v>1.1288</v>
      </c>
      <c r="M6" s="47"/>
      <c r="N6" s="48" t="s">
        <v>5</v>
      </c>
      <c r="O6" s="47">
        <v>0.27529999999999999</v>
      </c>
      <c r="R6" s="49"/>
      <c r="S6" s="47"/>
    </row>
    <row r="7" spans="1:19" s="13" customFormat="1" ht="18" x14ac:dyDescent="0.25">
      <c r="A7" s="39"/>
      <c r="B7" s="50"/>
      <c r="C7" s="12"/>
      <c r="D7" s="30"/>
      <c r="E7" s="41"/>
      <c r="F7" s="22"/>
      <c r="G7" s="42" t="s">
        <v>6</v>
      </c>
      <c r="H7" s="51">
        <v>45870</v>
      </c>
      <c r="I7" s="52" t="s">
        <v>7</v>
      </c>
      <c r="J7" s="53" t="s">
        <v>8</v>
      </c>
      <c r="K7" s="46" t="s">
        <v>9</v>
      </c>
      <c r="L7" s="47">
        <v>0.69789999999999996</v>
      </c>
      <c r="M7" s="47"/>
      <c r="N7" s="48" t="s">
        <v>10</v>
      </c>
      <c r="O7" s="47">
        <v>0.1837</v>
      </c>
      <c r="R7" s="46"/>
    </row>
    <row r="8" spans="1:19" s="13" customFormat="1" ht="34.5" customHeight="1" x14ac:dyDescent="0.25">
      <c r="A8" s="10"/>
      <c r="B8" s="54"/>
      <c r="C8" s="36"/>
      <c r="D8" s="30"/>
      <c r="E8" s="41"/>
      <c r="F8" s="22"/>
      <c r="G8" s="42"/>
      <c r="H8" s="51"/>
      <c r="I8" s="52"/>
      <c r="J8" s="53"/>
      <c r="K8" s="46"/>
      <c r="L8" s="47"/>
      <c r="M8" s="47"/>
      <c r="N8" s="46"/>
      <c r="O8" s="46"/>
      <c r="P8" s="48"/>
      <c r="Q8" s="47"/>
      <c r="R8" s="46"/>
    </row>
    <row r="9" spans="1:19" s="13" customFormat="1" ht="18.75" customHeight="1" x14ac:dyDescent="0.25">
      <c r="A9" s="55" t="s">
        <v>11</v>
      </c>
      <c r="B9" s="55"/>
      <c r="C9" s="55"/>
      <c r="D9" s="55"/>
      <c r="E9" s="55"/>
      <c r="F9" s="55"/>
      <c r="G9" s="55"/>
      <c r="H9" s="55"/>
      <c r="I9" s="55"/>
      <c r="J9" s="55"/>
      <c r="K9" s="55"/>
      <c r="L9" s="55"/>
      <c r="M9" s="55"/>
      <c r="N9" s="55"/>
      <c r="O9" s="55"/>
      <c r="P9" s="55"/>
      <c r="Q9" s="55"/>
      <c r="R9" s="55"/>
      <c r="S9" s="55"/>
    </row>
    <row r="10" spans="1:19" s="9" customFormat="1" ht="12" x14ac:dyDescent="0.25">
      <c r="A10" s="56"/>
      <c r="B10" s="57"/>
      <c r="C10" s="58"/>
      <c r="D10" s="59"/>
      <c r="E10" s="60"/>
      <c r="F10" s="61"/>
      <c r="G10" s="62"/>
      <c r="H10" s="62"/>
      <c r="I10" s="63"/>
      <c r="J10" s="64"/>
      <c r="K10" s="64"/>
      <c r="L10" s="64"/>
      <c r="M10" s="64"/>
      <c r="N10" s="65"/>
      <c r="O10" s="65"/>
      <c r="P10" s="65"/>
      <c r="Q10" s="65"/>
      <c r="R10" s="65"/>
      <c r="S10" s="64"/>
    </row>
    <row r="11" spans="1:19" s="73" customFormat="1" ht="15" x14ac:dyDescent="0.25">
      <c r="A11" s="66" t="s">
        <v>12</v>
      </c>
      <c r="B11" s="67" t="s">
        <v>13</v>
      </c>
      <c r="C11" s="68" t="s">
        <v>14</v>
      </c>
      <c r="D11" s="69" t="s">
        <v>15</v>
      </c>
      <c r="E11" s="70" t="s">
        <v>16</v>
      </c>
      <c r="F11" s="71" t="s">
        <v>17</v>
      </c>
      <c r="G11" s="72" t="s">
        <v>18</v>
      </c>
      <c r="H11" s="72"/>
      <c r="I11" s="72"/>
      <c r="J11" s="72" t="s">
        <v>19</v>
      </c>
      <c r="K11" s="72"/>
      <c r="L11" s="72"/>
      <c r="M11" s="71" t="s">
        <v>20</v>
      </c>
      <c r="N11" s="72" t="s">
        <v>21</v>
      </c>
      <c r="O11" s="72"/>
      <c r="P11" s="72"/>
      <c r="Q11" s="72" t="s">
        <v>22</v>
      </c>
      <c r="R11" s="72"/>
      <c r="S11" s="72"/>
    </row>
    <row r="12" spans="1:19" s="81" customFormat="1" x14ac:dyDescent="0.25">
      <c r="A12" s="74"/>
      <c r="B12" s="75"/>
      <c r="C12" s="76"/>
      <c r="D12" s="77"/>
      <c r="E12" s="78"/>
      <c r="F12" s="79"/>
      <c r="G12" s="80" t="s">
        <v>23</v>
      </c>
      <c r="H12" s="80" t="s">
        <v>24</v>
      </c>
      <c r="I12" s="78" t="s">
        <v>25</v>
      </c>
      <c r="J12" s="78" t="s">
        <v>23</v>
      </c>
      <c r="K12" s="78" t="s">
        <v>24</v>
      </c>
      <c r="L12" s="78" t="s">
        <v>25</v>
      </c>
      <c r="M12" s="78"/>
      <c r="N12" s="78" t="s">
        <v>23</v>
      </c>
      <c r="O12" s="78" t="s">
        <v>24</v>
      </c>
      <c r="P12" s="78" t="s">
        <v>25</v>
      </c>
      <c r="Q12" s="78" t="s">
        <v>23</v>
      </c>
      <c r="R12" s="78" t="s">
        <v>24</v>
      </c>
      <c r="S12" s="78" t="s">
        <v>25</v>
      </c>
    </row>
    <row r="13" spans="1:19" s="89" customFormat="1" x14ac:dyDescent="0.25">
      <c r="A13" s="82" t="s">
        <v>26</v>
      </c>
      <c r="B13" s="82"/>
      <c r="C13" s="83" t="s">
        <v>27</v>
      </c>
      <c r="D13" s="84"/>
      <c r="E13" s="85"/>
      <c r="F13" s="86"/>
      <c r="G13" s="87"/>
      <c r="H13" s="87"/>
      <c r="I13" s="88"/>
      <c r="J13" s="87">
        <v>4399215.24</v>
      </c>
      <c r="K13" s="87">
        <v>7847667.7600000007</v>
      </c>
      <c r="L13" s="87">
        <v>12246883</v>
      </c>
      <c r="M13" s="87"/>
      <c r="N13" s="87"/>
      <c r="O13" s="87"/>
      <c r="P13" s="87"/>
      <c r="Q13" s="87">
        <v>5610348.3400000017</v>
      </c>
      <c r="R13" s="87">
        <v>10008063.540000003</v>
      </c>
      <c r="S13" s="87">
        <v>15618411.880000003</v>
      </c>
    </row>
    <row r="14" spans="1:19" x14ac:dyDescent="0.25">
      <c r="A14" s="90" t="s">
        <v>28</v>
      </c>
      <c r="B14" s="90"/>
      <c r="C14" s="91" t="s">
        <v>29</v>
      </c>
      <c r="D14" s="92"/>
      <c r="E14" s="90"/>
      <c r="F14" s="93"/>
      <c r="G14" s="94"/>
      <c r="H14" s="94"/>
      <c r="I14" s="95"/>
      <c r="J14" s="95"/>
      <c r="K14" s="95"/>
      <c r="L14" s="95"/>
      <c r="M14" s="96"/>
      <c r="N14" s="95"/>
      <c r="O14" s="95"/>
      <c r="P14" s="95"/>
      <c r="Q14" s="95"/>
      <c r="R14" s="95"/>
      <c r="S14" s="95"/>
    </row>
    <row r="15" spans="1:19" ht="15" x14ac:dyDescent="0.25">
      <c r="A15" s="90" t="s">
        <v>30</v>
      </c>
      <c r="B15" s="90" t="s">
        <v>31</v>
      </c>
      <c r="C15" s="98" t="s">
        <v>32</v>
      </c>
      <c r="D15" s="92" t="s">
        <v>33</v>
      </c>
      <c r="E15" s="90" t="s">
        <v>34</v>
      </c>
      <c r="F15" s="99">
        <v>100</v>
      </c>
      <c r="G15" s="94">
        <v>609.41999999999996</v>
      </c>
      <c r="H15" s="94">
        <v>162.63999999999999</v>
      </c>
      <c r="I15" s="95">
        <v>772.06</v>
      </c>
      <c r="J15" s="95">
        <v>60942</v>
      </c>
      <c r="K15" s="95">
        <v>16264</v>
      </c>
      <c r="L15" s="95">
        <v>77206</v>
      </c>
      <c r="M15" s="96">
        <v>0.27529999999999999</v>
      </c>
      <c r="N15" s="95">
        <v>777.19</v>
      </c>
      <c r="O15" s="95">
        <v>207.41</v>
      </c>
      <c r="P15" s="95">
        <v>984.6</v>
      </c>
      <c r="Q15" s="95">
        <v>77719</v>
      </c>
      <c r="R15" s="95">
        <v>20741</v>
      </c>
      <c r="S15" s="95">
        <v>98460</v>
      </c>
    </row>
    <row r="16" spans="1:19" ht="15" x14ac:dyDescent="0.25">
      <c r="A16" s="90" t="s">
        <v>35</v>
      </c>
      <c r="B16" s="90" t="s">
        <v>31</v>
      </c>
      <c r="C16" s="98" t="s">
        <v>36</v>
      </c>
      <c r="D16" s="92" t="s">
        <v>37</v>
      </c>
      <c r="E16" s="90" t="s">
        <v>34</v>
      </c>
      <c r="F16" s="99">
        <v>40</v>
      </c>
      <c r="G16" s="94">
        <v>209.33</v>
      </c>
      <c r="H16" s="94">
        <v>51.87</v>
      </c>
      <c r="I16" s="95">
        <v>261.2</v>
      </c>
      <c r="J16" s="95">
        <v>8373.2000000000007</v>
      </c>
      <c r="K16" s="95">
        <v>2074.7999999999993</v>
      </c>
      <c r="L16" s="95">
        <v>10448</v>
      </c>
      <c r="M16" s="96">
        <v>0.27529999999999999</v>
      </c>
      <c r="N16" s="95">
        <v>266.95999999999998</v>
      </c>
      <c r="O16" s="95">
        <v>66.150000000000006</v>
      </c>
      <c r="P16" s="95">
        <v>333.11</v>
      </c>
      <c r="Q16" s="95">
        <v>10678.4</v>
      </c>
      <c r="R16" s="95">
        <v>2646</v>
      </c>
      <c r="S16" s="95">
        <v>13324.4</v>
      </c>
    </row>
    <row r="17" spans="1:19" ht="15" x14ac:dyDescent="0.25">
      <c r="A17" s="90" t="s">
        <v>38</v>
      </c>
      <c r="B17" s="90" t="s">
        <v>31</v>
      </c>
      <c r="C17" s="98" t="s">
        <v>39</v>
      </c>
      <c r="D17" s="92" t="s">
        <v>40</v>
      </c>
      <c r="E17" s="90" t="s">
        <v>34</v>
      </c>
      <c r="F17" s="99">
        <v>90</v>
      </c>
      <c r="G17" s="94">
        <v>453.03</v>
      </c>
      <c r="H17" s="94">
        <v>134.83000000000001</v>
      </c>
      <c r="I17" s="95">
        <v>587.86</v>
      </c>
      <c r="J17" s="95">
        <v>40772.699999999997</v>
      </c>
      <c r="K17" s="95">
        <v>12134.700000000004</v>
      </c>
      <c r="L17" s="95">
        <v>52907.4</v>
      </c>
      <c r="M17" s="96">
        <v>0.27529999999999999</v>
      </c>
      <c r="N17" s="95">
        <v>577.75</v>
      </c>
      <c r="O17" s="95">
        <v>171.95</v>
      </c>
      <c r="P17" s="95">
        <v>749.7</v>
      </c>
      <c r="Q17" s="95">
        <v>51997.5</v>
      </c>
      <c r="R17" s="95">
        <v>15475.5</v>
      </c>
      <c r="S17" s="95">
        <v>67473</v>
      </c>
    </row>
    <row r="18" spans="1:19" ht="15" x14ac:dyDescent="0.25">
      <c r="A18" s="90" t="s">
        <v>41</v>
      </c>
      <c r="B18" s="90" t="s">
        <v>31</v>
      </c>
      <c r="C18" s="98" t="s">
        <v>42</v>
      </c>
      <c r="D18" s="92" t="s">
        <v>43</v>
      </c>
      <c r="E18" s="90" t="s">
        <v>34</v>
      </c>
      <c r="F18" s="99">
        <v>243.68</v>
      </c>
      <c r="G18" s="94">
        <v>679.91</v>
      </c>
      <c r="H18" s="94">
        <v>244.78</v>
      </c>
      <c r="I18" s="95">
        <v>924.68999999999994</v>
      </c>
      <c r="J18" s="95">
        <v>165680.46</v>
      </c>
      <c r="K18" s="95">
        <v>59648</v>
      </c>
      <c r="L18" s="95">
        <v>225328.46</v>
      </c>
      <c r="M18" s="96">
        <v>0.27529999999999999</v>
      </c>
      <c r="N18" s="95">
        <v>867.09</v>
      </c>
      <c r="O18" s="95">
        <v>312.17</v>
      </c>
      <c r="P18" s="95">
        <v>1179.26</v>
      </c>
      <c r="Q18" s="95">
        <v>211292.49</v>
      </c>
      <c r="R18" s="95">
        <v>76069.59</v>
      </c>
      <c r="S18" s="95">
        <v>287362.07999999996</v>
      </c>
    </row>
    <row r="19" spans="1:19" ht="15" x14ac:dyDescent="0.25">
      <c r="A19" s="90" t="s">
        <v>44</v>
      </c>
      <c r="B19" s="90" t="s">
        <v>45</v>
      </c>
      <c r="C19" s="98" t="s">
        <v>46</v>
      </c>
      <c r="D19" s="92" t="s">
        <v>47</v>
      </c>
      <c r="E19" s="90" t="s">
        <v>48</v>
      </c>
      <c r="F19" s="99">
        <v>126</v>
      </c>
      <c r="G19" s="94">
        <v>1448.18</v>
      </c>
      <c r="H19" s="94">
        <v>109.61</v>
      </c>
      <c r="I19" s="95">
        <v>1557.79</v>
      </c>
      <c r="J19" s="95">
        <v>182470.68</v>
      </c>
      <c r="K19" s="95">
        <v>13810.860000000015</v>
      </c>
      <c r="L19" s="95">
        <v>196281.54</v>
      </c>
      <c r="M19" s="96">
        <v>0.27529999999999999</v>
      </c>
      <c r="N19" s="95">
        <v>1846.86</v>
      </c>
      <c r="O19" s="95">
        <v>139.79</v>
      </c>
      <c r="P19" s="95">
        <v>1986.6499999999999</v>
      </c>
      <c r="Q19" s="95">
        <v>232704.36</v>
      </c>
      <c r="R19" s="95">
        <v>17613.54</v>
      </c>
      <c r="S19" s="95">
        <v>250317.9</v>
      </c>
    </row>
    <row r="20" spans="1:19" ht="15" x14ac:dyDescent="0.25">
      <c r="A20" s="90" t="s">
        <v>49</v>
      </c>
      <c r="B20" s="90" t="s">
        <v>45</v>
      </c>
      <c r="C20" s="98" t="s">
        <v>46</v>
      </c>
      <c r="D20" s="92" t="s">
        <v>50</v>
      </c>
      <c r="E20" s="90" t="s">
        <v>48</v>
      </c>
      <c r="F20" s="99">
        <v>60</v>
      </c>
      <c r="G20" s="94">
        <v>1448.18</v>
      </c>
      <c r="H20" s="94">
        <v>109.61</v>
      </c>
      <c r="I20" s="95">
        <v>1557.79</v>
      </c>
      <c r="J20" s="95">
        <v>86890.8</v>
      </c>
      <c r="K20" s="95">
        <v>6576.5999999999913</v>
      </c>
      <c r="L20" s="95">
        <v>93467.4</v>
      </c>
      <c r="M20" s="96">
        <v>0.27529999999999999</v>
      </c>
      <c r="N20" s="95">
        <v>1846.86</v>
      </c>
      <c r="O20" s="95">
        <v>139.79</v>
      </c>
      <c r="P20" s="95">
        <v>1986.6499999999999</v>
      </c>
      <c r="Q20" s="95">
        <v>110811.6</v>
      </c>
      <c r="R20" s="95">
        <v>8387.4</v>
      </c>
      <c r="S20" s="95">
        <v>119199</v>
      </c>
    </row>
    <row r="21" spans="1:19" ht="15" x14ac:dyDescent="0.25">
      <c r="A21" s="90" t="s">
        <v>51</v>
      </c>
      <c r="B21" s="90" t="s">
        <v>45</v>
      </c>
      <c r="C21" s="98" t="s">
        <v>46</v>
      </c>
      <c r="D21" s="92" t="s">
        <v>52</v>
      </c>
      <c r="E21" s="90" t="s">
        <v>48</v>
      </c>
      <c r="F21" s="99">
        <v>36</v>
      </c>
      <c r="G21" s="94">
        <v>1448.18</v>
      </c>
      <c r="H21" s="94">
        <v>109.61</v>
      </c>
      <c r="I21" s="95">
        <v>1557.79</v>
      </c>
      <c r="J21" s="95">
        <v>52134.48</v>
      </c>
      <c r="K21" s="95">
        <v>3945.9599999999991</v>
      </c>
      <c r="L21" s="95">
        <v>56080.44</v>
      </c>
      <c r="M21" s="96">
        <v>0.27529999999999999</v>
      </c>
      <c r="N21" s="95">
        <v>1846.86</v>
      </c>
      <c r="O21" s="95">
        <v>139.79</v>
      </c>
      <c r="P21" s="95">
        <v>1986.6499999999999</v>
      </c>
      <c r="Q21" s="95">
        <v>66486.960000000006</v>
      </c>
      <c r="R21" s="95">
        <v>5032.4399999999996</v>
      </c>
      <c r="S21" s="95">
        <v>71519.400000000009</v>
      </c>
    </row>
    <row r="22" spans="1:19" ht="15" x14ac:dyDescent="0.25">
      <c r="A22" s="90" t="s">
        <v>53</v>
      </c>
      <c r="B22" s="90" t="s">
        <v>45</v>
      </c>
      <c r="C22" s="98" t="s">
        <v>54</v>
      </c>
      <c r="D22" s="92" t="s">
        <v>55</v>
      </c>
      <c r="E22" s="90" t="s">
        <v>48</v>
      </c>
      <c r="F22" s="99">
        <v>36</v>
      </c>
      <c r="G22" s="94">
        <v>926.93</v>
      </c>
      <c r="H22" s="94">
        <v>21.91</v>
      </c>
      <c r="I22" s="95">
        <v>948.83999999999992</v>
      </c>
      <c r="J22" s="95">
        <v>33369.480000000003</v>
      </c>
      <c r="K22" s="95">
        <v>788.75999999999476</v>
      </c>
      <c r="L22" s="95">
        <v>34158.239999999998</v>
      </c>
      <c r="M22" s="96">
        <v>0.27529999999999999</v>
      </c>
      <c r="N22" s="95">
        <v>1182.1099999999999</v>
      </c>
      <c r="O22" s="95">
        <v>27.94</v>
      </c>
      <c r="P22" s="95">
        <v>1210.05</v>
      </c>
      <c r="Q22" s="95">
        <v>42555.96</v>
      </c>
      <c r="R22" s="95">
        <v>1005.84</v>
      </c>
      <c r="S22" s="95">
        <v>43561.799999999996</v>
      </c>
    </row>
    <row r="23" spans="1:19" ht="15" x14ac:dyDescent="0.25">
      <c r="A23" s="90" t="s">
        <v>56</v>
      </c>
      <c r="B23" s="90" t="s">
        <v>31</v>
      </c>
      <c r="C23" s="98" t="s">
        <v>57</v>
      </c>
      <c r="D23" s="92" t="s">
        <v>58</v>
      </c>
      <c r="E23" s="90" t="s">
        <v>16</v>
      </c>
      <c r="F23" s="99">
        <v>1</v>
      </c>
      <c r="G23" s="94">
        <v>2669.66</v>
      </c>
      <c r="H23" s="94">
        <v>410.37</v>
      </c>
      <c r="I23" s="95">
        <v>3080.0299999999997</v>
      </c>
      <c r="J23" s="95">
        <v>2669.66</v>
      </c>
      <c r="K23" s="95">
        <v>410.37000000000035</v>
      </c>
      <c r="L23" s="95">
        <v>3080.03</v>
      </c>
      <c r="M23" s="96">
        <v>0.27529999999999999</v>
      </c>
      <c r="N23" s="95">
        <v>3404.62</v>
      </c>
      <c r="O23" s="95">
        <v>523.34</v>
      </c>
      <c r="P23" s="95">
        <v>3927.96</v>
      </c>
      <c r="Q23" s="95">
        <v>3404.62</v>
      </c>
      <c r="R23" s="95">
        <v>523.34</v>
      </c>
      <c r="S23" s="95">
        <v>3927.96</v>
      </c>
    </row>
    <row r="24" spans="1:19" ht="15" x14ac:dyDescent="0.25">
      <c r="A24" s="90" t="s">
        <v>59</v>
      </c>
      <c r="B24" s="90" t="s">
        <v>31</v>
      </c>
      <c r="C24" s="98" t="s">
        <v>60</v>
      </c>
      <c r="D24" s="92" t="s">
        <v>61</v>
      </c>
      <c r="E24" s="90" t="s">
        <v>16</v>
      </c>
      <c r="F24" s="99">
        <v>1</v>
      </c>
      <c r="G24" s="94">
        <v>522</v>
      </c>
      <c r="H24" s="94">
        <v>63.48</v>
      </c>
      <c r="I24" s="95">
        <v>585.48</v>
      </c>
      <c r="J24" s="95">
        <v>522</v>
      </c>
      <c r="K24" s="95">
        <v>63.480000000000018</v>
      </c>
      <c r="L24" s="95">
        <v>585.48</v>
      </c>
      <c r="M24" s="96">
        <v>0.27529999999999999</v>
      </c>
      <c r="N24" s="95">
        <v>665.71</v>
      </c>
      <c r="O24" s="95">
        <v>80.959999999999994</v>
      </c>
      <c r="P24" s="95">
        <v>746.67000000000007</v>
      </c>
      <c r="Q24" s="95">
        <v>665.71</v>
      </c>
      <c r="R24" s="95">
        <v>80.959999999999994</v>
      </c>
      <c r="S24" s="95">
        <v>746.67000000000007</v>
      </c>
    </row>
    <row r="25" spans="1:19" ht="15" x14ac:dyDescent="0.25">
      <c r="A25" s="90" t="s">
        <v>62</v>
      </c>
      <c r="B25" s="90" t="s">
        <v>31</v>
      </c>
      <c r="C25" s="98" t="s">
        <v>63</v>
      </c>
      <c r="D25" s="92" t="s">
        <v>64</v>
      </c>
      <c r="E25" s="90" t="s">
        <v>16</v>
      </c>
      <c r="F25" s="99">
        <v>1</v>
      </c>
      <c r="G25" s="94">
        <v>111.26</v>
      </c>
      <c r="H25" s="94">
        <v>16.72</v>
      </c>
      <c r="I25" s="95">
        <v>127.98</v>
      </c>
      <c r="J25" s="95">
        <v>111.26</v>
      </c>
      <c r="K25" s="95">
        <v>16.72</v>
      </c>
      <c r="L25" s="95">
        <v>127.98</v>
      </c>
      <c r="M25" s="96">
        <v>0.27529999999999999</v>
      </c>
      <c r="N25" s="95">
        <v>141.88999999999999</v>
      </c>
      <c r="O25" s="95">
        <v>21.32</v>
      </c>
      <c r="P25" s="95">
        <v>163.20999999999998</v>
      </c>
      <c r="Q25" s="95">
        <v>141.88999999999999</v>
      </c>
      <c r="R25" s="95">
        <v>21.32</v>
      </c>
      <c r="S25" s="95">
        <v>163.20999999999998</v>
      </c>
    </row>
    <row r="26" spans="1:19" ht="15" x14ac:dyDescent="0.25">
      <c r="A26" s="90" t="s">
        <v>65</v>
      </c>
      <c r="B26" s="90" t="s">
        <v>31</v>
      </c>
      <c r="C26" s="98" t="s">
        <v>66</v>
      </c>
      <c r="D26" s="92" t="s">
        <v>67</v>
      </c>
      <c r="E26" s="90" t="s">
        <v>16</v>
      </c>
      <c r="F26" s="99">
        <v>3</v>
      </c>
      <c r="G26" s="94">
        <v>1195.77</v>
      </c>
      <c r="H26" s="94">
        <v>516.35</v>
      </c>
      <c r="I26" s="95">
        <v>1712.12</v>
      </c>
      <c r="J26" s="95">
        <v>3587.31</v>
      </c>
      <c r="K26" s="95">
        <v>1549.0499999999997</v>
      </c>
      <c r="L26" s="95">
        <v>5136.3599999999997</v>
      </c>
      <c r="M26" s="96">
        <v>0.27529999999999999</v>
      </c>
      <c r="N26" s="95">
        <v>1524.97</v>
      </c>
      <c r="O26" s="95">
        <v>658.5</v>
      </c>
      <c r="P26" s="95">
        <v>2183.4700000000003</v>
      </c>
      <c r="Q26" s="95">
        <v>4574.91</v>
      </c>
      <c r="R26" s="95">
        <v>1975.5</v>
      </c>
      <c r="S26" s="95">
        <v>6550.41</v>
      </c>
    </row>
    <row r="27" spans="1:19" ht="15" x14ac:dyDescent="0.25">
      <c r="A27" s="90" t="s">
        <v>68</v>
      </c>
      <c r="B27" s="90" t="s">
        <v>31</v>
      </c>
      <c r="C27" s="98" t="s">
        <v>69</v>
      </c>
      <c r="D27" s="92" t="s">
        <v>70</v>
      </c>
      <c r="E27" s="90" t="s">
        <v>16</v>
      </c>
      <c r="F27" s="99">
        <v>1</v>
      </c>
      <c r="G27" s="94">
        <v>311.05</v>
      </c>
      <c r="H27" s="94">
        <v>202.61</v>
      </c>
      <c r="I27" s="95">
        <v>513.66000000000008</v>
      </c>
      <c r="J27" s="95">
        <v>311.05</v>
      </c>
      <c r="K27" s="95">
        <v>202.60999999999996</v>
      </c>
      <c r="L27" s="95">
        <v>513.66</v>
      </c>
      <c r="M27" s="96">
        <v>0.27529999999999999</v>
      </c>
      <c r="N27" s="95">
        <v>396.68</v>
      </c>
      <c r="O27" s="95">
        <v>258.39</v>
      </c>
      <c r="P27" s="95">
        <v>655.06999999999994</v>
      </c>
      <c r="Q27" s="95">
        <v>396.68</v>
      </c>
      <c r="R27" s="95">
        <v>258.39</v>
      </c>
      <c r="S27" s="95">
        <v>655.06999999999994</v>
      </c>
    </row>
    <row r="28" spans="1:19" ht="15" x14ac:dyDescent="0.25">
      <c r="A28" s="90" t="s">
        <v>71</v>
      </c>
      <c r="B28" s="90" t="s">
        <v>31</v>
      </c>
      <c r="C28" s="98" t="s">
        <v>72</v>
      </c>
      <c r="D28" s="92" t="s">
        <v>73</v>
      </c>
      <c r="E28" s="90" t="s">
        <v>34</v>
      </c>
      <c r="F28" s="99">
        <v>12</v>
      </c>
      <c r="G28" s="94">
        <v>437.36</v>
      </c>
      <c r="H28" s="94">
        <v>30.39</v>
      </c>
      <c r="I28" s="95">
        <v>467.75</v>
      </c>
      <c r="J28" s="95">
        <v>5248.32</v>
      </c>
      <c r="K28" s="95">
        <v>364.68000000000029</v>
      </c>
      <c r="L28" s="95">
        <v>5613</v>
      </c>
      <c r="M28" s="96">
        <v>0.27529999999999999</v>
      </c>
      <c r="N28" s="95">
        <v>557.77</v>
      </c>
      <c r="O28" s="95">
        <v>38.76</v>
      </c>
      <c r="P28" s="95">
        <v>596.53</v>
      </c>
      <c r="Q28" s="95">
        <v>6693.24</v>
      </c>
      <c r="R28" s="95">
        <v>465.12</v>
      </c>
      <c r="S28" s="95">
        <v>7158.36</v>
      </c>
    </row>
    <row r="29" spans="1:19" ht="15" x14ac:dyDescent="0.25">
      <c r="A29" s="90" t="s">
        <v>74</v>
      </c>
      <c r="B29" s="90" t="s">
        <v>75</v>
      </c>
      <c r="C29" s="98" t="s">
        <v>76</v>
      </c>
      <c r="D29" s="92" t="s">
        <v>77</v>
      </c>
      <c r="E29" s="90" t="s">
        <v>78</v>
      </c>
      <c r="F29" s="99">
        <v>1152</v>
      </c>
      <c r="G29" s="94">
        <v>102.76</v>
      </c>
      <c r="H29" s="94">
        <v>9.1999999999999993</v>
      </c>
      <c r="I29" s="95">
        <v>111.96000000000001</v>
      </c>
      <c r="J29" s="95">
        <v>118379.52</v>
      </c>
      <c r="K29" s="95">
        <v>10598.399999999994</v>
      </c>
      <c r="L29" s="95">
        <v>128977.92</v>
      </c>
      <c r="M29" s="96">
        <v>0.27529999999999999</v>
      </c>
      <c r="N29" s="95">
        <v>131.05000000000001</v>
      </c>
      <c r="O29" s="95">
        <v>11.73</v>
      </c>
      <c r="P29" s="95">
        <v>142.78</v>
      </c>
      <c r="Q29" s="95">
        <v>150969.60000000001</v>
      </c>
      <c r="R29" s="95">
        <v>13512.96</v>
      </c>
      <c r="S29" s="95">
        <v>164482.56</v>
      </c>
    </row>
    <row r="30" spans="1:19" ht="15" x14ac:dyDescent="0.25">
      <c r="A30" s="90" t="s">
        <v>79</v>
      </c>
      <c r="B30" s="90" t="s">
        <v>31</v>
      </c>
      <c r="C30" s="98" t="s">
        <v>80</v>
      </c>
      <c r="D30" s="92" t="s">
        <v>81</v>
      </c>
      <c r="E30" s="90" t="s">
        <v>34</v>
      </c>
      <c r="F30" s="99">
        <v>1496</v>
      </c>
      <c r="G30" s="94">
        <v>71.41</v>
      </c>
      <c r="H30" s="94">
        <v>25.87</v>
      </c>
      <c r="I30" s="95">
        <v>97.28</v>
      </c>
      <c r="J30" s="95">
        <v>106829.36</v>
      </c>
      <c r="K30" s="95">
        <v>38701.520000000004</v>
      </c>
      <c r="L30" s="95">
        <v>145530.88</v>
      </c>
      <c r="M30" s="96">
        <v>0.27529999999999999</v>
      </c>
      <c r="N30" s="95">
        <v>91.07</v>
      </c>
      <c r="O30" s="95">
        <v>32.99</v>
      </c>
      <c r="P30" s="95">
        <v>124.06</v>
      </c>
      <c r="Q30" s="95">
        <v>136240.72</v>
      </c>
      <c r="R30" s="95">
        <v>49353.04</v>
      </c>
      <c r="S30" s="95">
        <v>185593.76</v>
      </c>
    </row>
    <row r="31" spans="1:19" ht="15" x14ac:dyDescent="0.25">
      <c r="A31" s="90" t="s">
        <v>82</v>
      </c>
      <c r="B31" s="90" t="s">
        <v>31</v>
      </c>
      <c r="C31" s="98" t="s">
        <v>83</v>
      </c>
      <c r="D31" s="92" t="s">
        <v>84</v>
      </c>
      <c r="E31" s="90" t="s">
        <v>16</v>
      </c>
      <c r="F31" s="99">
        <v>11</v>
      </c>
      <c r="G31" s="94">
        <v>863.76</v>
      </c>
      <c r="H31" s="94">
        <v>17.73</v>
      </c>
      <c r="I31" s="95">
        <v>881.49</v>
      </c>
      <c r="J31" s="95">
        <v>9501.36</v>
      </c>
      <c r="K31" s="95">
        <v>195.02999999999884</v>
      </c>
      <c r="L31" s="95">
        <v>9696.39</v>
      </c>
      <c r="M31" s="96">
        <v>0.27529999999999999</v>
      </c>
      <c r="N31" s="95">
        <v>1101.55</v>
      </c>
      <c r="O31" s="95">
        <v>22.61</v>
      </c>
      <c r="P31" s="95">
        <v>1124.1599999999999</v>
      </c>
      <c r="Q31" s="95">
        <v>12117.05</v>
      </c>
      <c r="R31" s="95">
        <v>248.71</v>
      </c>
      <c r="S31" s="95">
        <v>12365.759999999998</v>
      </c>
    </row>
    <row r="32" spans="1:19" ht="15" x14ac:dyDescent="0.25">
      <c r="A32" s="90" t="s">
        <v>85</v>
      </c>
      <c r="B32" s="90" t="s">
        <v>86</v>
      </c>
      <c r="C32" s="98" t="s">
        <v>87</v>
      </c>
      <c r="D32" s="92" t="s">
        <v>88</v>
      </c>
      <c r="E32" s="90" t="s">
        <v>89</v>
      </c>
      <c r="F32" s="99">
        <v>6534</v>
      </c>
      <c r="G32" s="94">
        <v>27.93</v>
      </c>
      <c r="H32" s="94">
        <v>0</v>
      </c>
      <c r="I32" s="95">
        <v>27.93</v>
      </c>
      <c r="J32" s="95">
        <v>182494.62</v>
      </c>
      <c r="K32" s="95">
        <v>0</v>
      </c>
      <c r="L32" s="95">
        <v>182494.62</v>
      </c>
      <c r="M32" s="96">
        <v>0.27529999999999999</v>
      </c>
      <c r="N32" s="95">
        <v>35.619999999999997</v>
      </c>
      <c r="O32" s="95">
        <v>0</v>
      </c>
      <c r="P32" s="95">
        <v>35.619999999999997</v>
      </c>
      <c r="Q32" s="95">
        <v>232741.08</v>
      </c>
      <c r="R32" s="95">
        <v>0</v>
      </c>
      <c r="S32" s="95">
        <v>232741.08</v>
      </c>
    </row>
    <row r="33" spans="1:19" ht="15" x14ac:dyDescent="0.25">
      <c r="A33" s="90" t="s">
        <v>90</v>
      </c>
      <c r="B33" s="90" t="s">
        <v>31</v>
      </c>
      <c r="C33" s="98" t="s">
        <v>91</v>
      </c>
      <c r="D33" s="92" t="s">
        <v>92</v>
      </c>
      <c r="E33" s="90" t="s">
        <v>93</v>
      </c>
      <c r="F33" s="99">
        <v>385.3</v>
      </c>
      <c r="G33" s="94">
        <v>40.29</v>
      </c>
      <c r="H33" s="94">
        <v>29.33</v>
      </c>
      <c r="I33" s="95">
        <v>69.62</v>
      </c>
      <c r="J33" s="95">
        <v>15523.73</v>
      </c>
      <c r="K33" s="95">
        <v>11300.86</v>
      </c>
      <c r="L33" s="95">
        <v>26824.59</v>
      </c>
      <c r="M33" s="96">
        <v>0.27529999999999999</v>
      </c>
      <c r="N33" s="95">
        <v>51.38</v>
      </c>
      <c r="O33" s="95">
        <v>37.4</v>
      </c>
      <c r="P33" s="95">
        <v>88.78</v>
      </c>
      <c r="Q33" s="95">
        <v>19796.71</v>
      </c>
      <c r="R33" s="95">
        <v>14410.22</v>
      </c>
      <c r="S33" s="95">
        <v>34206.93</v>
      </c>
    </row>
    <row r="34" spans="1:19" ht="15" x14ac:dyDescent="0.25">
      <c r="A34" s="90" t="s">
        <v>94</v>
      </c>
      <c r="B34" s="90" t="s">
        <v>95</v>
      </c>
      <c r="C34" s="98" t="s">
        <v>96</v>
      </c>
      <c r="D34" s="92" t="s">
        <v>97</v>
      </c>
      <c r="E34" s="90" t="s">
        <v>98</v>
      </c>
      <c r="F34" s="99">
        <v>36</v>
      </c>
      <c r="G34" s="94">
        <v>6300</v>
      </c>
      <c r="H34" s="94">
        <v>0</v>
      </c>
      <c r="I34" s="95">
        <v>6300</v>
      </c>
      <c r="J34" s="95">
        <v>226800</v>
      </c>
      <c r="K34" s="95">
        <v>0</v>
      </c>
      <c r="L34" s="95">
        <v>226800</v>
      </c>
      <c r="M34" s="96">
        <v>0.27529999999999999</v>
      </c>
      <c r="N34" s="95">
        <v>8034.39</v>
      </c>
      <c r="O34" s="95">
        <v>0</v>
      </c>
      <c r="P34" s="95">
        <v>8034.39</v>
      </c>
      <c r="Q34" s="95">
        <v>289238.03999999998</v>
      </c>
      <c r="R34" s="95">
        <v>0</v>
      </c>
      <c r="S34" s="95">
        <v>289238.03999999998</v>
      </c>
    </row>
    <row r="35" spans="1:19" ht="15" x14ac:dyDescent="0.25">
      <c r="A35" s="90" t="s">
        <v>99</v>
      </c>
      <c r="B35" s="90" t="s">
        <v>100</v>
      </c>
      <c r="C35" s="98" t="s">
        <v>101</v>
      </c>
      <c r="D35" s="92" t="s">
        <v>102</v>
      </c>
      <c r="E35" s="90" t="s">
        <v>16</v>
      </c>
      <c r="F35" s="99">
        <v>1</v>
      </c>
      <c r="G35" s="94">
        <v>2367.0300000000002</v>
      </c>
      <c r="H35" s="94">
        <v>840.44</v>
      </c>
      <c r="I35" s="95">
        <v>3207.4700000000003</v>
      </c>
      <c r="J35" s="95">
        <v>2367.0300000000002</v>
      </c>
      <c r="K35" s="95">
        <v>840.4399999999996</v>
      </c>
      <c r="L35" s="95">
        <v>3207.47</v>
      </c>
      <c r="M35" s="96">
        <v>0.27529999999999999</v>
      </c>
      <c r="N35" s="95">
        <v>3018.67</v>
      </c>
      <c r="O35" s="95">
        <v>1071.81</v>
      </c>
      <c r="P35" s="95">
        <v>4090.48</v>
      </c>
      <c r="Q35" s="95">
        <v>3018.67</v>
      </c>
      <c r="R35" s="95">
        <v>1071.81</v>
      </c>
      <c r="S35" s="95">
        <v>4090.48</v>
      </c>
    </row>
    <row r="36" spans="1:19" ht="15" x14ac:dyDescent="0.25">
      <c r="A36" s="90" t="s">
        <v>103</v>
      </c>
      <c r="B36" s="90" t="s">
        <v>104</v>
      </c>
      <c r="C36" s="98" t="s">
        <v>105</v>
      </c>
      <c r="D36" s="92" t="s">
        <v>106</v>
      </c>
      <c r="E36" s="90" t="s">
        <v>34</v>
      </c>
      <c r="F36" s="99">
        <v>12</v>
      </c>
      <c r="G36" s="94">
        <v>176.14</v>
      </c>
      <c r="H36" s="94">
        <v>68.12</v>
      </c>
      <c r="I36" s="95">
        <v>244.26</v>
      </c>
      <c r="J36" s="95">
        <v>2113.6799999999998</v>
      </c>
      <c r="K36" s="95">
        <v>817.44</v>
      </c>
      <c r="L36" s="95">
        <v>2931.12</v>
      </c>
      <c r="M36" s="96">
        <v>0.27529999999999999</v>
      </c>
      <c r="N36" s="95">
        <v>224.63</v>
      </c>
      <c r="O36" s="95">
        <v>86.87</v>
      </c>
      <c r="P36" s="95">
        <v>311.5</v>
      </c>
      <c r="Q36" s="95">
        <v>2695.56</v>
      </c>
      <c r="R36" s="95">
        <v>1042.44</v>
      </c>
      <c r="S36" s="95">
        <v>3738</v>
      </c>
    </row>
    <row r="37" spans="1:19" ht="25.5" x14ac:dyDescent="0.25">
      <c r="A37" s="90" t="s">
        <v>107</v>
      </c>
      <c r="B37" s="90" t="s">
        <v>108</v>
      </c>
      <c r="C37" s="98" t="s">
        <v>109</v>
      </c>
      <c r="D37" s="92" t="s">
        <v>110</v>
      </c>
      <c r="E37" s="90" t="s">
        <v>111</v>
      </c>
      <c r="F37" s="99">
        <v>1</v>
      </c>
      <c r="G37" s="94">
        <v>2258.36</v>
      </c>
      <c r="H37" s="94">
        <v>1227.6300000000001</v>
      </c>
      <c r="I37" s="95">
        <v>3485.9900000000002</v>
      </c>
      <c r="J37" s="95">
        <v>2258.36</v>
      </c>
      <c r="K37" s="95">
        <v>1227.6399999999999</v>
      </c>
      <c r="L37" s="95">
        <v>3486</v>
      </c>
      <c r="M37" s="96">
        <v>0.27529999999999999</v>
      </c>
      <c r="N37" s="95">
        <v>2880.09</v>
      </c>
      <c r="O37" s="95">
        <v>1565.6</v>
      </c>
      <c r="P37" s="95">
        <v>4445.6900000000005</v>
      </c>
      <c r="Q37" s="95">
        <v>2880.09</v>
      </c>
      <c r="R37" s="95">
        <v>1565.6</v>
      </c>
      <c r="S37" s="95">
        <v>4445.6900000000005</v>
      </c>
    </row>
    <row r="38" spans="1:19" x14ac:dyDescent="0.25">
      <c r="A38" s="90" t="s">
        <v>112</v>
      </c>
      <c r="B38" s="90"/>
      <c r="C38" s="91" t="s">
        <v>113</v>
      </c>
      <c r="D38" s="92"/>
      <c r="E38" s="90"/>
      <c r="F38" s="93"/>
      <c r="G38" s="94"/>
      <c r="H38" s="94"/>
      <c r="I38" s="95"/>
      <c r="J38" s="95"/>
      <c r="K38" s="95"/>
      <c r="L38" s="95"/>
      <c r="M38" s="96"/>
      <c r="N38" s="95"/>
      <c r="O38" s="95"/>
      <c r="P38" s="95"/>
      <c r="Q38" s="95"/>
      <c r="R38" s="95">
        <v>0</v>
      </c>
      <c r="S38" s="95">
        <v>0</v>
      </c>
    </row>
    <row r="39" spans="1:19" ht="15" x14ac:dyDescent="0.25">
      <c r="A39" s="90" t="s">
        <v>114</v>
      </c>
      <c r="B39" s="90" t="s">
        <v>31</v>
      </c>
      <c r="C39" s="98" t="s">
        <v>115</v>
      </c>
      <c r="D39" s="92" t="s">
        <v>116</v>
      </c>
      <c r="E39" s="90" t="s">
        <v>16</v>
      </c>
      <c r="F39" s="99">
        <v>1</v>
      </c>
      <c r="G39" s="94">
        <v>663813.75</v>
      </c>
      <c r="H39" s="94">
        <v>6997376.3399999999</v>
      </c>
      <c r="I39" s="95">
        <v>7661190.0899999999</v>
      </c>
      <c r="J39" s="95">
        <v>663813.75</v>
      </c>
      <c r="K39" s="95">
        <v>6997376.3499999996</v>
      </c>
      <c r="L39" s="95">
        <v>7661190.0999999996</v>
      </c>
      <c r="M39" s="96">
        <v>0.27529999999999999</v>
      </c>
      <c r="N39" s="95">
        <v>846561.68</v>
      </c>
      <c r="O39" s="95">
        <v>8923754.0500000007</v>
      </c>
      <c r="P39" s="95">
        <v>9770315.7300000004</v>
      </c>
      <c r="Q39" s="95">
        <v>846561.68</v>
      </c>
      <c r="R39" s="95">
        <v>8923754.0500000007</v>
      </c>
      <c r="S39" s="95">
        <v>9770315.7300000004</v>
      </c>
    </row>
    <row r="40" spans="1:19" ht="15" x14ac:dyDescent="0.25">
      <c r="A40" s="90" t="s">
        <v>117</v>
      </c>
      <c r="B40" s="90" t="s">
        <v>95</v>
      </c>
      <c r="C40" s="98" t="s">
        <v>118</v>
      </c>
      <c r="D40" s="92" t="s">
        <v>119</v>
      </c>
      <c r="E40" s="90" t="s">
        <v>16</v>
      </c>
      <c r="F40" s="99">
        <v>6</v>
      </c>
      <c r="G40" s="94">
        <v>271.47000000000003</v>
      </c>
      <c r="H40" s="94">
        <v>0</v>
      </c>
      <c r="I40" s="95">
        <v>271.47000000000003</v>
      </c>
      <c r="J40" s="95">
        <v>1628.82</v>
      </c>
      <c r="K40" s="95">
        <v>0</v>
      </c>
      <c r="L40" s="95">
        <v>1628.82</v>
      </c>
      <c r="M40" s="96">
        <v>0.27529999999999999</v>
      </c>
      <c r="N40" s="95">
        <v>346.21</v>
      </c>
      <c r="O40" s="95">
        <v>0</v>
      </c>
      <c r="P40" s="95">
        <v>346.21</v>
      </c>
      <c r="Q40" s="95">
        <v>2077.2600000000002</v>
      </c>
      <c r="R40" s="95">
        <v>0</v>
      </c>
      <c r="S40" s="95">
        <v>2077.2600000000002</v>
      </c>
    </row>
    <row r="41" spans="1:19" ht="15" x14ac:dyDescent="0.25">
      <c r="A41" s="90" t="s">
        <v>120</v>
      </c>
      <c r="B41" s="90" t="s">
        <v>104</v>
      </c>
      <c r="C41" s="98" t="s">
        <v>121</v>
      </c>
      <c r="D41" s="92" t="s">
        <v>122</v>
      </c>
      <c r="E41" s="90" t="s">
        <v>16</v>
      </c>
      <c r="F41" s="99">
        <v>1</v>
      </c>
      <c r="G41" s="94">
        <v>731</v>
      </c>
      <c r="H41" s="94">
        <v>8604.0400000000009</v>
      </c>
      <c r="I41" s="95">
        <v>9335.0400000000009</v>
      </c>
      <c r="J41" s="95">
        <v>731</v>
      </c>
      <c r="K41" s="95">
        <v>8604.0400000000009</v>
      </c>
      <c r="L41" s="95">
        <v>9335.0400000000009</v>
      </c>
      <c r="M41" s="96">
        <v>0.27529999999999999</v>
      </c>
      <c r="N41" s="95">
        <v>932.24</v>
      </c>
      <c r="O41" s="95">
        <v>10972.73</v>
      </c>
      <c r="P41" s="95">
        <v>11904.97</v>
      </c>
      <c r="Q41" s="95">
        <v>932.24</v>
      </c>
      <c r="R41" s="95">
        <v>10972.73</v>
      </c>
      <c r="S41" s="95">
        <v>11904.97</v>
      </c>
    </row>
    <row r="42" spans="1:19" ht="15" x14ac:dyDescent="0.25">
      <c r="A42" s="90" t="s">
        <v>123</v>
      </c>
      <c r="B42" s="90" t="s">
        <v>95</v>
      </c>
      <c r="C42" s="98" t="s">
        <v>124</v>
      </c>
      <c r="D42" s="92" t="s">
        <v>125</v>
      </c>
      <c r="E42" s="90" t="s">
        <v>111</v>
      </c>
      <c r="F42" s="99">
        <v>1</v>
      </c>
      <c r="G42" s="94">
        <v>676.49</v>
      </c>
      <c r="H42" s="94">
        <v>17478.48</v>
      </c>
      <c r="I42" s="95">
        <v>18154.97</v>
      </c>
      <c r="J42" s="95">
        <v>676.49</v>
      </c>
      <c r="K42" s="95">
        <v>17478.48</v>
      </c>
      <c r="L42" s="95">
        <v>18154.97</v>
      </c>
      <c r="M42" s="96">
        <v>0.27529999999999999</v>
      </c>
      <c r="N42" s="95">
        <v>862.73</v>
      </c>
      <c r="O42" s="95">
        <v>22290.31</v>
      </c>
      <c r="P42" s="95">
        <v>23153.040000000001</v>
      </c>
      <c r="Q42" s="95">
        <v>862.73</v>
      </c>
      <c r="R42" s="95">
        <v>22290.31</v>
      </c>
      <c r="S42" s="95">
        <v>23153.040000000001</v>
      </c>
    </row>
    <row r="43" spans="1:19" ht="15" x14ac:dyDescent="0.25">
      <c r="A43" s="90" t="s">
        <v>126</v>
      </c>
      <c r="B43" s="90" t="s">
        <v>95</v>
      </c>
      <c r="C43" s="98" t="s">
        <v>127</v>
      </c>
      <c r="D43" s="92" t="s">
        <v>128</v>
      </c>
      <c r="E43" s="90" t="s">
        <v>111</v>
      </c>
      <c r="F43" s="99">
        <v>1</v>
      </c>
      <c r="G43" s="94">
        <v>88.49</v>
      </c>
      <c r="H43" s="94">
        <v>8081.07</v>
      </c>
      <c r="I43" s="95">
        <v>8169.5599999999995</v>
      </c>
      <c r="J43" s="95">
        <v>88.49</v>
      </c>
      <c r="K43" s="95">
        <v>8081.0700000000006</v>
      </c>
      <c r="L43" s="95">
        <v>8169.56</v>
      </c>
      <c r="M43" s="96">
        <v>0.27529999999999999</v>
      </c>
      <c r="N43" s="95">
        <v>112.85</v>
      </c>
      <c r="O43" s="95">
        <v>10305.790000000001</v>
      </c>
      <c r="P43" s="95">
        <v>10418.640000000001</v>
      </c>
      <c r="Q43" s="95">
        <v>112.85</v>
      </c>
      <c r="R43" s="95">
        <v>10305.790000000001</v>
      </c>
      <c r="S43" s="95">
        <v>10418.640000000001</v>
      </c>
    </row>
    <row r="44" spans="1:19" ht="15" x14ac:dyDescent="0.25">
      <c r="A44" s="90" t="s">
        <v>129</v>
      </c>
      <c r="B44" s="90" t="s">
        <v>130</v>
      </c>
      <c r="C44" s="98" t="s">
        <v>131</v>
      </c>
      <c r="D44" s="92" t="s">
        <v>132</v>
      </c>
      <c r="E44" s="90" t="s">
        <v>16</v>
      </c>
      <c r="F44" s="99">
        <v>216</v>
      </c>
      <c r="G44" s="94">
        <v>59.9</v>
      </c>
      <c r="H44" s="94">
        <v>0</v>
      </c>
      <c r="I44" s="95">
        <v>59.9</v>
      </c>
      <c r="J44" s="95">
        <v>12938.4</v>
      </c>
      <c r="K44" s="95">
        <v>0</v>
      </c>
      <c r="L44" s="95">
        <v>12938.4</v>
      </c>
      <c r="M44" s="96">
        <v>0.27529999999999999</v>
      </c>
      <c r="N44" s="95">
        <v>76.39</v>
      </c>
      <c r="O44" s="95">
        <v>0</v>
      </c>
      <c r="P44" s="95">
        <v>76.39</v>
      </c>
      <c r="Q44" s="95">
        <v>16500.240000000002</v>
      </c>
      <c r="R44" s="95">
        <v>0</v>
      </c>
      <c r="S44" s="95">
        <v>16500.240000000002</v>
      </c>
    </row>
    <row r="45" spans="1:19" ht="15" x14ac:dyDescent="0.25">
      <c r="A45" s="90" t="s">
        <v>133</v>
      </c>
      <c r="B45" s="90" t="s">
        <v>95</v>
      </c>
      <c r="C45" s="98" t="s">
        <v>134</v>
      </c>
      <c r="D45" s="92" t="s">
        <v>135</v>
      </c>
      <c r="E45" s="90" t="s">
        <v>98</v>
      </c>
      <c r="F45" s="99">
        <v>36</v>
      </c>
      <c r="G45" s="94">
        <v>99</v>
      </c>
      <c r="H45" s="94">
        <v>0</v>
      </c>
      <c r="I45" s="95">
        <v>99</v>
      </c>
      <c r="J45" s="95">
        <v>3564</v>
      </c>
      <c r="K45" s="95">
        <v>0</v>
      </c>
      <c r="L45" s="95">
        <v>3564</v>
      </c>
      <c r="M45" s="96">
        <v>0.27529999999999999</v>
      </c>
      <c r="N45" s="95">
        <v>126.25</v>
      </c>
      <c r="O45" s="95">
        <v>0</v>
      </c>
      <c r="P45" s="95">
        <v>126.25</v>
      </c>
      <c r="Q45" s="95">
        <v>4545</v>
      </c>
      <c r="R45" s="95">
        <v>0</v>
      </c>
      <c r="S45" s="95">
        <v>4545</v>
      </c>
    </row>
    <row r="46" spans="1:19" ht="15" x14ac:dyDescent="0.25">
      <c r="A46" s="90" t="s">
        <v>136</v>
      </c>
      <c r="B46" s="90" t="s">
        <v>95</v>
      </c>
      <c r="C46" s="98" t="s">
        <v>137</v>
      </c>
      <c r="D46" s="92" t="s">
        <v>138</v>
      </c>
      <c r="E46" s="90" t="s">
        <v>16</v>
      </c>
      <c r="F46" s="99">
        <v>1</v>
      </c>
      <c r="G46" s="94">
        <v>601.5</v>
      </c>
      <c r="H46" s="94">
        <v>0</v>
      </c>
      <c r="I46" s="95">
        <v>601.5</v>
      </c>
      <c r="J46" s="95">
        <v>601.5</v>
      </c>
      <c r="K46" s="95">
        <v>0</v>
      </c>
      <c r="L46" s="95">
        <v>601.5</v>
      </c>
      <c r="M46" s="96">
        <v>0.27529999999999999</v>
      </c>
      <c r="N46" s="95">
        <v>767.09</v>
      </c>
      <c r="O46" s="95">
        <v>0</v>
      </c>
      <c r="P46" s="95">
        <v>767.09</v>
      </c>
      <c r="Q46" s="95">
        <v>767.09</v>
      </c>
      <c r="R46" s="95">
        <v>0</v>
      </c>
      <c r="S46" s="95">
        <v>767.09</v>
      </c>
    </row>
    <row r="47" spans="1:19" ht="15" x14ac:dyDescent="0.25">
      <c r="A47" s="90" t="s">
        <v>139</v>
      </c>
      <c r="B47" s="90" t="s">
        <v>95</v>
      </c>
      <c r="C47" s="98" t="s">
        <v>140</v>
      </c>
      <c r="D47" s="92" t="s">
        <v>141</v>
      </c>
      <c r="E47" s="90" t="s">
        <v>98</v>
      </c>
      <c r="F47" s="99">
        <v>36</v>
      </c>
      <c r="G47" s="94">
        <v>3961.38</v>
      </c>
      <c r="H47" s="94">
        <v>8353.34</v>
      </c>
      <c r="I47" s="95">
        <v>12314.720000000001</v>
      </c>
      <c r="J47" s="95">
        <v>142609.68</v>
      </c>
      <c r="K47" s="95">
        <v>300720.24</v>
      </c>
      <c r="L47" s="95">
        <v>443329.92</v>
      </c>
      <c r="M47" s="96">
        <v>0.27529999999999999</v>
      </c>
      <c r="N47" s="95">
        <v>5051.95</v>
      </c>
      <c r="O47" s="95">
        <v>10653.01</v>
      </c>
      <c r="P47" s="95">
        <v>15704.96</v>
      </c>
      <c r="Q47" s="95">
        <v>181870.2</v>
      </c>
      <c r="R47" s="95">
        <v>383508.36</v>
      </c>
      <c r="S47" s="95">
        <v>565378.56000000006</v>
      </c>
    </row>
    <row r="48" spans="1:19" x14ac:dyDescent="0.25">
      <c r="A48" s="90" t="s">
        <v>142</v>
      </c>
      <c r="B48" s="90"/>
      <c r="C48" s="91" t="s">
        <v>143</v>
      </c>
      <c r="D48" s="92"/>
      <c r="E48" s="90"/>
      <c r="F48" s="93"/>
      <c r="G48" s="94"/>
      <c r="H48" s="94"/>
      <c r="I48" s="95"/>
      <c r="J48" s="95"/>
      <c r="K48" s="95"/>
      <c r="L48" s="95"/>
      <c r="M48" s="96">
        <v>0</v>
      </c>
      <c r="N48" s="95"/>
      <c r="O48" s="95"/>
      <c r="P48" s="95"/>
      <c r="Q48" s="95">
        <v>0</v>
      </c>
      <c r="R48" s="95">
        <v>0</v>
      </c>
      <c r="S48" s="95">
        <v>0</v>
      </c>
    </row>
    <row r="49" spans="1:19" ht="25.5" x14ac:dyDescent="0.25">
      <c r="A49" s="90" t="s">
        <v>144</v>
      </c>
      <c r="B49" s="90" t="s">
        <v>31</v>
      </c>
      <c r="C49" s="98" t="s">
        <v>145</v>
      </c>
      <c r="D49" s="92" t="s">
        <v>146</v>
      </c>
      <c r="E49" s="90" t="s">
        <v>147</v>
      </c>
      <c r="F49" s="99">
        <v>9973.7999999999993</v>
      </c>
      <c r="G49" s="94">
        <v>19.420000000000002</v>
      </c>
      <c r="H49" s="94">
        <v>0</v>
      </c>
      <c r="I49" s="95">
        <v>19.420000000000002</v>
      </c>
      <c r="J49" s="95">
        <v>193691.19</v>
      </c>
      <c r="K49" s="95">
        <v>1.0000000009313226E-2</v>
      </c>
      <c r="L49" s="95">
        <v>193691.2</v>
      </c>
      <c r="M49" s="96">
        <v>0.27529999999999999</v>
      </c>
      <c r="N49" s="95">
        <v>24.77</v>
      </c>
      <c r="O49" s="95">
        <v>0</v>
      </c>
      <c r="P49" s="95">
        <v>24.77</v>
      </c>
      <c r="Q49" s="95">
        <v>247051.03</v>
      </c>
      <c r="R49" s="95">
        <v>0</v>
      </c>
      <c r="S49" s="95">
        <v>247051.03</v>
      </c>
    </row>
    <row r="50" spans="1:19" ht="25.5" x14ac:dyDescent="0.25">
      <c r="A50" s="90" t="s">
        <v>148</v>
      </c>
      <c r="B50" s="90" t="s">
        <v>31</v>
      </c>
      <c r="C50" s="98" t="s">
        <v>149</v>
      </c>
      <c r="D50" s="92" t="s">
        <v>150</v>
      </c>
      <c r="E50" s="90" t="s">
        <v>151</v>
      </c>
      <c r="F50" s="99">
        <v>1200</v>
      </c>
      <c r="G50" s="94">
        <v>25.9</v>
      </c>
      <c r="H50" s="94">
        <v>0</v>
      </c>
      <c r="I50" s="95">
        <v>25.9</v>
      </c>
      <c r="J50" s="95">
        <v>31080</v>
      </c>
      <c r="K50" s="95">
        <v>0</v>
      </c>
      <c r="L50" s="95">
        <v>31080</v>
      </c>
      <c r="M50" s="96">
        <v>0.27529999999999999</v>
      </c>
      <c r="N50" s="95">
        <v>33.03</v>
      </c>
      <c r="O50" s="95">
        <v>0</v>
      </c>
      <c r="P50" s="95">
        <v>33.03</v>
      </c>
      <c r="Q50" s="95">
        <v>39636</v>
      </c>
      <c r="R50" s="95">
        <v>0</v>
      </c>
      <c r="S50" s="95">
        <v>39636</v>
      </c>
    </row>
    <row r="51" spans="1:19" ht="15" x14ac:dyDescent="0.25">
      <c r="A51" s="90" t="s">
        <v>152</v>
      </c>
      <c r="B51" s="90" t="s">
        <v>31</v>
      </c>
      <c r="C51" s="98" t="s">
        <v>153</v>
      </c>
      <c r="D51" s="92" t="s">
        <v>154</v>
      </c>
      <c r="E51" s="90" t="s">
        <v>93</v>
      </c>
      <c r="F51" s="99">
        <v>320</v>
      </c>
      <c r="G51" s="94">
        <v>8.08</v>
      </c>
      <c r="H51" s="94">
        <v>20.05</v>
      </c>
      <c r="I51" s="95">
        <v>28.130000000000003</v>
      </c>
      <c r="J51" s="95">
        <v>2585.6</v>
      </c>
      <c r="K51" s="95">
        <v>6416</v>
      </c>
      <c r="L51" s="95">
        <v>9001.6</v>
      </c>
      <c r="M51" s="96">
        <v>0.27529999999999999</v>
      </c>
      <c r="N51" s="95">
        <v>10.3</v>
      </c>
      <c r="O51" s="95">
        <v>25.57</v>
      </c>
      <c r="P51" s="95">
        <v>35.870000000000005</v>
      </c>
      <c r="Q51" s="95">
        <v>3296</v>
      </c>
      <c r="R51" s="95">
        <v>8182.4</v>
      </c>
      <c r="S51" s="95">
        <v>11478.4</v>
      </c>
    </row>
    <row r="52" spans="1:19" ht="15" x14ac:dyDescent="0.25">
      <c r="A52" s="90" t="s">
        <v>155</v>
      </c>
      <c r="B52" s="90" t="s">
        <v>31</v>
      </c>
      <c r="C52" s="98" t="s">
        <v>156</v>
      </c>
      <c r="D52" s="92" t="s">
        <v>157</v>
      </c>
      <c r="E52" s="90" t="s">
        <v>34</v>
      </c>
      <c r="F52" s="99">
        <v>5220</v>
      </c>
      <c r="G52" s="94">
        <v>1.43</v>
      </c>
      <c r="H52" s="94">
        <v>2.4500000000000002</v>
      </c>
      <c r="I52" s="95">
        <v>3.88</v>
      </c>
      <c r="J52" s="95">
        <v>7464.6</v>
      </c>
      <c r="K52" s="95">
        <v>12788.999999999998</v>
      </c>
      <c r="L52" s="95">
        <v>20253.599999999999</v>
      </c>
      <c r="M52" s="96">
        <v>0.27529999999999999</v>
      </c>
      <c r="N52" s="95">
        <v>1.82</v>
      </c>
      <c r="O52" s="95">
        <v>3.12</v>
      </c>
      <c r="P52" s="95">
        <v>4.9400000000000004</v>
      </c>
      <c r="Q52" s="95">
        <v>9500.4</v>
      </c>
      <c r="R52" s="95">
        <v>16286.4</v>
      </c>
      <c r="S52" s="95">
        <v>25786.799999999999</v>
      </c>
    </row>
    <row r="53" spans="1:19" ht="15" x14ac:dyDescent="0.25">
      <c r="A53" s="90" t="s">
        <v>158</v>
      </c>
      <c r="B53" s="90" t="s">
        <v>31</v>
      </c>
      <c r="C53" s="98" t="s">
        <v>159</v>
      </c>
      <c r="D53" s="92" t="s">
        <v>160</v>
      </c>
      <c r="E53" s="90" t="s">
        <v>34</v>
      </c>
      <c r="F53" s="99">
        <v>5220</v>
      </c>
      <c r="G53" s="94">
        <v>5.66</v>
      </c>
      <c r="H53" s="94">
        <v>14.51</v>
      </c>
      <c r="I53" s="95">
        <v>20.170000000000002</v>
      </c>
      <c r="J53" s="95">
        <v>29545.200000000001</v>
      </c>
      <c r="K53" s="95">
        <v>75742.2</v>
      </c>
      <c r="L53" s="95">
        <v>105287.4</v>
      </c>
      <c r="M53" s="96">
        <v>0.27529999999999999</v>
      </c>
      <c r="N53" s="95">
        <v>7.22</v>
      </c>
      <c r="O53" s="95">
        <v>18.5</v>
      </c>
      <c r="P53" s="95">
        <v>25.72</v>
      </c>
      <c r="Q53" s="95">
        <v>37688.400000000001</v>
      </c>
      <c r="R53" s="95">
        <v>96570</v>
      </c>
      <c r="S53" s="95">
        <v>134258.4</v>
      </c>
    </row>
    <row r="54" spans="1:19" ht="15" x14ac:dyDescent="0.25">
      <c r="A54" s="90" t="s">
        <v>161</v>
      </c>
      <c r="B54" s="90" t="s">
        <v>31</v>
      </c>
      <c r="C54" s="98" t="s">
        <v>156</v>
      </c>
      <c r="D54" s="92" t="s">
        <v>162</v>
      </c>
      <c r="E54" s="90" t="s">
        <v>34</v>
      </c>
      <c r="F54" s="99">
        <v>4665.6000000000004</v>
      </c>
      <c r="G54" s="94">
        <v>1.99</v>
      </c>
      <c r="H54" s="94">
        <v>2.4500000000000002</v>
      </c>
      <c r="I54" s="95">
        <v>4.4400000000000004</v>
      </c>
      <c r="J54" s="95">
        <v>9284.5400000000009</v>
      </c>
      <c r="K54" s="95">
        <v>11430.719999999998</v>
      </c>
      <c r="L54" s="95">
        <v>20715.259999999998</v>
      </c>
      <c r="M54" s="96">
        <v>0.27529999999999999</v>
      </c>
      <c r="N54" s="95">
        <v>2.54</v>
      </c>
      <c r="O54" s="95">
        <v>3.12</v>
      </c>
      <c r="P54" s="95">
        <v>5.66</v>
      </c>
      <c r="Q54" s="95">
        <v>11850.62</v>
      </c>
      <c r="R54" s="95">
        <v>14556.67</v>
      </c>
      <c r="S54" s="95">
        <v>26407.29</v>
      </c>
    </row>
    <row r="55" spans="1:19" ht="15" x14ac:dyDescent="0.25">
      <c r="A55" s="90" t="s">
        <v>163</v>
      </c>
      <c r="B55" s="90" t="s">
        <v>104</v>
      </c>
      <c r="C55" s="98" t="s">
        <v>164</v>
      </c>
      <c r="D55" s="92" t="s">
        <v>165</v>
      </c>
      <c r="E55" s="90" t="s">
        <v>93</v>
      </c>
      <c r="F55" s="99">
        <v>365.3</v>
      </c>
      <c r="G55" s="94">
        <v>8.2899999999999991</v>
      </c>
      <c r="H55" s="94">
        <v>6.3</v>
      </c>
      <c r="I55" s="95">
        <v>14.59</v>
      </c>
      <c r="J55" s="95">
        <v>3028.33</v>
      </c>
      <c r="K55" s="95">
        <v>2301.3999999999996</v>
      </c>
      <c r="L55" s="95">
        <v>5329.73</v>
      </c>
      <c r="M55" s="96">
        <v>0.27529999999999999</v>
      </c>
      <c r="N55" s="95">
        <v>10.57</v>
      </c>
      <c r="O55" s="95">
        <v>8.0299999999999994</v>
      </c>
      <c r="P55" s="95">
        <v>18.600000000000001</v>
      </c>
      <c r="Q55" s="95">
        <v>3861.22</v>
      </c>
      <c r="R55" s="95">
        <v>2933.36</v>
      </c>
      <c r="S55" s="95">
        <v>6794.58</v>
      </c>
    </row>
    <row r="56" spans="1:19" ht="25.5" x14ac:dyDescent="0.25">
      <c r="A56" s="90" t="s">
        <v>166</v>
      </c>
      <c r="B56" s="90" t="s">
        <v>31</v>
      </c>
      <c r="C56" s="98" t="s">
        <v>167</v>
      </c>
      <c r="D56" s="92" t="s">
        <v>168</v>
      </c>
      <c r="E56" s="90" t="s">
        <v>93</v>
      </c>
      <c r="F56" s="99">
        <v>857</v>
      </c>
      <c r="G56" s="94">
        <v>45.06</v>
      </c>
      <c r="H56" s="94">
        <v>12.32</v>
      </c>
      <c r="I56" s="95">
        <v>57.38</v>
      </c>
      <c r="J56" s="95">
        <v>38616.42</v>
      </c>
      <c r="K56" s="95">
        <v>10558.240000000005</v>
      </c>
      <c r="L56" s="95">
        <v>49174.66</v>
      </c>
      <c r="M56" s="96">
        <v>0.27529999999999999</v>
      </c>
      <c r="N56" s="95">
        <v>57.47</v>
      </c>
      <c r="O56" s="95">
        <v>15.71</v>
      </c>
      <c r="P56" s="95">
        <v>73.180000000000007</v>
      </c>
      <c r="Q56" s="95">
        <v>49251.79</v>
      </c>
      <c r="R56" s="95">
        <v>13463.47</v>
      </c>
      <c r="S56" s="95">
        <v>62715.26</v>
      </c>
    </row>
    <row r="57" spans="1:19" ht="15" x14ac:dyDescent="0.25">
      <c r="A57" s="90" t="s">
        <v>169</v>
      </c>
      <c r="B57" s="90" t="s">
        <v>31</v>
      </c>
      <c r="C57" s="98" t="s">
        <v>170</v>
      </c>
      <c r="D57" s="92" t="s">
        <v>171</v>
      </c>
      <c r="E57" s="90" t="s">
        <v>93</v>
      </c>
      <c r="F57" s="99">
        <v>36</v>
      </c>
      <c r="G57" s="94">
        <v>60.59</v>
      </c>
      <c r="H57" s="94">
        <v>141.07</v>
      </c>
      <c r="I57" s="95">
        <v>201.66</v>
      </c>
      <c r="J57" s="95">
        <v>2181.2399999999998</v>
      </c>
      <c r="K57" s="95">
        <v>5078.5200000000004</v>
      </c>
      <c r="L57" s="95">
        <v>7259.76</v>
      </c>
      <c r="M57" s="96">
        <v>0.27529999999999999</v>
      </c>
      <c r="N57" s="95">
        <v>77.27</v>
      </c>
      <c r="O57" s="95">
        <v>179.91</v>
      </c>
      <c r="P57" s="95">
        <v>257.18</v>
      </c>
      <c r="Q57" s="95">
        <v>2781.72</v>
      </c>
      <c r="R57" s="95">
        <v>6476.76</v>
      </c>
      <c r="S57" s="95">
        <v>9258.48</v>
      </c>
    </row>
    <row r="58" spans="1:19" ht="15" x14ac:dyDescent="0.25">
      <c r="A58" s="90" t="s">
        <v>172</v>
      </c>
      <c r="B58" s="90" t="s">
        <v>173</v>
      </c>
      <c r="C58" s="98" t="s">
        <v>174</v>
      </c>
      <c r="D58" s="92" t="s">
        <v>175</v>
      </c>
      <c r="E58" s="90" t="s">
        <v>176</v>
      </c>
      <c r="F58" s="99">
        <v>12</v>
      </c>
      <c r="G58" s="94">
        <v>94</v>
      </c>
      <c r="H58" s="94">
        <v>0</v>
      </c>
      <c r="I58" s="95">
        <v>94</v>
      </c>
      <c r="J58" s="95">
        <v>1128</v>
      </c>
      <c r="K58" s="95">
        <v>0</v>
      </c>
      <c r="L58" s="95">
        <v>1128</v>
      </c>
      <c r="M58" s="96">
        <v>0.27529999999999999</v>
      </c>
      <c r="N58" s="95">
        <v>119.88</v>
      </c>
      <c r="O58" s="95">
        <v>0</v>
      </c>
      <c r="P58" s="95">
        <v>119.88</v>
      </c>
      <c r="Q58" s="95">
        <v>1438.56</v>
      </c>
      <c r="R58" s="95">
        <v>0</v>
      </c>
      <c r="S58" s="95">
        <v>1438.56</v>
      </c>
    </row>
    <row r="59" spans="1:19" ht="15" x14ac:dyDescent="0.25">
      <c r="A59" s="90" t="s">
        <v>177</v>
      </c>
      <c r="B59" s="90" t="s">
        <v>45</v>
      </c>
      <c r="C59" s="98" t="s">
        <v>178</v>
      </c>
      <c r="D59" s="92" t="s">
        <v>179</v>
      </c>
      <c r="E59" s="90" t="s">
        <v>48</v>
      </c>
      <c r="F59" s="99">
        <v>23</v>
      </c>
      <c r="G59" s="94">
        <v>2309.9499999999998</v>
      </c>
      <c r="H59" s="94">
        <v>0</v>
      </c>
      <c r="I59" s="95">
        <v>2309.9499999999998</v>
      </c>
      <c r="J59" s="95">
        <v>53128.85</v>
      </c>
      <c r="K59" s="95">
        <v>0</v>
      </c>
      <c r="L59" s="95">
        <v>53128.85</v>
      </c>
      <c r="M59" s="96">
        <v>0.27529999999999999</v>
      </c>
      <c r="N59" s="95">
        <v>2945.88</v>
      </c>
      <c r="O59" s="95">
        <v>0</v>
      </c>
      <c r="P59" s="95">
        <v>2945.88</v>
      </c>
      <c r="Q59" s="95">
        <v>67755.240000000005</v>
      </c>
      <c r="R59" s="95">
        <v>0</v>
      </c>
      <c r="S59" s="95">
        <v>67755.240000000005</v>
      </c>
    </row>
    <row r="60" spans="1:19" ht="15" x14ac:dyDescent="0.25">
      <c r="A60" s="90" t="s">
        <v>180</v>
      </c>
      <c r="B60" s="90" t="s">
        <v>45</v>
      </c>
      <c r="C60" s="98" t="s">
        <v>181</v>
      </c>
      <c r="D60" s="92" t="s">
        <v>182</v>
      </c>
      <c r="E60" s="90" t="s">
        <v>151</v>
      </c>
      <c r="F60" s="99">
        <v>130</v>
      </c>
      <c r="G60" s="94">
        <v>94.83</v>
      </c>
      <c r="H60" s="94">
        <v>0</v>
      </c>
      <c r="I60" s="95">
        <v>94.83</v>
      </c>
      <c r="J60" s="95">
        <v>12327.9</v>
      </c>
      <c r="K60" s="95">
        <v>0</v>
      </c>
      <c r="L60" s="95">
        <v>12327.9</v>
      </c>
      <c r="M60" s="96">
        <v>0.27529999999999999</v>
      </c>
      <c r="N60" s="95">
        <v>120.94</v>
      </c>
      <c r="O60" s="95">
        <v>0</v>
      </c>
      <c r="P60" s="95">
        <v>120.94</v>
      </c>
      <c r="Q60" s="95">
        <v>15722.2</v>
      </c>
      <c r="R60" s="95">
        <v>0</v>
      </c>
      <c r="S60" s="95">
        <v>15722.2</v>
      </c>
    </row>
    <row r="61" spans="1:19" ht="15" x14ac:dyDescent="0.25">
      <c r="A61" s="90" t="s">
        <v>183</v>
      </c>
      <c r="B61" s="90" t="s">
        <v>184</v>
      </c>
      <c r="C61" s="98" t="s">
        <v>185</v>
      </c>
      <c r="D61" s="92" t="s">
        <v>186</v>
      </c>
      <c r="E61" s="90" t="s">
        <v>16</v>
      </c>
      <c r="F61" s="99">
        <v>100</v>
      </c>
      <c r="G61" s="94">
        <v>12.87</v>
      </c>
      <c r="H61" s="94">
        <v>3.07</v>
      </c>
      <c r="I61" s="95">
        <v>15.94</v>
      </c>
      <c r="J61" s="95">
        <v>1287</v>
      </c>
      <c r="K61" s="95">
        <v>307</v>
      </c>
      <c r="L61" s="95">
        <v>1594</v>
      </c>
      <c r="M61" s="96">
        <v>0.27529999999999999</v>
      </c>
      <c r="N61" s="95">
        <v>16.41</v>
      </c>
      <c r="O61" s="95">
        <v>3.92</v>
      </c>
      <c r="P61" s="95">
        <v>20.329999999999998</v>
      </c>
      <c r="Q61" s="95">
        <v>1641</v>
      </c>
      <c r="R61" s="95">
        <v>392</v>
      </c>
      <c r="S61" s="95">
        <v>2033</v>
      </c>
    </row>
    <row r="62" spans="1:19" ht="25.5" x14ac:dyDescent="0.25">
      <c r="A62" s="90" t="s">
        <v>187</v>
      </c>
      <c r="B62" s="90" t="s">
        <v>104</v>
      </c>
      <c r="C62" s="98" t="s">
        <v>188</v>
      </c>
      <c r="D62" s="92" t="s">
        <v>189</v>
      </c>
      <c r="E62" s="90" t="s">
        <v>93</v>
      </c>
      <c r="F62" s="99">
        <v>179.4</v>
      </c>
      <c r="G62" s="94">
        <v>233.75</v>
      </c>
      <c r="H62" s="94">
        <v>18.93</v>
      </c>
      <c r="I62" s="95">
        <v>252.68</v>
      </c>
      <c r="J62" s="95">
        <v>41934.75</v>
      </c>
      <c r="K62" s="95">
        <v>3396.0400000000009</v>
      </c>
      <c r="L62" s="95">
        <v>45330.79</v>
      </c>
      <c r="M62" s="96">
        <v>0.27529999999999999</v>
      </c>
      <c r="N62" s="95">
        <v>298.10000000000002</v>
      </c>
      <c r="O62" s="95">
        <v>24.14</v>
      </c>
      <c r="P62" s="95">
        <v>322.24</v>
      </c>
      <c r="Q62" s="95">
        <v>53479.14</v>
      </c>
      <c r="R62" s="95">
        <v>4330.72</v>
      </c>
      <c r="S62" s="95">
        <v>57809.86</v>
      </c>
    </row>
    <row r="63" spans="1:19" ht="25.5" x14ac:dyDescent="0.25">
      <c r="A63" s="90" t="s">
        <v>190</v>
      </c>
      <c r="B63" s="90" t="s">
        <v>104</v>
      </c>
      <c r="C63" s="98" t="s">
        <v>191</v>
      </c>
      <c r="D63" s="92" t="s">
        <v>192</v>
      </c>
      <c r="E63" s="90" t="s">
        <v>93</v>
      </c>
      <c r="F63" s="99">
        <v>358.8</v>
      </c>
      <c r="G63" s="94">
        <v>146</v>
      </c>
      <c r="H63" s="94">
        <v>10.53</v>
      </c>
      <c r="I63" s="95">
        <v>156.53</v>
      </c>
      <c r="J63" s="95">
        <v>52384.800000000003</v>
      </c>
      <c r="K63" s="95">
        <v>3778.1599999999962</v>
      </c>
      <c r="L63" s="95">
        <v>56162.96</v>
      </c>
      <c r="M63" s="96">
        <v>0.27529999999999999</v>
      </c>
      <c r="N63" s="95">
        <v>186.19</v>
      </c>
      <c r="O63" s="95">
        <v>13.43</v>
      </c>
      <c r="P63" s="95">
        <v>199.62</v>
      </c>
      <c r="Q63" s="95">
        <v>66804.97</v>
      </c>
      <c r="R63" s="95">
        <v>4818.68</v>
      </c>
      <c r="S63" s="95">
        <v>71623.649999999994</v>
      </c>
    </row>
    <row r="64" spans="1:19" ht="15" x14ac:dyDescent="0.25">
      <c r="A64" s="90" t="s">
        <v>193</v>
      </c>
      <c r="B64" s="90" t="s">
        <v>86</v>
      </c>
      <c r="C64" s="98" t="s">
        <v>194</v>
      </c>
      <c r="D64" s="92" t="s">
        <v>195</v>
      </c>
      <c r="E64" s="90" t="s">
        <v>16</v>
      </c>
      <c r="F64" s="99">
        <v>7</v>
      </c>
      <c r="G64" s="94">
        <v>968.62</v>
      </c>
      <c r="H64" s="94">
        <v>0</v>
      </c>
      <c r="I64" s="95">
        <v>968.62</v>
      </c>
      <c r="J64" s="95">
        <v>6780.34</v>
      </c>
      <c r="K64" s="95">
        <v>0</v>
      </c>
      <c r="L64" s="95">
        <v>6780.34</v>
      </c>
      <c r="M64" s="96">
        <v>0.27529999999999999</v>
      </c>
      <c r="N64" s="95">
        <v>1235.28</v>
      </c>
      <c r="O64" s="95">
        <v>0</v>
      </c>
      <c r="P64" s="95">
        <v>1235.28</v>
      </c>
      <c r="Q64" s="95">
        <v>8646.9599999999991</v>
      </c>
      <c r="R64" s="95">
        <v>0</v>
      </c>
      <c r="S64" s="95">
        <v>8646.9599999999991</v>
      </c>
    </row>
    <row r="65" spans="1:19" ht="15" x14ac:dyDescent="0.25">
      <c r="A65" s="90" t="s">
        <v>196</v>
      </c>
      <c r="B65" s="90" t="s">
        <v>184</v>
      </c>
      <c r="C65" s="98" t="s">
        <v>197</v>
      </c>
      <c r="D65" s="92" t="s">
        <v>198</v>
      </c>
      <c r="E65" s="90" t="s">
        <v>199</v>
      </c>
      <c r="F65" s="99">
        <v>30</v>
      </c>
      <c r="G65" s="94">
        <v>1750</v>
      </c>
      <c r="H65" s="94">
        <v>0</v>
      </c>
      <c r="I65" s="95">
        <v>1750</v>
      </c>
      <c r="J65" s="95">
        <v>52500</v>
      </c>
      <c r="K65" s="95">
        <v>0</v>
      </c>
      <c r="L65" s="95">
        <v>52500</v>
      </c>
      <c r="M65" s="96">
        <v>0.27529999999999999</v>
      </c>
      <c r="N65" s="95">
        <v>2231.7800000000002</v>
      </c>
      <c r="O65" s="95">
        <v>0</v>
      </c>
      <c r="P65" s="95">
        <v>2231.7800000000002</v>
      </c>
      <c r="Q65" s="95">
        <v>66953.399999999994</v>
      </c>
      <c r="R65" s="95">
        <v>0</v>
      </c>
      <c r="S65" s="95">
        <v>66953.399999999994</v>
      </c>
    </row>
    <row r="66" spans="1:19" ht="15" x14ac:dyDescent="0.25">
      <c r="A66" s="90" t="s">
        <v>200</v>
      </c>
      <c r="B66" s="90" t="s">
        <v>184</v>
      </c>
      <c r="C66" s="98" t="s">
        <v>201</v>
      </c>
      <c r="D66" s="92" t="s">
        <v>202</v>
      </c>
      <c r="E66" s="90" t="s">
        <v>16</v>
      </c>
      <c r="F66" s="99">
        <v>1</v>
      </c>
      <c r="G66" s="94">
        <v>7500</v>
      </c>
      <c r="H66" s="94">
        <v>0</v>
      </c>
      <c r="I66" s="95">
        <v>7500</v>
      </c>
      <c r="J66" s="95">
        <v>7500</v>
      </c>
      <c r="K66" s="95">
        <v>0</v>
      </c>
      <c r="L66" s="95">
        <v>7500</v>
      </c>
      <c r="M66" s="96">
        <v>0.27529999999999999</v>
      </c>
      <c r="N66" s="95">
        <v>9564.75</v>
      </c>
      <c r="O66" s="95">
        <v>0</v>
      </c>
      <c r="P66" s="95">
        <v>9564.75</v>
      </c>
      <c r="Q66" s="95">
        <v>9564.75</v>
      </c>
      <c r="R66" s="95">
        <v>0</v>
      </c>
      <c r="S66" s="95">
        <v>9564.75</v>
      </c>
    </row>
    <row r="67" spans="1:19" ht="15" x14ac:dyDescent="0.25">
      <c r="A67" s="90" t="s">
        <v>203</v>
      </c>
      <c r="B67" s="90" t="s">
        <v>184</v>
      </c>
      <c r="C67" s="98" t="s">
        <v>204</v>
      </c>
      <c r="D67" s="92" t="s">
        <v>205</v>
      </c>
      <c r="E67" s="90" t="s">
        <v>16</v>
      </c>
      <c r="F67" s="99">
        <v>1</v>
      </c>
      <c r="G67" s="94">
        <v>6500</v>
      </c>
      <c r="H67" s="94">
        <v>0</v>
      </c>
      <c r="I67" s="95">
        <v>6500</v>
      </c>
      <c r="J67" s="95">
        <v>6500</v>
      </c>
      <c r="K67" s="95">
        <v>0</v>
      </c>
      <c r="L67" s="95">
        <v>6500</v>
      </c>
      <c r="M67" s="96">
        <v>0.27529999999999999</v>
      </c>
      <c r="N67" s="95">
        <v>8289.4500000000007</v>
      </c>
      <c r="O67" s="95">
        <v>0</v>
      </c>
      <c r="P67" s="95">
        <v>8289.4500000000007</v>
      </c>
      <c r="Q67" s="95">
        <v>8289.4500000000007</v>
      </c>
      <c r="R67" s="95">
        <v>0</v>
      </c>
      <c r="S67" s="95">
        <v>8289.4500000000007</v>
      </c>
    </row>
    <row r="68" spans="1:19" ht="15" x14ac:dyDescent="0.25">
      <c r="A68" s="90" t="s">
        <v>206</v>
      </c>
      <c r="B68" s="90" t="s">
        <v>184</v>
      </c>
      <c r="C68" s="98" t="s">
        <v>207</v>
      </c>
      <c r="D68" s="92" t="s">
        <v>208</v>
      </c>
      <c r="E68" s="90" t="s">
        <v>199</v>
      </c>
      <c r="F68" s="99">
        <v>30</v>
      </c>
      <c r="G68" s="94">
        <v>7390.78</v>
      </c>
      <c r="H68" s="94">
        <v>0</v>
      </c>
      <c r="I68" s="95">
        <v>7390.78</v>
      </c>
      <c r="J68" s="95">
        <v>221723.4</v>
      </c>
      <c r="K68" s="95">
        <v>0</v>
      </c>
      <c r="L68" s="95">
        <v>221723.4</v>
      </c>
      <c r="M68" s="96">
        <v>0.27529999999999999</v>
      </c>
      <c r="N68" s="95">
        <v>9425.4599999999991</v>
      </c>
      <c r="O68" s="95">
        <v>0</v>
      </c>
      <c r="P68" s="95">
        <v>9425.4599999999991</v>
      </c>
      <c r="Q68" s="95">
        <v>282763.8</v>
      </c>
      <c r="R68" s="95">
        <v>0</v>
      </c>
      <c r="S68" s="95">
        <v>282763.8</v>
      </c>
    </row>
    <row r="69" spans="1:19" ht="15" x14ac:dyDescent="0.25">
      <c r="A69" s="90" t="s">
        <v>209</v>
      </c>
      <c r="B69" s="90" t="s">
        <v>31</v>
      </c>
      <c r="C69" s="98" t="s">
        <v>210</v>
      </c>
      <c r="D69" s="92" t="s">
        <v>211</v>
      </c>
      <c r="E69" s="90" t="s">
        <v>212</v>
      </c>
      <c r="F69" s="99">
        <v>3942.9</v>
      </c>
      <c r="G69" s="94">
        <v>134.13999999999999</v>
      </c>
      <c r="H69" s="94">
        <v>41</v>
      </c>
      <c r="I69" s="95">
        <v>175.14</v>
      </c>
      <c r="J69" s="95">
        <v>528900.6</v>
      </c>
      <c r="K69" s="95">
        <v>161658.91000000003</v>
      </c>
      <c r="L69" s="95">
        <v>690559.51</v>
      </c>
      <c r="M69" s="96">
        <v>0.27529999999999999</v>
      </c>
      <c r="N69" s="95">
        <v>171.07</v>
      </c>
      <c r="O69" s="95">
        <v>52.29</v>
      </c>
      <c r="P69" s="95">
        <v>223.35999999999999</v>
      </c>
      <c r="Q69" s="95">
        <v>674511.9</v>
      </c>
      <c r="R69" s="95">
        <v>206174.24</v>
      </c>
      <c r="S69" s="95">
        <v>880686.14</v>
      </c>
    </row>
    <row r="70" spans="1:19" ht="15" x14ac:dyDescent="0.25">
      <c r="A70" s="90" t="s">
        <v>213</v>
      </c>
      <c r="B70" s="90" t="s">
        <v>31</v>
      </c>
      <c r="C70" s="98" t="s">
        <v>214</v>
      </c>
      <c r="D70" s="92" t="s">
        <v>215</v>
      </c>
      <c r="E70" s="90" t="s">
        <v>216</v>
      </c>
      <c r="F70" s="99">
        <v>985.6</v>
      </c>
      <c r="G70" s="94">
        <v>65.86</v>
      </c>
      <c r="H70" s="94">
        <v>41.01</v>
      </c>
      <c r="I70" s="95">
        <v>106.87</v>
      </c>
      <c r="J70" s="95">
        <v>64911.61</v>
      </c>
      <c r="K70" s="95">
        <v>40419.460000000006</v>
      </c>
      <c r="L70" s="95">
        <v>105331.07</v>
      </c>
      <c r="M70" s="96">
        <v>0.27529999999999999</v>
      </c>
      <c r="N70" s="95">
        <v>83.99</v>
      </c>
      <c r="O70" s="95">
        <v>52.3</v>
      </c>
      <c r="P70" s="95">
        <v>136.29</v>
      </c>
      <c r="Q70" s="95">
        <v>82780.539999999994</v>
      </c>
      <c r="R70" s="95">
        <v>51546.879999999997</v>
      </c>
      <c r="S70" s="95">
        <v>134327.41999999998</v>
      </c>
    </row>
    <row r="71" spans="1:19" ht="15" x14ac:dyDescent="0.25">
      <c r="A71" s="90" t="s">
        <v>217</v>
      </c>
      <c r="B71" s="90" t="s">
        <v>31</v>
      </c>
      <c r="C71" s="98" t="s">
        <v>214</v>
      </c>
      <c r="D71" s="92" t="s">
        <v>218</v>
      </c>
      <c r="E71" s="90" t="s">
        <v>216</v>
      </c>
      <c r="F71" s="99">
        <v>15232</v>
      </c>
      <c r="G71" s="94">
        <v>58.74</v>
      </c>
      <c r="H71" s="94">
        <v>0</v>
      </c>
      <c r="I71" s="95">
        <v>58.74</v>
      </c>
      <c r="J71" s="95">
        <v>894727.68000000005</v>
      </c>
      <c r="K71" s="95">
        <v>0</v>
      </c>
      <c r="L71" s="95">
        <v>894727.68000000005</v>
      </c>
      <c r="M71" s="96">
        <v>0.27529999999999999</v>
      </c>
      <c r="N71" s="95">
        <v>74.91</v>
      </c>
      <c r="O71" s="95">
        <v>0</v>
      </c>
      <c r="P71" s="95">
        <v>74.91</v>
      </c>
      <c r="Q71" s="95">
        <v>1141029.1200000001</v>
      </c>
      <c r="R71" s="95">
        <v>0</v>
      </c>
      <c r="S71" s="95">
        <v>1141029.1200000001</v>
      </c>
    </row>
    <row r="72" spans="1:19" s="89" customFormat="1" x14ac:dyDescent="0.25">
      <c r="A72" s="82" t="s">
        <v>219</v>
      </c>
      <c r="B72" s="82"/>
      <c r="C72" s="83" t="s">
        <v>220</v>
      </c>
      <c r="D72" s="84"/>
      <c r="E72" s="85"/>
      <c r="F72" s="86"/>
      <c r="G72" s="87"/>
      <c r="H72" s="87"/>
      <c r="I72" s="88"/>
      <c r="J72" s="87">
        <v>16702.62</v>
      </c>
      <c r="K72" s="87">
        <v>523805.64</v>
      </c>
      <c r="L72" s="87">
        <v>540508.26</v>
      </c>
      <c r="M72" s="87">
        <v>0</v>
      </c>
      <c r="N72" s="87">
        <v>0</v>
      </c>
      <c r="O72" s="87">
        <v>0</v>
      </c>
      <c r="P72" s="87">
        <v>0</v>
      </c>
      <c r="Q72" s="87">
        <v>21300.86</v>
      </c>
      <c r="R72" s="87">
        <v>668009.34</v>
      </c>
      <c r="S72" s="87">
        <v>689310.2</v>
      </c>
    </row>
    <row r="73" spans="1:19" ht="63.75" x14ac:dyDescent="0.25">
      <c r="A73" s="90" t="s">
        <v>221</v>
      </c>
      <c r="B73" s="90" t="s">
        <v>95</v>
      </c>
      <c r="C73" s="98" t="s">
        <v>222</v>
      </c>
      <c r="D73" s="92" t="s">
        <v>223</v>
      </c>
      <c r="E73" s="90" t="s">
        <v>98</v>
      </c>
      <c r="F73" s="100">
        <v>2</v>
      </c>
      <c r="G73" s="94">
        <v>8351.31</v>
      </c>
      <c r="H73" s="94">
        <v>261902.82</v>
      </c>
      <c r="I73" s="95">
        <v>270254.13</v>
      </c>
      <c r="J73" s="95">
        <v>16702.62</v>
      </c>
      <c r="K73" s="95">
        <v>523805.64</v>
      </c>
      <c r="L73" s="95">
        <v>540508.26</v>
      </c>
      <c r="M73" s="96">
        <v>0.27529999999999999</v>
      </c>
      <c r="N73" s="95">
        <v>10650.43</v>
      </c>
      <c r="O73" s="95">
        <v>334004.67</v>
      </c>
      <c r="P73" s="95">
        <v>344655.1</v>
      </c>
      <c r="Q73" s="95">
        <v>21300.86</v>
      </c>
      <c r="R73" s="95">
        <v>668009.34</v>
      </c>
      <c r="S73" s="95">
        <v>689310.2</v>
      </c>
    </row>
    <row r="74" spans="1:19" s="89" customFormat="1" ht="25.5" x14ac:dyDescent="0.25">
      <c r="A74" s="82" t="s">
        <v>224</v>
      </c>
      <c r="B74" s="82"/>
      <c r="C74" s="84" t="s">
        <v>225</v>
      </c>
      <c r="D74" s="84"/>
      <c r="E74" s="85"/>
      <c r="F74" s="86"/>
      <c r="G74" s="87"/>
      <c r="H74" s="87"/>
      <c r="I74" s="88"/>
      <c r="J74" s="87">
        <v>3969069.2699999996</v>
      </c>
      <c r="K74" s="87">
        <v>138545.3499999998</v>
      </c>
      <c r="L74" s="87">
        <v>4107614.6200000006</v>
      </c>
      <c r="M74" s="87"/>
      <c r="N74" s="87"/>
      <c r="O74" s="87"/>
      <c r="P74" s="87"/>
      <c r="Q74" s="87">
        <v>5062555.4900000012</v>
      </c>
      <c r="R74" s="87">
        <v>176788.87999999998</v>
      </c>
      <c r="S74" s="87">
        <v>5239344.37</v>
      </c>
    </row>
    <row r="75" spans="1:19" ht="15" x14ac:dyDescent="0.25">
      <c r="A75" s="90" t="s">
        <v>226</v>
      </c>
      <c r="B75" s="90" t="s">
        <v>173</v>
      </c>
      <c r="C75" s="98" t="s">
        <v>227</v>
      </c>
      <c r="D75" s="92" t="s">
        <v>228</v>
      </c>
      <c r="E75" s="90" t="s">
        <v>78</v>
      </c>
      <c r="F75" s="100">
        <v>4061.23</v>
      </c>
      <c r="G75" s="94">
        <v>3.56</v>
      </c>
      <c r="H75" s="94">
        <v>0.15</v>
      </c>
      <c r="I75" s="95">
        <v>3.71</v>
      </c>
      <c r="J75" s="95">
        <v>14457.97</v>
      </c>
      <c r="K75" s="95">
        <v>609.19000000000051</v>
      </c>
      <c r="L75" s="95">
        <v>15067.16</v>
      </c>
      <c r="M75" s="96">
        <v>0.27529999999999999</v>
      </c>
      <c r="N75" s="95">
        <v>4.54</v>
      </c>
      <c r="O75" s="95">
        <v>0.19</v>
      </c>
      <c r="P75" s="95">
        <v>4.7300000000000004</v>
      </c>
      <c r="Q75" s="95">
        <v>18437.98</v>
      </c>
      <c r="R75" s="95">
        <v>771.63</v>
      </c>
      <c r="S75" s="95">
        <v>19209.61</v>
      </c>
    </row>
    <row r="76" spans="1:19" ht="15" x14ac:dyDescent="0.25">
      <c r="A76" s="90" t="s">
        <v>229</v>
      </c>
      <c r="B76" s="90" t="s">
        <v>31</v>
      </c>
      <c r="C76" s="98" t="s">
        <v>230</v>
      </c>
      <c r="D76" s="92" t="s">
        <v>231</v>
      </c>
      <c r="E76" s="90" t="s">
        <v>34</v>
      </c>
      <c r="F76" s="100">
        <v>20306.16</v>
      </c>
      <c r="G76" s="94">
        <v>0.49</v>
      </c>
      <c r="H76" s="94">
        <v>0.2</v>
      </c>
      <c r="I76" s="95">
        <v>0.69</v>
      </c>
      <c r="J76" s="95">
        <v>9950.01</v>
      </c>
      <c r="K76" s="95">
        <v>4061.24</v>
      </c>
      <c r="L76" s="95">
        <v>14011.25</v>
      </c>
      <c r="M76" s="96">
        <v>0.27529999999999999</v>
      </c>
      <c r="N76" s="95">
        <v>0.62</v>
      </c>
      <c r="O76" s="95">
        <v>0.26</v>
      </c>
      <c r="P76" s="95">
        <v>0.88</v>
      </c>
      <c r="Q76" s="95">
        <v>12589.82</v>
      </c>
      <c r="R76" s="95">
        <v>5279.6</v>
      </c>
      <c r="S76" s="95">
        <v>17869.419999999998</v>
      </c>
    </row>
    <row r="77" spans="1:19" ht="15" x14ac:dyDescent="0.25">
      <c r="A77" s="90" t="s">
        <v>232</v>
      </c>
      <c r="B77" s="90" t="s">
        <v>233</v>
      </c>
      <c r="C77" s="98" t="s">
        <v>234</v>
      </c>
      <c r="D77" s="92" t="s">
        <v>235</v>
      </c>
      <c r="E77" s="90" t="s">
        <v>236</v>
      </c>
      <c r="F77" s="100">
        <v>31964.75</v>
      </c>
      <c r="G77" s="94">
        <v>6.14</v>
      </c>
      <c r="H77" s="94">
        <v>7.0000000000000007E-2</v>
      </c>
      <c r="I77" s="95">
        <v>6.21</v>
      </c>
      <c r="J77" s="95">
        <v>196263.56</v>
      </c>
      <c r="K77" s="95">
        <v>2237.5400000000081</v>
      </c>
      <c r="L77" s="95">
        <v>198501.1</v>
      </c>
      <c r="M77" s="96">
        <v>0.27529999999999999</v>
      </c>
      <c r="N77" s="95">
        <v>7.83</v>
      </c>
      <c r="O77" s="95">
        <v>0.09</v>
      </c>
      <c r="P77" s="95">
        <v>7.92</v>
      </c>
      <c r="Q77" s="95">
        <v>250283.99</v>
      </c>
      <c r="R77" s="95">
        <v>2876.83</v>
      </c>
      <c r="S77" s="95">
        <v>253160.81999999998</v>
      </c>
    </row>
    <row r="78" spans="1:19" ht="15" x14ac:dyDescent="0.25">
      <c r="A78" s="90" t="s">
        <v>237</v>
      </c>
      <c r="B78" s="90" t="s">
        <v>233</v>
      </c>
      <c r="C78" s="98" t="s">
        <v>238</v>
      </c>
      <c r="D78" s="92" t="s">
        <v>239</v>
      </c>
      <c r="E78" s="90" t="s">
        <v>236</v>
      </c>
      <c r="F78" s="100">
        <v>7991.21</v>
      </c>
      <c r="G78" s="94">
        <v>8.41</v>
      </c>
      <c r="H78" s="94">
        <v>0</v>
      </c>
      <c r="I78" s="95">
        <v>8.41</v>
      </c>
      <c r="J78" s="95">
        <v>67206.070000000007</v>
      </c>
      <c r="K78" s="95">
        <v>9.9999999947613105E-3</v>
      </c>
      <c r="L78" s="95">
        <v>67206.080000000002</v>
      </c>
      <c r="M78" s="96">
        <v>0.27529999999999999</v>
      </c>
      <c r="N78" s="95">
        <v>10.73</v>
      </c>
      <c r="O78" s="95">
        <v>0</v>
      </c>
      <c r="P78" s="95">
        <v>10.73</v>
      </c>
      <c r="Q78" s="95">
        <v>85745.68</v>
      </c>
      <c r="R78" s="95">
        <v>0</v>
      </c>
      <c r="S78" s="95">
        <v>85745.68</v>
      </c>
    </row>
    <row r="79" spans="1:19" ht="15" x14ac:dyDescent="0.25">
      <c r="A79" s="90" t="s">
        <v>240</v>
      </c>
      <c r="B79" s="90" t="s">
        <v>233</v>
      </c>
      <c r="C79" s="98" t="s">
        <v>241</v>
      </c>
      <c r="D79" s="92" t="s">
        <v>242</v>
      </c>
      <c r="E79" s="90" t="s">
        <v>236</v>
      </c>
      <c r="F79" s="100">
        <v>7991.21</v>
      </c>
      <c r="G79" s="94">
        <v>41.71</v>
      </c>
      <c r="H79" s="94">
        <v>1.76</v>
      </c>
      <c r="I79" s="95">
        <v>43.47</v>
      </c>
      <c r="J79" s="95">
        <v>333313.36</v>
      </c>
      <c r="K79" s="95">
        <v>14064.540000000037</v>
      </c>
      <c r="L79" s="95">
        <v>347377.9</v>
      </c>
      <c r="M79" s="96">
        <v>0.27529999999999999</v>
      </c>
      <c r="N79" s="95">
        <v>53.19</v>
      </c>
      <c r="O79" s="95">
        <v>2.2400000000000002</v>
      </c>
      <c r="P79" s="95">
        <v>55.43</v>
      </c>
      <c r="Q79" s="95">
        <v>425052.46</v>
      </c>
      <c r="R79" s="95">
        <v>17900.310000000001</v>
      </c>
      <c r="S79" s="95">
        <v>442952.77</v>
      </c>
    </row>
    <row r="80" spans="1:19" ht="15" x14ac:dyDescent="0.25">
      <c r="A80" s="90" t="s">
        <v>243</v>
      </c>
      <c r="B80" s="90" t="s">
        <v>31</v>
      </c>
      <c r="C80" s="98" t="s">
        <v>244</v>
      </c>
      <c r="D80" s="92" t="s">
        <v>245</v>
      </c>
      <c r="E80" s="90" t="s">
        <v>34</v>
      </c>
      <c r="F80" s="100">
        <v>46800</v>
      </c>
      <c r="G80" s="94">
        <v>2.13</v>
      </c>
      <c r="H80" s="94">
        <v>0.98</v>
      </c>
      <c r="I80" s="95">
        <v>3.11</v>
      </c>
      <c r="J80" s="95">
        <v>99684</v>
      </c>
      <c r="K80" s="95">
        <v>45864</v>
      </c>
      <c r="L80" s="95">
        <v>145548</v>
      </c>
      <c r="M80" s="96">
        <v>0.27529999999999999</v>
      </c>
      <c r="N80" s="95">
        <v>2.72</v>
      </c>
      <c r="O80" s="95">
        <v>1.25</v>
      </c>
      <c r="P80" s="95">
        <v>3.97</v>
      </c>
      <c r="Q80" s="95">
        <v>127296</v>
      </c>
      <c r="R80" s="95">
        <v>58500</v>
      </c>
      <c r="S80" s="95">
        <v>185796</v>
      </c>
    </row>
    <row r="81" spans="1:19" ht="15" x14ac:dyDescent="0.25">
      <c r="A81" s="90" t="s">
        <v>246</v>
      </c>
      <c r="B81" s="90" t="s">
        <v>233</v>
      </c>
      <c r="C81" s="98" t="s">
        <v>247</v>
      </c>
      <c r="D81" s="92" t="s">
        <v>248</v>
      </c>
      <c r="E81" s="90" t="s">
        <v>249</v>
      </c>
      <c r="F81" s="100">
        <v>2917.8</v>
      </c>
      <c r="G81" s="94">
        <v>8.5299999999999994</v>
      </c>
      <c r="H81" s="94">
        <v>15.35</v>
      </c>
      <c r="I81" s="95">
        <v>23.88</v>
      </c>
      <c r="J81" s="95">
        <v>24888.83</v>
      </c>
      <c r="K81" s="95">
        <v>44788.229999999996</v>
      </c>
      <c r="L81" s="95">
        <v>69677.06</v>
      </c>
      <c r="M81" s="96">
        <v>0.27529999999999999</v>
      </c>
      <c r="N81" s="95">
        <v>10.88</v>
      </c>
      <c r="O81" s="95">
        <v>19.579999999999998</v>
      </c>
      <c r="P81" s="95">
        <v>30.46</v>
      </c>
      <c r="Q81" s="95">
        <v>31745.66</v>
      </c>
      <c r="R81" s="95">
        <v>57130.52</v>
      </c>
      <c r="S81" s="95">
        <v>88876.18</v>
      </c>
    </row>
    <row r="82" spans="1:19" ht="25.5" x14ac:dyDescent="0.25">
      <c r="A82" s="90" t="s">
        <v>250</v>
      </c>
      <c r="B82" s="90" t="s">
        <v>95</v>
      </c>
      <c r="C82" s="98" t="s">
        <v>251</v>
      </c>
      <c r="D82" s="92" t="s">
        <v>252</v>
      </c>
      <c r="E82" s="90" t="s">
        <v>78</v>
      </c>
      <c r="F82" s="100">
        <v>33407.599999999999</v>
      </c>
      <c r="G82" s="94">
        <v>66.73</v>
      </c>
      <c r="H82" s="94">
        <v>0</v>
      </c>
      <c r="I82" s="95">
        <v>66.73</v>
      </c>
      <c r="J82" s="95">
        <v>2229289.14</v>
      </c>
      <c r="K82" s="95">
        <v>9.9999997764825821E-3</v>
      </c>
      <c r="L82" s="95">
        <v>2229289.15</v>
      </c>
      <c r="M82" s="96">
        <v>0.27529999999999999</v>
      </c>
      <c r="N82" s="95">
        <v>85.1</v>
      </c>
      <c r="O82" s="95">
        <v>0</v>
      </c>
      <c r="P82" s="95">
        <v>85.1</v>
      </c>
      <c r="Q82" s="95">
        <v>2842986.76</v>
      </c>
      <c r="R82" s="95">
        <v>0</v>
      </c>
      <c r="S82" s="95">
        <v>2842986.76</v>
      </c>
    </row>
    <row r="83" spans="1:19" ht="15" x14ac:dyDescent="0.25">
      <c r="A83" s="90" t="s">
        <v>253</v>
      </c>
      <c r="B83" s="90" t="s">
        <v>184</v>
      </c>
      <c r="C83" s="98" t="s">
        <v>254</v>
      </c>
      <c r="D83" s="92" t="s">
        <v>255</v>
      </c>
      <c r="E83" s="90" t="s">
        <v>78</v>
      </c>
      <c r="F83" s="100">
        <v>19973.5</v>
      </c>
      <c r="G83" s="94">
        <v>4.8099999999999996</v>
      </c>
      <c r="H83" s="94">
        <v>0.15</v>
      </c>
      <c r="I83" s="95">
        <v>4.96</v>
      </c>
      <c r="J83" s="95">
        <v>96072.53</v>
      </c>
      <c r="K83" s="95">
        <v>2996.0299999999988</v>
      </c>
      <c r="L83" s="95">
        <v>99068.56</v>
      </c>
      <c r="M83" s="96">
        <v>0.27529999999999999</v>
      </c>
      <c r="N83" s="95">
        <v>6.13</v>
      </c>
      <c r="O83" s="95">
        <v>0.19</v>
      </c>
      <c r="P83" s="95">
        <v>6.32</v>
      </c>
      <c r="Q83" s="95">
        <v>122437.56</v>
      </c>
      <c r="R83" s="95">
        <v>3794.97</v>
      </c>
      <c r="S83" s="95">
        <v>126232.53</v>
      </c>
    </row>
    <row r="84" spans="1:19" ht="15" x14ac:dyDescent="0.25">
      <c r="A84" s="90" t="s">
        <v>256</v>
      </c>
      <c r="B84" s="90" t="s">
        <v>31</v>
      </c>
      <c r="C84" s="98" t="s">
        <v>257</v>
      </c>
      <c r="D84" s="92" t="s">
        <v>258</v>
      </c>
      <c r="E84" s="90" t="s">
        <v>16</v>
      </c>
      <c r="F84" s="100">
        <v>4</v>
      </c>
      <c r="G84" s="94">
        <v>27.39</v>
      </c>
      <c r="H84" s="94">
        <v>51.27</v>
      </c>
      <c r="I84" s="95">
        <v>78.66</v>
      </c>
      <c r="J84" s="95">
        <v>109.56</v>
      </c>
      <c r="K84" s="95">
        <v>205.07999999999998</v>
      </c>
      <c r="L84" s="95">
        <v>314.64</v>
      </c>
      <c r="M84" s="96">
        <v>0.27529999999999999</v>
      </c>
      <c r="N84" s="95">
        <v>34.93</v>
      </c>
      <c r="O84" s="95">
        <v>65.38</v>
      </c>
      <c r="P84" s="95">
        <v>100.31</v>
      </c>
      <c r="Q84" s="95">
        <v>139.72</v>
      </c>
      <c r="R84" s="95">
        <v>261.52</v>
      </c>
      <c r="S84" s="95">
        <v>401.24</v>
      </c>
    </row>
    <row r="85" spans="1:19" ht="15" x14ac:dyDescent="0.25">
      <c r="A85" s="90" t="s">
        <v>259</v>
      </c>
      <c r="B85" s="90" t="s">
        <v>31</v>
      </c>
      <c r="C85" s="98" t="s">
        <v>260</v>
      </c>
      <c r="D85" s="92" t="s">
        <v>261</v>
      </c>
      <c r="E85" s="90" t="s">
        <v>16</v>
      </c>
      <c r="F85" s="100">
        <v>4</v>
      </c>
      <c r="G85" s="94">
        <v>73.84</v>
      </c>
      <c r="H85" s="94">
        <v>63.69</v>
      </c>
      <c r="I85" s="95">
        <v>137.53</v>
      </c>
      <c r="J85" s="95">
        <v>295.36</v>
      </c>
      <c r="K85" s="95">
        <v>254.76</v>
      </c>
      <c r="L85" s="95">
        <v>550.12</v>
      </c>
      <c r="M85" s="96">
        <v>0.27529999999999999</v>
      </c>
      <c r="N85" s="95">
        <v>94.17</v>
      </c>
      <c r="O85" s="95">
        <v>81.22</v>
      </c>
      <c r="P85" s="95">
        <v>175.39</v>
      </c>
      <c r="Q85" s="95">
        <v>376.68</v>
      </c>
      <c r="R85" s="95">
        <v>324.88</v>
      </c>
      <c r="S85" s="95">
        <v>701.56</v>
      </c>
    </row>
    <row r="86" spans="1:19" ht="15" x14ac:dyDescent="0.25">
      <c r="A86" s="90" t="s">
        <v>262</v>
      </c>
      <c r="B86" s="90" t="s">
        <v>233</v>
      </c>
      <c r="C86" s="98" t="s">
        <v>263</v>
      </c>
      <c r="D86" s="92" t="s">
        <v>264</v>
      </c>
      <c r="E86" s="90" t="s">
        <v>236</v>
      </c>
      <c r="F86" s="100">
        <v>33407.599999999999</v>
      </c>
      <c r="G86" s="94">
        <v>1.41</v>
      </c>
      <c r="H86" s="94">
        <v>7.0000000000000007E-2</v>
      </c>
      <c r="I86" s="95">
        <v>1.48</v>
      </c>
      <c r="J86" s="95">
        <v>47104.71</v>
      </c>
      <c r="K86" s="95">
        <v>2338.5400000000009</v>
      </c>
      <c r="L86" s="95">
        <v>49443.25</v>
      </c>
      <c r="M86" s="96">
        <v>0.27529999999999999</v>
      </c>
      <c r="N86" s="95">
        <v>1.8</v>
      </c>
      <c r="O86" s="95">
        <v>0.09</v>
      </c>
      <c r="P86" s="95">
        <v>1.8900000000000001</v>
      </c>
      <c r="Q86" s="95">
        <v>60133.68</v>
      </c>
      <c r="R86" s="95">
        <v>3006.68</v>
      </c>
      <c r="S86" s="95">
        <v>63140.36</v>
      </c>
    </row>
    <row r="87" spans="1:19" ht="15" x14ac:dyDescent="0.25">
      <c r="A87" s="90" t="s">
        <v>265</v>
      </c>
      <c r="B87" s="90" t="s">
        <v>233</v>
      </c>
      <c r="C87" s="98" t="s">
        <v>266</v>
      </c>
      <c r="D87" s="92" t="s">
        <v>267</v>
      </c>
      <c r="E87" s="90" t="s">
        <v>268</v>
      </c>
      <c r="F87" s="100">
        <v>12828.52</v>
      </c>
      <c r="G87" s="94">
        <v>1.0900000000000001</v>
      </c>
      <c r="H87" s="94">
        <v>0</v>
      </c>
      <c r="I87" s="95">
        <v>1.0900000000000001</v>
      </c>
      <c r="J87" s="95">
        <v>13983.08</v>
      </c>
      <c r="K87" s="95">
        <v>1.0000000000218279E-2</v>
      </c>
      <c r="L87" s="95">
        <v>13983.09</v>
      </c>
      <c r="M87" s="96">
        <v>0.27529999999999999</v>
      </c>
      <c r="N87" s="95">
        <v>1.39</v>
      </c>
      <c r="O87" s="95">
        <v>0</v>
      </c>
      <c r="P87" s="95">
        <v>1.39</v>
      </c>
      <c r="Q87" s="95">
        <v>17831.64</v>
      </c>
      <c r="R87" s="95">
        <v>0</v>
      </c>
      <c r="S87" s="95">
        <v>17831.64</v>
      </c>
    </row>
    <row r="88" spans="1:19" ht="15" x14ac:dyDescent="0.25">
      <c r="A88" s="90" t="s">
        <v>269</v>
      </c>
      <c r="B88" s="90" t="s">
        <v>233</v>
      </c>
      <c r="C88" s="98" t="s">
        <v>270</v>
      </c>
      <c r="D88" s="92" t="s">
        <v>271</v>
      </c>
      <c r="E88" s="90" t="s">
        <v>268</v>
      </c>
      <c r="F88" s="100">
        <v>256570.37</v>
      </c>
      <c r="G88" s="94">
        <v>0.88</v>
      </c>
      <c r="H88" s="94">
        <v>0</v>
      </c>
      <c r="I88" s="95">
        <v>0.88</v>
      </c>
      <c r="J88" s="95">
        <v>225781.92</v>
      </c>
      <c r="K88" s="95">
        <v>9.9999999802093953E-3</v>
      </c>
      <c r="L88" s="95">
        <v>225781.93</v>
      </c>
      <c r="M88" s="96">
        <v>0.27529999999999999</v>
      </c>
      <c r="N88" s="95">
        <v>1.1200000000000001</v>
      </c>
      <c r="O88" s="95">
        <v>0</v>
      </c>
      <c r="P88" s="95">
        <v>1.1200000000000001</v>
      </c>
      <c r="Q88" s="95">
        <v>287358.81</v>
      </c>
      <c r="R88" s="95">
        <v>0</v>
      </c>
      <c r="S88" s="95">
        <v>287358.81</v>
      </c>
    </row>
    <row r="89" spans="1:19" ht="15" x14ac:dyDescent="0.25">
      <c r="A89" s="90" t="s">
        <v>272</v>
      </c>
      <c r="B89" s="90" t="s">
        <v>233</v>
      </c>
      <c r="C89" s="98" t="s">
        <v>273</v>
      </c>
      <c r="D89" s="92" t="s">
        <v>274</v>
      </c>
      <c r="E89" s="90" t="s">
        <v>268</v>
      </c>
      <c r="F89" s="100">
        <v>705568.51</v>
      </c>
      <c r="G89" s="94">
        <v>0.72</v>
      </c>
      <c r="H89" s="94">
        <v>0</v>
      </c>
      <c r="I89" s="95">
        <v>0.72</v>
      </c>
      <c r="J89" s="95">
        <v>508009.32</v>
      </c>
      <c r="K89" s="95">
        <v>1.0000000009313226E-2</v>
      </c>
      <c r="L89" s="95">
        <v>508009.33</v>
      </c>
      <c r="M89" s="96">
        <v>0.27529999999999999</v>
      </c>
      <c r="N89" s="95">
        <v>0.92</v>
      </c>
      <c r="O89" s="95">
        <v>0</v>
      </c>
      <c r="P89" s="95">
        <v>0.92</v>
      </c>
      <c r="Q89" s="95">
        <v>649123.03</v>
      </c>
      <c r="R89" s="95">
        <v>0</v>
      </c>
      <c r="S89" s="95">
        <v>649123.03</v>
      </c>
    </row>
    <row r="90" spans="1:19" ht="15" x14ac:dyDescent="0.25">
      <c r="A90" s="90" t="s">
        <v>275</v>
      </c>
      <c r="B90" s="90" t="s">
        <v>233</v>
      </c>
      <c r="C90" s="98" t="s">
        <v>266</v>
      </c>
      <c r="D90" s="92" t="s">
        <v>267</v>
      </c>
      <c r="E90" s="90" t="s">
        <v>268</v>
      </c>
      <c r="F90" s="100">
        <v>1218.3699999999999</v>
      </c>
      <c r="G90" s="94">
        <v>1.0900000000000001</v>
      </c>
      <c r="H90" s="94">
        <v>0</v>
      </c>
      <c r="I90" s="95">
        <v>1.0900000000000001</v>
      </c>
      <c r="J90" s="95">
        <v>1328.02</v>
      </c>
      <c r="K90" s="95">
        <v>0</v>
      </c>
      <c r="L90" s="95">
        <v>1328.02</v>
      </c>
      <c r="M90" s="96">
        <v>0.27529999999999999</v>
      </c>
      <c r="N90" s="95">
        <v>1.39</v>
      </c>
      <c r="O90" s="95">
        <v>0</v>
      </c>
      <c r="P90" s="95">
        <v>1.39</v>
      </c>
      <c r="Q90" s="95">
        <v>1693.53</v>
      </c>
      <c r="R90" s="95">
        <v>0</v>
      </c>
      <c r="S90" s="95">
        <v>1693.53</v>
      </c>
    </row>
    <row r="91" spans="1:19" ht="15" x14ac:dyDescent="0.25">
      <c r="A91" s="90" t="s">
        <v>276</v>
      </c>
      <c r="B91" s="90" t="s">
        <v>233</v>
      </c>
      <c r="C91" s="98" t="s">
        <v>270</v>
      </c>
      <c r="D91" s="92" t="s">
        <v>271</v>
      </c>
      <c r="E91" s="90" t="s">
        <v>268</v>
      </c>
      <c r="F91" s="100">
        <v>30459.24</v>
      </c>
      <c r="G91" s="94">
        <v>0.88</v>
      </c>
      <c r="H91" s="94">
        <v>0</v>
      </c>
      <c r="I91" s="95">
        <v>0.88</v>
      </c>
      <c r="J91" s="95">
        <v>26804.13</v>
      </c>
      <c r="K91" s="95">
        <v>0</v>
      </c>
      <c r="L91" s="95">
        <v>26804.13</v>
      </c>
      <c r="M91" s="96">
        <v>0.27529999999999999</v>
      </c>
      <c r="N91" s="95">
        <v>1.1200000000000001</v>
      </c>
      <c r="O91" s="95">
        <v>0</v>
      </c>
      <c r="P91" s="95">
        <v>1.1200000000000001</v>
      </c>
      <c r="Q91" s="95">
        <v>34114.35</v>
      </c>
      <c r="R91" s="95">
        <v>0</v>
      </c>
      <c r="S91" s="95">
        <v>34114.35</v>
      </c>
    </row>
    <row r="92" spans="1:19" ht="15" x14ac:dyDescent="0.25">
      <c r="A92" s="90" t="s">
        <v>277</v>
      </c>
      <c r="B92" s="90" t="s">
        <v>233</v>
      </c>
      <c r="C92" s="98" t="s">
        <v>273</v>
      </c>
      <c r="D92" s="92" t="s">
        <v>274</v>
      </c>
      <c r="E92" s="90" t="s">
        <v>268</v>
      </c>
      <c r="F92" s="100">
        <v>91377.72</v>
      </c>
      <c r="G92" s="94">
        <v>0.72</v>
      </c>
      <c r="H92" s="94">
        <v>0</v>
      </c>
      <c r="I92" s="95">
        <v>0.72</v>
      </c>
      <c r="J92" s="95">
        <v>65791.95</v>
      </c>
      <c r="K92" s="95">
        <v>1.0000000009313226E-2</v>
      </c>
      <c r="L92" s="95">
        <v>65791.960000000006</v>
      </c>
      <c r="M92" s="96">
        <v>0.27529999999999999</v>
      </c>
      <c r="N92" s="95">
        <v>0.92</v>
      </c>
      <c r="O92" s="95">
        <v>0</v>
      </c>
      <c r="P92" s="95">
        <v>0.92</v>
      </c>
      <c r="Q92" s="95">
        <v>84067.5</v>
      </c>
      <c r="R92" s="95">
        <v>0</v>
      </c>
      <c r="S92" s="95">
        <v>84067.5</v>
      </c>
    </row>
    <row r="93" spans="1:19" ht="15" x14ac:dyDescent="0.25">
      <c r="A93" s="90" t="s">
        <v>278</v>
      </c>
      <c r="B93" s="90" t="s">
        <v>31</v>
      </c>
      <c r="C93" s="98" t="s">
        <v>279</v>
      </c>
      <c r="D93" s="92" t="s">
        <v>280</v>
      </c>
      <c r="E93" s="90" t="s">
        <v>16</v>
      </c>
      <c r="F93" s="100">
        <v>65</v>
      </c>
      <c r="G93" s="94">
        <v>20.67</v>
      </c>
      <c r="H93" s="94">
        <v>271.93</v>
      </c>
      <c r="I93" s="95">
        <v>292.60000000000002</v>
      </c>
      <c r="J93" s="95">
        <v>1343.55</v>
      </c>
      <c r="K93" s="95">
        <v>17675.45</v>
      </c>
      <c r="L93" s="95">
        <v>19019</v>
      </c>
      <c r="M93" s="96">
        <v>0.27529999999999999</v>
      </c>
      <c r="N93" s="95">
        <v>26.36</v>
      </c>
      <c r="O93" s="95">
        <v>346.79</v>
      </c>
      <c r="P93" s="95">
        <v>373.15000000000003</v>
      </c>
      <c r="Q93" s="95">
        <v>1713.4</v>
      </c>
      <c r="R93" s="95">
        <v>22541.35</v>
      </c>
      <c r="S93" s="95">
        <v>24254.75</v>
      </c>
    </row>
    <row r="94" spans="1:19" ht="15" x14ac:dyDescent="0.25">
      <c r="A94" s="90" t="s">
        <v>281</v>
      </c>
      <c r="B94" s="90" t="s">
        <v>100</v>
      </c>
      <c r="C94" s="98" t="s">
        <v>282</v>
      </c>
      <c r="D94" s="92" t="s">
        <v>283</v>
      </c>
      <c r="E94" s="90" t="s">
        <v>16</v>
      </c>
      <c r="F94" s="100">
        <v>23</v>
      </c>
      <c r="G94" s="94">
        <v>310</v>
      </c>
      <c r="H94" s="94">
        <v>0</v>
      </c>
      <c r="I94" s="95">
        <v>310</v>
      </c>
      <c r="J94" s="95">
        <v>7130</v>
      </c>
      <c r="K94" s="95">
        <v>0</v>
      </c>
      <c r="L94" s="95">
        <v>7130</v>
      </c>
      <c r="M94" s="96">
        <v>0.27529999999999999</v>
      </c>
      <c r="N94" s="95">
        <v>395.34</v>
      </c>
      <c r="O94" s="95">
        <v>0</v>
      </c>
      <c r="P94" s="95">
        <v>395.34</v>
      </c>
      <c r="Q94" s="95">
        <v>9092.82</v>
      </c>
      <c r="R94" s="95">
        <v>0</v>
      </c>
      <c r="S94" s="95">
        <v>9092.82</v>
      </c>
    </row>
    <row r="95" spans="1:19" ht="15" x14ac:dyDescent="0.25">
      <c r="A95" s="90" t="s">
        <v>284</v>
      </c>
      <c r="B95" s="90" t="s">
        <v>31</v>
      </c>
      <c r="C95" s="98" t="s">
        <v>285</v>
      </c>
      <c r="D95" s="92" t="s">
        <v>286</v>
      </c>
      <c r="E95" s="90" t="s">
        <v>16</v>
      </c>
      <c r="F95" s="100">
        <v>23</v>
      </c>
      <c r="G95" s="94">
        <v>11.4</v>
      </c>
      <c r="H95" s="94">
        <v>150.03</v>
      </c>
      <c r="I95" s="95">
        <v>161.43</v>
      </c>
      <c r="J95" s="95">
        <v>262.2</v>
      </c>
      <c r="K95" s="95">
        <v>3450.69</v>
      </c>
      <c r="L95" s="95">
        <v>3712.89</v>
      </c>
      <c r="M95" s="96">
        <v>0.27529999999999999</v>
      </c>
      <c r="N95" s="95">
        <v>14.54</v>
      </c>
      <c r="O95" s="95">
        <v>191.33</v>
      </c>
      <c r="P95" s="95">
        <v>205.87</v>
      </c>
      <c r="Q95" s="95">
        <v>334.42</v>
      </c>
      <c r="R95" s="95">
        <v>4400.59</v>
      </c>
      <c r="S95" s="95">
        <v>4735.01</v>
      </c>
    </row>
    <row r="96" spans="1:19" s="89" customFormat="1" x14ac:dyDescent="0.25">
      <c r="A96" s="82" t="s">
        <v>287</v>
      </c>
      <c r="B96" s="82"/>
      <c r="C96" s="83" t="s">
        <v>288</v>
      </c>
      <c r="D96" s="84"/>
      <c r="E96" s="85"/>
      <c r="F96" s="86"/>
      <c r="G96" s="87"/>
      <c r="H96" s="87"/>
      <c r="I96" s="88"/>
      <c r="J96" s="87">
        <v>3187618.1500000004</v>
      </c>
      <c r="K96" s="87">
        <v>242734.04999999984</v>
      </c>
      <c r="L96" s="87">
        <v>3430352.1999999997</v>
      </c>
      <c r="M96" s="87"/>
      <c r="N96" s="87"/>
      <c r="O96" s="87"/>
      <c r="P96" s="87"/>
      <c r="Q96" s="87">
        <v>4065206.59</v>
      </c>
      <c r="R96" s="87">
        <v>309557.99000000005</v>
      </c>
      <c r="S96" s="87">
        <v>4374764.58</v>
      </c>
    </row>
    <row r="97" spans="1:19" ht="15" x14ac:dyDescent="0.25">
      <c r="A97" s="90" t="s">
        <v>289</v>
      </c>
      <c r="B97" s="90" t="s">
        <v>233</v>
      </c>
      <c r="C97" s="98" t="s">
        <v>290</v>
      </c>
      <c r="D97" s="92" t="s">
        <v>291</v>
      </c>
      <c r="E97" s="90" t="s">
        <v>236</v>
      </c>
      <c r="F97" s="100">
        <v>2626.5</v>
      </c>
      <c r="G97" s="94">
        <v>61.2</v>
      </c>
      <c r="H97" s="94">
        <v>0.17</v>
      </c>
      <c r="I97" s="95">
        <v>61.370000000000005</v>
      </c>
      <c r="J97" s="95">
        <v>160741.79999999999</v>
      </c>
      <c r="K97" s="95">
        <v>446.51000000000931</v>
      </c>
      <c r="L97" s="95">
        <v>161188.31</v>
      </c>
      <c r="M97" s="96">
        <v>0.27529999999999999</v>
      </c>
      <c r="N97" s="95">
        <v>78.05</v>
      </c>
      <c r="O97" s="95">
        <v>0.22</v>
      </c>
      <c r="P97" s="95">
        <v>78.27</v>
      </c>
      <c r="Q97" s="95">
        <v>204998.33</v>
      </c>
      <c r="R97" s="95">
        <v>577.83000000000004</v>
      </c>
      <c r="S97" s="95">
        <v>205576.15999999997</v>
      </c>
    </row>
    <row r="98" spans="1:19" ht="15" x14ac:dyDescent="0.25">
      <c r="A98" s="90" t="s">
        <v>292</v>
      </c>
      <c r="B98" s="90" t="s">
        <v>31</v>
      </c>
      <c r="C98" s="98" t="s">
        <v>293</v>
      </c>
      <c r="D98" s="92" t="s">
        <v>294</v>
      </c>
      <c r="E98" s="90" t="s">
        <v>78</v>
      </c>
      <c r="F98" s="100">
        <v>4761.7700000000004</v>
      </c>
      <c r="G98" s="94">
        <v>185.47</v>
      </c>
      <c r="H98" s="94">
        <v>6.5</v>
      </c>
      <c r="I98" s="95">
        <v>191.97</v>
      </c>
      <c r="J98" s="95">
        <v>883165.48</v>
      </c>
      <c r="K98" s="95">
        <v>30951.510000000009</v>
      </c>
      <c r="L98" s="95">
        <v>914116.99</v>
      </c>
      <c r="M98" s="96">
        <v>0.27529999999999999</v>
      </c>
      <c r="N98" s="95">
        <v>236.53</v>
      </c>
      <c r="O98" s="95">
        <v>8.2899999999999991</v>
      </c>
      <c r="P98" s="95">
        <v>244.82</v>
      </c>
      <c r="Q98" s="95">
        <v>1126301.46</v>
      </c>
      <c r="R98" s="95">
        <v>39475.07</v>
      </c>
      <c r="S98" s="95">
        <v>1165776.53</v>
      </c>
    </row>
    <row r="99" spans="1:19" ht="15" x14ac:dyDescent="0.25">
      <c r="A99" s="90" t="s">
        <v>295</v>
      </c>
      <c r="B99" s="90" t="s">
        <v>31</v>
      </c>
      <c r="C99" s="98" t="s">
        <v>296</v>
      </c>
      <c r="D99" s="92" t="s">
        <v>297</v>
      </c>
      <c r="E99" s="90" t="s">
        <v>93</v>
      </c>
      <c r="F99" s="100">
        <v>5554.8</v>
      </c>
      <c r="G99" s="94">
        <v>32.229999999999997</v>
      </c>
      <c r="H99" s="94">
        <v>8.23</v>
      </c>
      <c r="I99" s="95">
        <v>40.459999999999994</v>
      </c>
      <c r="J99" s="95">
        <v>179031.2</v>
      </c>
      <c r="K99" s="95">
        <v>45716.00999999998</v>
      </c>
      <c r="L99" s="95">
        <v>224747.21</v>
      </c>
      <c r="M99" s="96">
        <v>0.27529999999999999</v>
      </c>
      <c r="N99" s="95">
        <v>41.1</v>
      </c>
      <c r="O99" s="95">
        <v>10.5</v>
      </c>
      <c r="P99" s="95">
        <v>51.6</v>
      </c>
      <c r="Q99" s="95">
        <v>228302.28</v>
      </c>
      <c r="R99" s="95">
        <v>58325.4</v>
      </c>
      <c r="S99" s="95">
        <v>286627.68</v>
      </c>
    </row>
    <row r="100" spans="1:19" ht="15" x14ac:dyDescent="0.25">
      <c r="A100" s="90" t="s">
        <v>298</v>
      </c>
      <c r="B100" s="90" t="s">
        <v>31</v>
      </c>
      <c r="C100" s="98" t="s">
        <v>299</v>
      </c>
      <c r="D100" s="92" t="s">
        <v>300</v>
      </c>
      <c r="E100" s="90" t="s">
        <v>34</v>
      </c>
      <c r="F100" s="100">
        <v>5904.7</v>
      </c>
      <c r="G100" s="94">
        <v>71.58</v>
      </c>
      <c r="H100" s="94">
        <v>7.95</v>
      </c>
      <c r="I100" s="95">
        <v>79.53</v>
      </c>
      <c r="J100" s="95">
        <v>422658.42</v>
      </c>
      <c r="K100" s="95">
        <v>46942.369999999995</v>
      </c>
      <c r="L100" s="95">
        <v>469600.79</v>
      </c>
      <c r="M100" s="96">
        <v>0.27529999999999999</v>
      </c>
      <c r="N100" s="95">
        <v>91.29</v>
      </c>
      <c r="O100" s="95">
        <v>10.14</v>
      </c>
      <c r="P100" s="95">
        <v>101.43</v>
      </c>
      <c r="Q100" s="95">
        <v>539040.06000000006</v>
      </c>
      <c r="R100" s="95">
        <v>59873.66</v>
      </c>
      <c r="S100" s="95">
        <v>598913.72000000009</v>
      </c>
    </row>
    <row r="101" spans="1:19" ht="15" x14ac:dyDescent="0.25">
      <c r="A101" s="90" t="s">
        <v>301</v>
      </c>
      <c r="B101" s="90" t="s">
        <v>31</v>
      </c>
      <c r="C101" s="98" t="s">
        <v>302</v>
      </c>
      <c r="D101" s="92" t="s">
        <v>303</v>
      </c>
      <c r="E101" s="90" t="s">
        <v>34</v>
      </c>
      <c r="F101" s="100">
        <v>9992.6</v>
      </c>
      <c r="G101" s="94">
        <v>123.67</v>
      </c>
      <c r="H101" s="94">
        <v>10.26</v>
      </c>
      <c r="I101" s="95">
        <v>133.93</v>
      </c>
      <c r="J101" s="95">
        <v>1235784.8400000001</v>
      </c>
      <c r="K101" s="95">
        <v>102524.07999999984</v>
      </c>
      <c r="L101" s="95">
        <v>1338308.92</v>
      </c>
      <c r="M101" s="96">
        <v>0.27529999999999999</v>
      </c>
      <c r="N101" s="95">
        <v>157.72</v>
      </c>
      <c r="O101" s="95">
        <v>13.08</v>
      </c>
      <c r="P101" s="95">
        <v>170.8</v>
      </c>
      <c r="Q101" s="95">
        <v>1576032.87</v>
      </c>
      <c r="R101" s="95">
        <v>130703.21</v>
      </c>
      <c r="S101" s="95">
        <v>1706736.08</v>
      </c>
    </row>
    <row r="102" spans="1:19" ht="15" x14ac:dyDescent="0.25">
      <c r="A102" s="90" t="s">
        <v>304</v>
      </c>
      <c r="B102" s="90" t="s">
        <v>31</v>
      </c>
      <c r="C102" s="98" t="s">
        <v>305</v>
      </c>
      <c r="D102" s="92" t="s">
        <v>306</v>
      </c>
      <c r="E102" s="90" t="s">
        <v>34</v>
      </c>
      <c r="F102" s="100">
        <v>4008.33</v>
      </c>
      <c r="G102" s="94">
        <v>76.400000000000006</v>
      </c>
      <c r="H102" s="94">
        <v>4.03</v>
      </c>
      <c r="I102" s="95">
        <v>80.430000000000007</v>
      </c>
      <c r="J102" s="95">
        <v>306236.40999999997</v>
      </c>
      <c r="K102" s="95">
        <v>16153.570000000007</v>
      </c>
      <c r="L102" s="95">
        <v>322389.98</v>
      </c>
      <c r="M102" s="96">
        <v>0.27529999999999999</v>
      </c>
      <c r="N102" s="95">
        <v>97.43</v>
      </c>
      <c r="O102" s="95">
        <v>5.14</v>
      </c>
      <c r="P102" s="95">
        <v>102.57000000000001</v>
      </c>
      <c r="Q102" s="95">
        <v>390531.59</v>
      </c>
      <c r="R102" s="95">
        <v>20602.82</v>
      </c>
      <c r="S102" s="95">
        <v>411134.41000000003</v>
      </c>
    </row>
    <row r="103" spans="1:19" s="89" customFormat="1" x14ac:dyDescent="0.25">
      <c r="A103" s="82" t="s">
        <v>307</v>
      </c>
      <c r="B103" s="82"/>
      <c r="C103" s="83" t="s">
        <v>308</v>
      </c>
      <c r="D103" s="84"/>
      <c r="E103" s="85"/>
      <c r="F103" s="86"/>
      <c r="G103" s="87"/>
      <c r="H103" s="87"/>
      <c r="I103" s="88"/>
      <c r="J103" s="87">
        <v>4236286.32</v>
      </c>
      <c r="K103" s="87">
        <v>779239.79</v>
      </c>
      <c r="L103" s="87">
        <v>5015526.1099999994</v>
      </c>
      <c r="M103" s="87"/>
      <c r="N103" s="87"/>
      <c r="O103" s="87"/>
      <c r="P103" s="87"/>
      <c r="Q103" s="87">
        <v>5402651.6199999982</v>
      </c>
      <c r="R103" s="87">
        <v>993716.64</v>
      </c>
      <c r="S103" s="87">
        <v>6396368.2600000007</v>
      </c>
    </row>
    <row r="104" spans="1:19" ht="15" x14ac:dyDescent="0.25">
      <c r="A104" s="90" t="s">
        <v>309</v>
      </c>
      <c r="B104" s="90" t="s">
        <v>31</v>
      </c>
      <c r="C104" s="98" t="s">
        <v>310</v>
      </c>
      <c r="D104" s="92" t="s">
        <v>311</v>
      </c>
      <c r="E104" s="90" t="s">
        <v>78</v>
      </c>
      <c r="F104" s="100">
        <v>4427.18</v>
      </c>
      <c r="G104" s="94">
        <v>180.43</v>
      </c>
      <c r="H104" s="94">
        <v>42.36</v>
      </c>
      <c r="I104" s="95">
        <v>222.79000000000002</v>
      </c>
      <c r="J104" s="95">
        <v>798796.08</v>
      </c>
      <c r="K104" s="95">
        <v>187535.35000000009</v>
      </c>
      <c r="L104" s="95">
        <v>986331.43</v>
      </c>
      <c r="M104" s="96">
        <v>0.27529999999999999</v>
      </c>
      <c r="N104" s="95">
        <v>230.1</v>
      </c>
      <c r="O104" s="95">
        <v>54.02</v>
      </c>
      <c r="P104" s="95">
        <v>284.12</v>
      </c>
      <c r="Q104" s="95">
        <v>1018694.12</v>
      </c>
      <c r="R104" s="95">
        <v>239156.26</v>
      </c>
      <c r="S104" s="95">
        <v>1257850.3799999999</v>
      </c>
    </row>
    <row r="105" spans="1:19" ht="15" x14ac:dyDescent="0.25">
      <c r="A105" s="90" t="s">
        <v>312</v>
      </c>
      <c r="B105" s="90" t="s">
        <v>233</v>
      </c>
      <c r="C105" s="98" t="s">
        <v>313</v>
      </c>
      <c r="D105" s="92" t="s">
        <v>314</v>
      </c>
      <c r="E105" s="90" t="s">
        <v>236</v>
      </c>
      <c r="F105" s="100">
        <v>608.4</v>
      </c>
      <c r="G105" s="94">
        <v>127.51</v>
      </c>
      <c r="H105" s="94">
        <v>0.11</v>
      </c>
      <c r="I105" s="95">
        <v>127.62</v>
      </c>
      <c r="J105" s="95">
        <v>77577.08</v>
      </c>
      <c r="K105" s="95">
        <v>66.929999999993015</v>
      </c>
      <c r="L105" s="95">
        <v>77644.009999999995</v>
      </c>
      <c r="M105" s="96">
        <v>0.27529999999999999</v>
      </c>
      <c r="N105" s="95">
        <v>162.61000000000001</v>
      </c>
      <c r="O105" s="95">
        <v>0.14000000000000001</v>
      </c>
      <c r="P105" s="95">
        <v>162.75</v>
      </c>
      <c r="Q105" s="95">
        <v>98931.92</v>
      </c>
      <c r="R105" s="95">
        <v>85.18</v>
      </c>
      <c r="S105" s="95">
        <v>99017.099999999991</v>
      </c>
    </row>
    <row r="106" spans="1:19" ht="15" x14ac:dyDescent="0.25">
      <c r="A106" s="90" t="s">
        <v>315</v>
      </c>
      <c r="B106" s="90" t="s">
        <v>233</v>
      </c>
      <c r="C106" s="98" t="s">
        <v>316</v>
      </c>
      <c r="D106" s="92" t="s">
        <v>317</v>
      </c>
      <c r="E106" s="90" t="s">
        <v>16</v>
      </c>
      <c r="F106" s="100">
        <v>212</v>
      </c>
      <c r="G106" s="94">
        <v>306.73</v>
      </c>
      <c r="H106" s="94">
        <v>0</v>
      </c>
      <c r="I106" s="95">
        <v>306.73</v>
      </c>
      <c r="J106" s="95">
        <v>65026.76</v>
      </c>
      <c r="K106" s="95">
        <v>0</v>
      </c>
      <c r="L106" s="95">
        <v>65026.76</v>
      </c>
      <c r="M106" s="96">
        <v>0.27529999999999999</v>
      </c>
      <c r="N106" s="95">
        <v>391.17</v>
      </c>
      <c r="O106" s="95">
        <v>0</v>
      </c>
      <c r="P106" s="95">
        <v>391.17</v>
      </c>
      <c r="Q106" s="95">
        <v>82928.039999999994</v>
      </c>
      <c r="R106" s="95">
        <v>0</v>
      </c>
      <c r="S106" s="95">
        <v>82928.039999999994</v>
      </c>
    </row>
    <row r="107" spans="1:19" ht="15" x14ac:dyDescent="0.25">
      <c r="A107" s="90" t="s">
        <v>318</v>
      </c>
      <c r="B107" s="90" t="s">
        <v>233</v>
      </c>
      <c r="C107" s="98" t="s">
        <v>319</v>
      </c>
      <c r="D107" s="92" t="s">
        <v>320</v>
      </c>
      <c r="E107" s="90" t="s">
        <v>93</v>
      </c>
      <c r="F107" s="100">
        <v>106</v>
      </c>
      <c r="G107" s="94">
        <v>166.89</v>
      </c>
      <c r="H107" s="94">
        <v>0</v>
      </c>
      <c r="I107" s="95">
        <v>166.89</v>
      </c>
      <c r="J107" s="95">
        <v>17690.34</v>
      </c>
      <c r="K107" s="95">
        <v>0</v>
      </c>
      <c r="L107" s="95">
        <v>17690.34</v>
      </c>
      <c r="M107" s="96">
        <v>0.27529999999999999</v>
      </c>
      <c r="N107" s="95">
        <v>212.83</v>
      </c>
      <c r="O107" s="95">
        <v>0</v>
      </c>
      <c r="P107" s="95">
        <v>212.83</v>
      </c>
      <c r="Q107" s="95">
        <v>22559.98</v>
      </c>
      <c r="R107" s="95">
        <v>0</v>
      </c>
      <c r="S107" s="95">
        <v>22559.98</v>
      </c>
    </row>
    <row r="108" spans="1:19" ht="15" x14ac:dyDescent="0.25">
      <c r="A108" s="90" t="s">
        <v>321</v>
      </c>
      <c r="B108" s="90" t="s">
        <v>233</v>
      </c>
      <c r="C108" s="98" t="s">
        <v>322</v>
      </c>
      <c r="D108" s="92" t="s">
        <v>323</v>
      </c>
      <c r="E108" s="90" t="s">
        <v>249</v>
      </c>
      <c r="F108" s="100">
        <v>14135.2</v>
      </c>
      <c r="G108" s="94">
        <v>49.94</v>
      </c>
      <c r="H108" s="94">
        <v>0</v>
      </c>
      <c r="I108" s="95">
        <v>49.94</v>
      </c>
      <c r="J108" s="95">
        <v>705911.88</v>
      </c>
      <c r="K108" s="95">
        <v>1.0000000009313226E-2</v>
      </c>
      <c r="L108" s="95">
        <v>705911.89</v>
      </c>
      <c r="M108" s="96">
        <v>0.27529999999999999</v>
      </c>
      <c r="N108" s="95">
        <v>63.69</v>
      </c>
      <c r="O108" s="95">
        <v>0</v>
      </c>
      <c r="P108" s="95">
        <v>63.69</v>
      </c>
      <c r="Q108" s="95">
        <v>900270.89</v>
      </c>
      <c r="R108" s="95">
        <v>0</v>
      </c>
      <c r="S108" s="95">
        <v>900270.89</v>
      </c>
    </row>
    <row r="109" spans="1:19" ht="15" x14ac:dyDescent="0.25">
      <c r="A109" s="90" t="s">
        <v>324</v>
      </c>
      <c r="B109" s="90" t="s">
        <v>233</v>
      </c>
      <c r="C109" s="98" t="s">
        <v>325</v>
      </c>
      <c r="D109" s="92" t="s">
        <v>326</v>
      </c>
      <c r="E109" s="90" t="s">
        <v>16</v>
      </c>
      <c r="F109" s="100">
        <v>7</v>
      </c>
      <c r="G109" s="94">
        <v>1176.42</v>
      </c>
      <c r="H109" s="94">
        <v>441.87</v>
      </c>
      <c r="I109" s="95">
        <v>1618.29</v>
      </c>
      <c r="J109" s="95">
        <v>8234.94</v>
      </c>
      <c r="K109" s="95">
        <v>3093.09</v>
      </c>
      <c r="L109" s="95">
        <v>11328.03</v>
      </c>
      <c r="M109" s="96">
        <v>0.27529999999999999</v>
      </c>
      <c r="N109" s="95">
        <v>1500.29</v>
      </c>
      <c r="O109" s="95">
        <v>563.52</v>
      </c>
      <c r="P109" s="95">
        <v>2063.81</v>
      </c>
      <c r="Q109" s="95">
        <v>10502.03</v>
      </c>
      <c r="R109" s="95">
        <v>3944.64</v>
      </c>
      <c r="S109" s="95">
        <v>14446.67</v>
      </c>
    </row>
    <row r="110" spans="1:19" ht="15" x14ac:dyDescent="0.25">
      <c r="A110" s="90" t="s">
        <v>327</v>
      </c>
      <c r="B110" s="90" t="s">
        <v>184</v>
      </c>
      <c r="C110" s="98" t="s">
        <v>328</v>
      </c>
      <c r="D110" s="92" t="s">
        <v>329</v>
      </c>
      <c r="E110" s="90" t="s">
        <v>93</v>
      </c>
      <c r="F110" s="100">
        <v>507</v>
      </c>
      <c r="G110" s="94">
        <v>127.11</v>
      </c>
      <c r="H110" s="94">
        <v>0</v>
      </c>
      <c r="I110" s="95">
        <v>127.11</v>
      </c>
      <c r="J110" s="95">
        <v>64444.77</v>
      </c>
      <c r="K110" s="95">
        <v>0</v>
      </c>
      <c r="L110" s="95">
        <v>64444.77</v>
      </c>
      <c r="M110" s="96">
        <v>0.27529999999999999</v>
      </c>
      <c r="N110" s="95">
        <v>162.1</v>
      </c>
      <c r="O110" s="95">
        <v>0</v>
      </c>
      <c r="P110" s="95">
        <v>162.1</v>
      </c>
      <c r="Q110" s="95">
        <v>82184.7</v>
      </c>
      <c r="R110" s="95">
        <v>0</v>
      </c>
      <c r="S110" s="95">
        <v>82184.7</v>
      </c>
    </row>
    <row r="111" spans="1:19" ht="15" x14ac:dyDescent="0.25">
      <c r="A111" s="90" t="s">
        <v>330</v>
      </c>
      <c r="B111" s="90" t="s">
        <v>233</v>
      </c>
      <c r="C111" s="98" t="s">
        <v>331</v>
      </c>
      <c r="D111" s="92" t="s">
        <v>332</v>
      </c>
      <c r="E111" s="90" t="s">
        <v>93</v>
      </c>
      <c r="F111" s="100">
        <v>879</v>
      </c>
      <c r="G111" s="94">
        <v>22.25</v>
      </c>
      <c r="H111" s="94">
        <v>0</v>
      </c>
      <c r="I111" s="95">
        <v>22.25</v>
      </c>
      <c r="J111" s="95">
        <v>19557.75</v>
      </c>
      <c r="K111" s="95">
        <v>0</v>
      </c>
      <c r="L111" s="95">
        <v>19557.75</v>
      </c>
      <c r="M111" s="96">
        <v>0.27529999999999999</v>
      </c>
      <c r="N111" s="95">
        <v>28.38</v>
      </c>
      <c r="O111" s="95">
        <v>0</v>
      </c>
      <c r="P111" s="95">
        <v>28.38</v>
      </c>
      <c r="Q111" s="95">
        <v>24946.02</v>
      </c>
      <c r="R111" s="95">
        <v>0</v>
      </c>
      <c r="S111" s="95">
        <v>24946.02</v>
      </c>
    </row>
    <row r="112" spans="1:19" ht="15" x14ac:dyDescent="0.25">
      <c r="A112" s="90" t="s">
        <v>333</v>
      </c>
      <c r="B112" s="90" t="s">
        <v>31</v>
      </c>
      <c r="C112" s="98" t="s">
        <v>334</v>
      </c>
      <c r="D112" s="92" t="s">
        <v>335</v>
      </c>
      <c r="E112" s="90" t="s">
        <v>93</v>
      </c>
      <c r="F112" s="100">
        <v>124</v>
      </c>
      <c r="G112" s="94">
        <v>183.34</v>
      </c>
      <c r="H112" s="94">
        <v>14.51</v>
      </c>
      <c r="I112" s="95">
        <v>197.85</v>
      </c>
      <c r="J112" s="95">
        <v>22734.16</v>
      </c>
      <c r="K112" s="95">
        <v>1799.2400000000016</v>
      </c>
      <c r="L112" s="95">
        <v>24533.4</v>
      </c>
      <c r="M112" s="96">
        <v>0.27529999999999999</v>
      </c>
      <c r="N112" s="95">
        <v>233.81</v>
      </c>
      <c r="O112" s="95">
        <v>18.5</v>
      </c>
      <c r="P112" s="95">
        <v>252.31</v>
      </c>
      <c r="Q112" s="95">
        <v>28992.44</v>
      </c>
      <c r="R112" s="95">
        <v>2294</v>
      </c>
      <c r="S112" s="95">
        <v>31286.44</v>
      </c>
    </row>
    <row r="113" spans="1:19" ht="15" x14ac:dyDescent="0.25">
      <c r="A113" s="90" t="s">
        <v>336</v>
      </c>
      <c r="B113" s="90" t="s">
        <v>31</v>
      </c>
      <c r="C113" s="98" t="s">
        <v>337</v>
      </c>
      <c r="D113" s="92" t="s">
        <v>338</v>
      </c>
      <c r="E113" s="90" t="s">
        <v>93</v>
      </c>
      <c r="F113" s="100">
        <v>595</v>
      </c>
      <c r="G113" s="94">
        <v>347.63</v>
      </c>
      <c r="H113" s="94">
        <v>22.68</v>
      </c>
      <c r="I113" s="95">
        <v>370.31</v>
      </c>
      <c r="J113" s="95">
        <v>206839.85</v>
      </c>
      <c r="K113" s="95">
        <v>13494.600000000006</v>
      </c>
      <c r="L113" s="95">
        <v>220334.45</v>
      </c>
      <c r="M113" s="96">
        <v>0.27529999999999999</v>
      </c>
      <c r="N113" s="95">
        <v>443.33</v>
      </c>
      <c r="O113" s="95">
        <v>28.92</v>
      </c>
      <c r="P113" s="95">
        <v>472.25</v>
      </c>
      <c r="Q113" s="95">
        <v>263781.34999999998</v>
      </c>
      <c r="R113" s="95">
        <v>17207.400000000001</v>
      </c>
      <c r="S113" s="95">
        <v>280988.75</v>
      </c>
    </row>
    <row r="114" spans="1:19" ht="15" x14ac:dyDescent="0.25">
      <c r="A114" s="90" t="s">
        <v>339</v>
      </c>
      <c r="B114" s="90" t="s">
        <v>31</v>
      </c>
      <c r="C114" s="98" t="s">
        <v>340</v>
      </c>
      <c r="D114" s="92" t="s">
        <v>341</v>
      </c>
      <c r="E114" s="90" t="s">
        <v>93</v>
      </c>
      <c r="F114" s="100">
        <v>338</v>
      </c>
      <c r="G114" s="94">
        <v>569.30999999999995</v>
      </c>
      <c r="H114" s="94">
        <v>31.05</v>
      </c>
      <c r="I114" s="95">
        <v>600.3599999999999</v>
      </c>
      <c r="J114" s="95">
        <v>192426.78</v>
      </c>
      <c r="K114" s="95">
        <v>10494.899999999994</v>
      </c>
      <c r="L114" s="95">
        <v>202921.68</v>
      </c>
      <c r="M114" s="96">
        <v>0.27529999999999999</v>
      </c>
      <c r="N114" s="95">
        <v>726.04</v>
      </c>
      <c r="O114" s="95">
        <v>39.6</v>
      </c>
      <c r="P114" s="95">
        <v>765.64</v>
      </c>
      <c r="Q114" s="95">
        <v>245401.52</v>
      </c>
      <c r="R114" s="95">
        <v>13384.8</v>
      </c>
      <c r="S114" s="95">
        <v>258786.31999999998</v>
      </c>
    </row>
    <row r="115" spans="1:19" ht="15" x14ac:dyDescent="0.25">
      <c r="A115" s="90" t="s">
        <v>342</v>
      </c>
      <c r="B115" s="90" t="s">
        <v>31</v>
      </c>
      <c r="C115" s="98" t="s">
        <v>343</v>
      </c>
      <c r="D115" s="92" t="s">
        <v>344</v>
      </c>
      <c r="E115" s="90" t="s">
        <v>93</v>
      </c>
      <c r="F115" s="100">
        <v>176</v>
      </c>
      <c r="G115" s="94">
        <v>673.4</v>
      </c>
      <c r="H115" s="94">
        <v>39.630000000000003</v>
      </c>
      <c r="I115" s="95">
        <v>713.03</v>
      </c>
      <c r="J115" s="95">
        <v>118518.39999999999</v>
      </c>
      <c r="K115" s="95">
        <v>6974.8800000000047</v>
      </c>
      <c r="L115" s="95">
        <v>125493.28</v>
      </c>
      <c r="M115" s="96">
        <v>0.27529999999999999</v>
      </c>
      <c r="N115" s="95">
        <v>858.79</v>
      </c>
      <c r="O115" s="95">
        <v>50.54</v>
      </c>
      <c r="P115" s="95">
        <v>909.32999999999993</v>
      </c>
      <c r="Q115" s="95">
        <v>151147.04</v>
      </c>
      <c r="R115" s="95">
        <v>8895.0400000000009</v>
      </c>
      <c r="S115" s="95">
        <v>160042.08000000002</v>
      </c>
    </row>
    <row r="116" spans="1:19" ht="15" x14ac:dyDescent="0.25">
      <c r="A116" s="90" t="s">
        <v>345</v>
      </c>
      <c r="B116" s="90" t="s">
        <v>31</v>
      </c>
      <c r="C116" s="98" t="s">
        <v>346</v>
      </c>
      <c r="D116" s="92" t="s">
        <v>347</v>
      </c>
      <c r="E116" s="90" t="s">
        <v>93</v>
      </c>
      <c r="F116" s="100">
        <v>348</v>
      </c>
      <c r="G116" s="94">
        <v>990.15</v>
      </c>
      <c r="H116" s="94">
        <v>48.4</v>
      </c>
      <c r="I116" s="95">
        <v>1038.55</v>
      </c>
      <c r="J116" s="95">
        <v>344572.2</v>
      </c>
      <c r="K116" s="95">
        <v>16843.200000000012</v>
      </c>
      <c r="L116" s="95">
        <v>361415.4</v>
      </c>
      <c r="M116" s="96">
        <v>0.27529999999999999</v>
      </c>
      <c r="N116" s="95">
        <v>1262.74</v>
      </c>
      <c r="O116" s="95">
        <v>61.72</v>
      </c>
      <c r="P116" s="95">
        <v>1324.46</v>
      </c>
      <c r="Q116" s="95">
        <v>439433.52</v>
      </c>
      <c r="R116" s="95">
        <v>21478.560000000001</v>
      </c>
      <c r="S116" s="95">
        <v>460912.08</v>
      </c>
    </row>
    <row r="117" spans="1:19" ht="15" x14ac:dyDescent="0.25">
      <c r="A117" s="90" t="s">
        <v>348</v>
      </c>
      <c r="B117" s="90" t="s">
        <v>31</v>
      </c>
      <c r="C117" s="98" t="s">
        <v>349</v>
      </c>
      <c r="D117" s="92" t="s">
        <v>350</v>
      </c>
      <c r="E117" s="90" t="s">
        <v>93</v>
      </c>
      <c r="F117" s="100">
        <v>456</v>
      </c>
      <c r="G117" s="94">
        <v>1424.08</v>
      </c>
      <c r="H117" s="94">
        <v>61.92</v>
      </c>
      <c r="I117" s="95">
        <v>1486</v>
      </c>
      <c r="J117" s="95">
        <v>649380.48</v>
      </c>
      <c r="K117" s="95">
        <v>28235.520000000019</v>
      </c>
      <c r="L117" s="95">
        <v>677616</v>
      </c>
      <c r="M117" s="96">
        <v>0.27529999999999999</v>
      </c>
      <c r="N117" s="95">
        <v>1816.13</v>
      </c>
      <c r="O117" s="95">
        <v>78.97</v>
      </c>
      <c r="P117" s="95">
        <v>1895.1000000000001</v>
      </c>
      <c r="Q117" s="95">
        <v>828155.28</v>
      </c>
      <c r="R117" s="95">
        <v>36010.32</v>
      </c>
      <c r="S117" s="95">
        <v>864165.6</v>
      </c>
    </row>
    <row r="118" spans="1:19" ht="15" x14ac:dyDescent="0.25">
      <c r="A118" s="90" t="s">
        <v>351</v>
      </c>
      <c r="B118" s="90" t="s">
        <v>233</v>
      </c>
      <c r="C118" s="98" t="s">
        <v>352</v>
      </c>
      <c r="D118" s="92" t="s">
        <v>353</v>
      </c>
      <c r="E118" s="90" t="s">
        <v>16</v>
      </c>
      <c r="F118" s="100">
        <v>4</v>
      </c>
      <c r="G118" s="94">
        <v>1810.89</v>
      </c>
      <c r="H118" s="94">
        <v>652.23</v>
      </c>
      <c r="I118" s="95">
        <v>2463.12</v>
      </c>
      <c r="J118" s="95">
        <v>7243.56</v>
      </c>
      <c r="K118" s="95">
        <v>2608.9199999999992</v>
      </c>
      <c r="L118" s="95">
        <v>9852.48</v>
      </c>
      <c r="M118" s="96">
        <v>0.27529999999999999</v>
      </c>
      <c r="N118" s="95">
        <v>2309.4299999999998</v>
      </c>
      <c r="O118" s="95">
        <v>831.79</v>
      </c>
      <c r="P118" s="95">
        <v>3141.22</v>
      </c>
      <c r="Q118" s="95">
        <v>9237.7199999999993</v>
      </c>
      <c r="R118" s="95">
        <v>3327.16</v>
      </c>
      <c r="S118" s="95">
        <v>12564.88</v>
      </c>
    </row>
    <row r="119" spans="1:19" ht="15" x14ac:dyDescent="0.25">
      <c r="A119" s="90" t="s">
        <v>354</v>
      </c>
      <c r="B119" s="90" t="s">
        <v>233</v>
      </c>
      <c r="C119" s="98" t="s">
        <v>355</v>
      </c>
      <c r="D119" s="92" t="s">
        <v>356</v>
      </c>
      <c r="E119" s="90" t="s">
        <v>16</v>
      </c>
      <c r="F119" s="100">
        <v>21</v>
      </c>
      <c r="G119" s="94">
        <v>1781.17</v>
      </c>
      <c r="H119" s="94">
        <v>649.23</v>
      </c>
      <c r="I119" s="95">
        <v>2430.4</v>
      </c>
      <c r="J119" s="95">
        <v>37404.57</v>
      </c>
      <c r="K119" s="95">
        <v>13633.830000000002</v>
      </c>
      <c r="L119" s="95">
        <v>51038.400000000001</v>
      </c>
      <c r="M119" s="96">
        <v>0.27529999999999999</v>
      </c>
      <c r="N119" s="95">
        <v>2271.5300000000002</v>
      </c>
      <c r="O119" s="95">
        <v>827.96</v>
      </c>
      <c r="P119" s="95">
        <v>3099.4900000000002</v>
      </c>
      <c r="Q119" s="95">
        <v>47702.13</v>
      </c>
      <c r="R119" s="95">
        <v>17387.16</v>
      </c>
      <c r="S119" s="95">
        <v>65089.289999999994</v>
      </c>
    </row>
    <row r="120" spans="1:19" ht="15" x14ac:dyDescent="0.25">
      <c r="A120" s="90" t="s">
        <v>357</v>
      </c>
      <c r="B120" s="90" t="s">
        <v>233</v>
      </c>
      <c r="C120" s="98" t="s">
        <v>358</v>
      </c>
      <c r="D120" s="92" t="s">
        <v>359</v>
      </c>
      <c r="E120" s="90" t="s">
        <v>16</v>
      </c>
      <c r="F120" s="100">
        <v>11</v>
      </c>
      <c r="G120" s="94">
        <v>2054.84</v>
      </c>
      <c r="H120" s="94">
        <v>723.46</v>
      </c>
      <c r="I120" s="95">
        <v>2778.3</v>
      </c>
      <c r="J120" s="95">
        <v>22603.24</v>
      </c>
      <c r="K120" s="95">
        <v>7958.0599999999977</v>
      </c>
      <c r="L120" s="95">
        <v>30561.3</v>
      </c>
      <c r="M120" s="96">
        <v>0.27529999999999999</v>
      </c>
      <c r="N120" s="95">
        <v>2620.54</v>
      </c>
      <c r="O120" s="95">
        <v>922.63</v>
      </c>
      <c r="P120" s="95">
        <v>3543.17</v>
      </c>
      <c r="Q120" s="95">
        <v>28825.94</v>
      </c>
      <c r="R120" s="95">
        <v>10148.93</v>
      </c>
      <c r="S120" s="95">
        <v>38974.869999999995</v>
      </c>
    </row>
    <row r="121" spans="1:19" ht="15" x14ac:dyDescent="0.25">
      <c r="A121" s="90" t="s">
        <v>360</v>
      </c>
      <c r="B121" s="90" t="s">
        <v>233</v>
      </c>
      <c r="C121" s="98" t="s">
        <v>361</v>
      </c>
      <c r="D121" s="92" t="s">
        <v>362</v>
      </c>
      <c r="E121" s="90" t="s">
        <v>16</v>
      </c>
      <c r="F121" s="100">
        <v>5</v>
      </c>
      <c r="G121" s="94">
        <v>2459.27</v>
      </c>
      <c r="H121" s="94">
        <v>862.35</v>
      </c>
      <c r="I121" s="95">
        <v>3321.62</v>
      </c>
      <c r="J121" s="95">
        <v>12296.35</v>
      </c>
      <c r="K121" s="95">
        <v>4311.7499999999982</v>
      </c>
      <c r="L121" s="95">
        <v>16608.099999999999</v>
      </c>
      <c r="M121" s="96">
        <v>0.27529999999999999</v>
      </c>
      <c r="N121" s="95">
        <v>3136.31</v>
      </c>
      <c r="O121" s="95">
        <v>1099.75</v>
      </c>
      <c r="P121" s="95">
        <v>4236.0599999999995</v>
      </c>
      <c r="Q121" s="95">
        <v>15681.55</v>
      </c>
      <c r="R121" s="95">
        <v>5498.75</v>
      </c>
      <c r="S121" s="95">
        <v>21180.3</v>
      </c>
    </row>
    <row r="122" spans="1:19" ht="15" x14ac:dyDescent="0.25">
      <c r="A122" s="90" t="s">
        <v>363</v>
      </c>
      <c r="B122" s="90" t="s">
        <v>233</v>
      </c>
      <c r="C122" s="98" t="s">
        <v>364</v>
      </c>
      <c r="D122" s="92" t="s">
        <v>365</v>
      </c>
      <c r="E122" s="90" t="s">
        <v>16</v>
      </c>
      <c r="F122" s="100">
        <v>3</v>
      </c>
      <c r="G122" s="94">
        <v>2899.78</v>
      </c>
      <c r="H122" s="94">
        <v>1027.4100000000001</v>
      </c>
      <c r="I122" s="95">
        <v>3927.1900000000005</v>
      </c>
      <c r="J122" s="95">
        <v>8699.34</v>
      </c>
      <c r="K122" s="95">
        <v>3082.2299999999996</v>
      </c>
      <c r="L122" s="95">
        <v>11781.57</v>
      </c>
      <c r="M122" s="96">
        <v>0.27529999999999999</v>
      </c>
      <c r="N122" s="95">
        <v>3698.09</v>
      </c>
      <c r="O122" s="95">
        <v>1310.26</v>
      </c>
      <c r="P122" s="95">
        <v>5008.3500000000004</v>
      </c>
      <c r="Q122" s="95">
        <v>11094.27</v>
      </c>
      <c r="R122" s="95">
        <v>3930.78</v>
      </c>
      <c r="S122" s="95">
        <v>15025.050000000001</v>
      </c>
    </row>
    <row r="123" spans="1:19" ht="15" x14ac:dyDescent="0.25">
      <c r="A123" s="90" t="s">
        <v>366</v>
      </c>
      <c r="B123" s="90" t="s">
        <v>233</v>
      </c>
      <c r="C123" s="98" t="s">
        <v>367</v>
      </c>
      <c r="D123" s="92" t="s">
        <v>368</v>
      </c>
      <c r="E123" s="90" t="s">
        <v>16</v>
      </c>
      <c r="F123" s="100">
        <v>44</v>
      </c>
      <c r="G123" s="94">
        <v>2039.91</v>
      </c>
      <c r="H123" s="94">
        <v>477.63</v>
      </c>
      <c r="I123" s="95">
        <v>2517.54</v>
      </c>
      <c r="J123" s="95">
        <v>89756.04</v>
      </c>
      <c r="K123" s="95">
        <v>21015.72</v>
      </c>
      <c r="L123" s="95">
        <v>110771.76</v>
      </c>
      <c r="M123" s="96">
        <v>0.27529999999999999</v>
      </c>
      <c r="N123" s="95">
        <v>2601.5</v>
      </c>
      <c r="O123" s="95">
        <v>609.12</v>
      </c>
      <c r="P123" s="95">
        <v>3210.62</v>
      </c>
      <c r="Q123" s="95">
        <v>114466</v>
      </c>
      <c r="R123" s="95">
        <v>26801.279999999999</v>
      </c>
      <c r="S123" s="95">
        <v>141267.28</v>
      </c>
    </row>
    <row r="124" spans="1:19" ht="15" x14ac:dyDescent="0.25">
      <c r="A124" s="90" t="s">
        <v>369</v>
      </c>
      <c r="B124" s="90" t="s">
        <v>31</v>
      </c>
      <c r="C124" s="98" t="s">
        <v>370</v>
      </c>
      <c r="D124" s="92" t="s">
        <v>371</v>
      </c>
      <c r="E124" s="90" t="s">
        <v>78</v>
      </c>
      <c r="F124" s="100">
        <v>12558.1</v>
      </c>
      <c r="G124" s="94">
        <v>4.8499999999999996</v>
      </c>
      <c r="H124" s="94">
        <v>1.47</v>
      </c>
      <c r="I124" s="95">
        <v>6.3199999999999994</v>
      </c>
      <c r="J124" s="95">
        <v>60906.78</v>
      </c>
      <c r="K124" s="95">
        <v>18460.410000000003</v>
      </c>
      <c r="L124" s="95">
        <v>79367.19</v>
      </c>
      <c r="M124" s="96">
        <v>0.27529999999999999</v>
      </c>
      <c r="N124" s="95">
        <v>6.19</v>
      </c>
      <c r="O124" s="95">
        <v>1.87</v>
      </c>
      <c r="P124" s="95">
        <v>8.06</v>
      </c>
      <c r="Q124" s="95">
        <v>77734.64</v>
      </c>
      <c r="R124" s="95">
        <v>23483.65</v>
      </c>
      <c r="S124" s="95">
        <v>101218.29000000001</v>
      </c>
    </row>
    <row r="125" spans="1:19" ht="15" x14ac:dyDescent="0.25">
      <c r="A125" s="90" t="s">
        <v>372</v>
      </c>
      <c r="B125" s="90" t="s">
        <v>31</v>
      </c>
      <c r="C125" s="98" t="s">
        <v>373</v>
      </c>
      <c r="D125" s="92" t="s">
        <v>374</v>
      </c>
      <c r="E125" s="90" t="s">
        <v>78</v>
      </c>
      <c r="F125" s="100">
        <v>6279.05</v>
      </c>
      <c r="G125" s="94">
        <v>6.06</v>
      </c>
      <c r="H125" s="94">
        <v>1.84</v>
      </c>
      <c r="I125" s="95">
        <v>7.8999999999999995</v>
      </c>
      <c r="J125" s="95">
        <v>38051.040000000001</v>
      </c>
      <c r="K125" s="95">
        <v>11553.46</v>
      </c>
      <c r="L125" s="95">
        <v>49604.5</v>
      </c>
      <c r="M125" s="96">
        <v>0.27529999999999999</v>
      </c>
      <c r="N125" s="95">
        <v>7.73</v>
      </c>
      <c r="O125" s="95">
        <v>2.35</v>
      </c>
      <c r="P125" s="95">
        <v>10.08</v>
      </c>
      <c r="Q125" s="95">
        <v>48537.06</v>
      </c>
      <c r="R125" s="95">
        <v>14755.77</v>
      </c>
      <c r="S125" s="95">
        <v>63292.83</v>
      </c>
    </row>
    <row r="126" spans="1:19" ht="15" x14ac:dyDescent="0.25">
      <c r="A126" s="90" t="s">
        <v>375</v>
      </c>
      <c r="B126" s="90" t="s">
        <v>31</v>
      </c>
      <c r="C126" s="98" t="s">
        <v>376</v>
      </c>
      <c r="D126" s="92" t="s">
        <v>377</v>
      </c>
      <c r="E126" s="90" t="s">
        <v>78</v>
      </c>
      <c r="F126" s="100">
        <v>2093.0100000000002</v>
      </c>
      <c r="G126" s="94">
        <v>122.11</v>
      </c>
      <c r="H126" s="94">
        <v>73.62</v>
      </c>
      <c r="I126" s="95">
        <v>195.73000000000002</v>
      </c>
      <c r="J126" s="95">
        <v>255577.45</v>
      </c>
      <c r="K126" s="95">
        <v>154087.39999999997</v>
      </c>
      <c r="L126" s="95">
        <v>409664.85</v>
      </c>
      <c r="M126" s="96">
        <v>0.27529999999999999</v>
      </c>
      <c r="N126" s="95">
        <v>155.72999999999999</v>
      </c>
      <c r="O126" s="95">
        <v>93.89</v>
      </c>
      <c r="P126" s="95">
        <v>249.62</v>
      </c>
      <c r="Q126" s="95">
        <v>325944.45</v>
      </c>
      <c r="R126" s="95">
        <v>196512.71</v>
      </c>
      <c r="S126" s="95">
        <v>522457.16000000003</v>
      </c>
    </row>
    <row r="127" spans="1:19" ht="15" x14ac:dyDescent="0.25">
      <c r="A127" s="90" t="s">
        <v>378</v>
      </c>
      <c r="B127" s="90" t="s">
        <v>31</v>
      </c>
      <c r="C127" s="98" t="s">
        <v>379</v>
      </c>
      <c r="D127" s="92" t="s">
        <v>380</v>
      </c>
      <c r="E127" s="90" t="s">
        <v>78</v>
      </c>
      <c r="F127" s="100">
        <v>11011.9</v>
      </c>
      <c r="G127" s="94">
        <v>11.23</v>
      </c>
      <c r="H127" s="94">
        <v>17.809999999999999</v>
      </c>
      <c r="I127" s="95">
        <v>29.04</v>
      </c>
      <c r="J127" s="95">
        <v>123663.63</v>
      </c>
      <c r="K127" s="95">
        <v>196121.95</v>
      </c>
      <c r="L127" s="95">
        <v>319785.58</v>
      </c>
      <c r="M127" s="96">
        <v>0.27529999999999999</v>
      </c>
      <c r="N127" s="95">
        <v>14.32</v>
      </c>
      <c r="O127" s="95">
        <v>22.71</v>
      </c>
      <c r="P127" s="95">
        <v>37.03</v>
      </c>
      <c r="Q127" s="95">
        <v>157690.41</v>
      </c>
      <c r="R127" s="95">
        <v>250080.25</v>
      </c>
      <c r="S127" s="95">
        <v>407770.66000000003</v>
      </c>
    </row>
    <row r="128" spans="1:19" ht="15" x14ac:dyDescent="0.25">
      <c r="A128" s="90" t="s">
        <v>381</v>
      </c>
      <c r="B128" s="90" t="s">
        <v>382</v>
      </c>
      <c r="C128" s="98" t="s">
        <v>383</v>
      </c>
      <c r="D128" s="92" t="s">
        <v>384</v>
      </c>
      <c r="E128" s="90" t="s">
        <v>385</v>
      </c>
      <c r="F128" s="100">
        <v>6549.3</v>
      </c>
      <c r="G128" s="94">
        <v>10.45</v>
      </c>
      <c r="H128" s="94">
        <v>3.88</v>
      </c>
      <c r="I128" s="95">
        <v>14.329999999999998</v>
      </c>
      <c r="J128" s="95">
        <v>68440.179999999993</v>
      </c>
      <c r="K128" s="95">
        <v>25411.290000000008</v>
      </c>
      <c r="L128" s="95">
        <v>93851.47</v>
      </c>
      <c r="M128" s="96">
        <v>0.27529999999999999</v>
      </c>
      <c r="N128" s="95">
        <v>13.33</v>
      </c>
      <c r="O128" s="95">
        <v>4.95</v>
      </c>
      <c r="P128" s="95">
        <v>18.28</v>
      </c>
      <c r="Q128" s="95">
        <v>87302.17</v>
      </c>
      <c r="R128" s="95">
        <v>32419.040000000001</v>
      </c>
      <c r="S128" s="95">
        <v>119721.20999999999</v>
      </c>
    </row>
    <row r="129" spans="1:19" ht="15" x14ac:dyDescent="0.25">
      <c r="A129" s="90" t="s">
        <v>386</v>
      </c>
      <c r="B129" s="90" t="s">
        <v>233</v>
      </c>
      <c r="C129" s="98" t="s">
        <v>387</v>
      </c>
      <c r="D129" s="92" t="s">
        <v>388</v>
      </c>
      <c r="E129" s="90" t="s">
        <v>236</v>
      </c>
      <c r="F129" s="100">
        <v>72.77</v>
      </c>
      <c r="G129" s="94">
        <v>443.78</v>
      </c>
      <c r="H129" s="94">
        <v>42.72</v>
      </c>
      <c r="I129" s="95">
        <v>486.5</v>
      </c>
      <c r="J129" s="95">
        <v>32293.87</v>
      </c>
      <c r="K129" s="95">
        <v>3108.7400000000016</v>
      </c>
      <c r="L129" s="95">
        <v>35402.61</v>
      </c>
      <c r="M129" s="96">
        <v>0.27529999999999999</v>
      </c>
      <c r="N129" s="95">
        <v>565.95000000000005</v>
      </c>
      <c r="O129" s="95">
        <v>54.48</v>
      </c>
      <c r="P129" s="95">
        <v>620.43000000000006</v>
      </c>
      <c r="Q129" s="95">
        <v>41184.18</v>
      </c>
      <c r="R129" s="95">
        <v>3964.51</v>
      </c>
      <c r="S129" s="95">
        <v>45148.69</v>
      </c>
    </row>
    <row r="130" spans="1:19" ht="15" x14ac:dyDescent="0.25">
      <c r="A130" s="90" t="s">
        <v>389</v>
      </c>
      <c r="B130" s="90" t="s">
        <v>233</v>
      </c>
      <c r="C130" s="98" t="s">
        <v>390</v>
      </c>
      <c r="D130" s="92" t="s">
        <v>391</v>
      </c>
      <c r="E130" s="90" t="s">
        <v>16</v>
      </c>
      <c r="F130" s="100">
        <v>3</v>
      </c>
      <c r="G130" s="94">
        <v>1646.62</v>
      </c>
      <c r="H130" s="94">
        <v>445.44</v>
      </c>
      <c r="I130" s="95">
        <v>2092.06</v>
      </c>
      <c r="J130" s="95">
        <v>4939.8599999999997</v>
      </c>
      <c r="K130" s="95">
        <v>1336.3200000000006</v>
      </c>
      <c r="L130" s="95">
        <v>6276.18</v>
      </c>
      <c r="M130" s="96">
        <v>0.27529999999999999</v>
      </c>
      <c r="N130" s="95">
        <v>2099.9299999999998</v>
      </c>
      <c r="O130" s="95">
        <v>568.07000000000005</v>
      </c>
      <c r="P130" s="95">
        <v>2668</v>
      </c>
      <c r="Q130" s="95">
        <v>6299.79</v>
      </c>
      <c r="R130" s="95">
        <v>1704.21</v>
      </c>
      <c r="S130" s="95">
        <v>8004</v>
      </c>
    </row>
    <row r="131" spans="1:19" ht="15" x14ac:dyDescent="0.25">
      <c r="A131" s="90" t="s">
        <v>392</v>
      </c>
      <c r="B131" s="90" t="s">
        <v>233</v>
      </c>
      <c r="C131" s="98" t="s">
        <v>393</v>
      </c>
      <c r="D131" s="92" t="s">
        <v>394</v>
      </c>
      <c r="E131" s="90" t="s">
        <v>16</v>
      </c>
      <c r="F131" s="100">
        <v>1</v>
      </c>
      <c r="G131" s="94">
        <v>519.29</v>
      </c>
      <c r="H131" s="94">
        <v>188.44</v>
      </c>
      <c r="I131" s="95">
        <v>707.73</v>
      </c>
      <c r="J131" s="95">
        <v>519.29</v>
      </c>
      <c r="K131" s="95">
        <v>188.44000000000005</v>
      </c>
      <c r="L131" s="95">
        <v>707.73</v>
      </c>
      <c r="M131" s="96">
        <v>0.27529999999999999</v>
      </c>
      <c r="N131" s="95">
        <v>662.25</v>
      </c>
      <c r="O131" s="95">
        <v>240.32</v>
      </c>
      <c r="P131" s="95">
        <v>902.56999999999994</v>
      </c>
      <c r="Q131" s="95">
        <v>662.25</v>
      </c>
      <c r="R131" s="95">
        <v>240.32</v>
      </c>
      <c r="S131" s="95">
        <v>902.56999999999994</v>
      </c>
    </row>
    <row r="132" spans="1:19" ht="15" x14ac:dyDescent="0.25">
      <c r="A132" s="90" t="s">
        <v>395</v>
      </c>
      <c r="B132" s="90" t="s">
        <v>233</v>
      </c>
      <c r="C132" s="98" t="s">
        <v>396</v>
      </c>
      <c r="D132" s="92" t="s">
        <v>397</v>
      </c>
      <c r="E132" s="90" t="s">
        <v>93</v>
      </c>
      <c r="F132" s="100">
        <v>4</v>
      </c>
      <c r="G132" s="94">
        <v>663.87</v>
      </c>
      <c r="H132" s="94">
        <v>267.37</v>
      </c>
      <c r="I132" s="95">
        <v>931.24</v>
      </c>
      <c r="J132" s="95">
        <v>2655.48</v>
      </c>
      <c r="K132" s="95">
        <v>1069.48</v>
      </c>
      <c r="L132" s="95">
        <v>3724.96</v>
      </c>
      <c r="M132" s="96">
        <v>0.27529999999999999</v>
      </c>
      <c r="N132" s="95">
        <v>846.63</v>
      </c>
      <c r="O132" s="95">
        <v>340.98</v>
      </c>
      <c r="P132" s="95">
        <v>1187.6100000000001</v>
      </c>
      <c r="Q132" s="95">
        <v>3386.52</v>
      </c>
      <c r="R132" s="95">
        <v>1363.92</v>
      </c>
      <c r="S132" s="95">
        <v>4750.4400000000005</v>
      </c>
    </row>
    <row r="133" spans="1:19" ht="15" x14ac:dyDescent="0.25">
      <c r="A133" s="90" t="s">
        <v>398</v>
      </c>
      <c r="B133" s="90" t="s">
        <v>233</v>
      </c>
      <c r="C133" s="98" t="s">
        <v>399</v>
      </c>
      <c r="D133" s="92" t="s">
        <v>400</v>
      </c>
      <c r="E133" s="90" t="s">
        <v>93</v>
      </c>
      <c r="F133" s="100">
        <v>3</v>
      </c>
      <c r="G133" s="94">
        <v>468.01</v>
      </c>
      <c r="H133" s="94">
        <v>185.25</v>
      </c>
      <c r="I133" s="95">
        <v>653.26</v>
      </c>
      <c r="J133" s="95">
        <v>1404.03</v>
      </c>
      <c r="K133" s="95">
        <v>555.75</v>
      </c>
      <c r="L133" s="95">
        <v>1959.78</v>
      </c>
      <c r="M133" s="96">
        <v>0.27529999999999999</v>
      </c>
      <c r="N133" s="95">
        <v>596.85</v>
      </c>
      <c r="O133" s="95">
        <v>236.25</v>
      </c>
      <c r="P133" s="95">
        <v>833.1</v>
      </c>
      <c r="Q133" s="95">
        <v>1790.55</v>
      </c>
      <c r="R133" s="95">
        <v>708.75</v>
      </c>
      <c r="S133" s="95">
        <v>2499.3000000000002</v>
      </c>
    </row>
    <row r="134" spans="1:19" ht="15" x14ac:dyDescent="0.25">
      <c r="A134" s="90" t="s">
        <v>401</v>
      </c>
      <c r="B134" s="90" t="s">
        <v>31</v>
      </c>
      <c r="C134" s="98" t="s">
        <v>402</v>
      </c>
      <c r="D134" s="92" t="s">
        <v>403</v>
      </c>
      <c r="E134" s="90" t="s">
        <v>34</v>
      </c>
      <c r="F134" s="100">
        <v>873.24</v>
      </c>
      <c r="G134" s="94">
        <v>59.86</v>
      </c>
      <c r="H134" s="94">
        <v>13.03</v>
      </c>
      <c r="I134" s="95">
        <v>72.89</v>
      </c>
      <c r="J134" s="95">
        <v>52272.14</v>
      </c>
      <c r="K134" s="95">
        <v>11378.32</v>
      </c>
      <c r="L134" s="95">
        <v>63650.46</v>
      </c>
      <c r="M134" s="96">
        <v>0.27529999999999999</v>
      </c>
      <c r="N134" s="95">
        <v>76.34</v>
      </c>
      <c r="O134" s="95">
        <v>16.62</v>
      </c>
      <c r="P134" s="95">
        <v>92.960000000000008</v>
      </c>
      <c r="Q134" s="95">
        <v>66663.14</v>
      </c>
      <c r="R134" s="95">
        <v>14513.25</v>
      </c>
      <c r="S134" s="95">
        <v>81176.39</v>
      </c>
    </row>
    <row r="135" spans="1:19" ht="25.5" x14ac:dyDescent="0.25">
      <c r="A135" s="90" t="s">
        <v>404</v>
      </c>
      <c r="B135" s="90" t="s">
        <v>86</v>
      </c>
      <c r="C135" s="98" t="s">
        <v>405</v>
      </c>
      <c r="D135" s="92" t="s">
        <v>406</v>
      </c>
      <c r="E135" s="90" t="s">
        <v>34</v>
      </c>
      <c r="F135" s="100">
        <v>4000</v>
      </c>
      <c r="G135" s="94">
        <v>20.53</v>
      </c>
      <c r="H135" s="94">
        <v>8.6300000000000008</v>
      </c>
      <c r="I135" s="95">
        <v>29.160000000000004</v>
      </c>
      <c r="J135" s="95">
        <v>82120</v>
      </c>
      <c r="K135" s="95">
        <v>34520</v>
      </c>
      <c r="L135" s="95">
        <v>116640</v>
      </c>
      <c r="M135" s="96">
        <v>0.27529999999999999</v>
      </c>
      <c r="N135" s="95">
        <v>26.18</v>
      </c>
      <c r="O135" s="95">
        <v>11.01</v>
      </c>
      <c r="P135" s="95">
        <v>37.19</v>
      </c>
      <c r="Q135" s="95">
        <v>104720</v>
      </c>
      <c r="R135" s="95">
        <v>44040</v>
      </c>
      <c r="S135" s="95">
        <v>148760</v>
      </c>
    </row>
    <row r="136" spans="1:19" ht="15" x14ac:dyDescent="0.25">
      <c r="A136" s="90" t="s">
        <v>407</v>
      </c>
      <c r="B136" s="90" t="s">
        <v>233</v>
      </c>
      <c r="C136" s="98" t="s">
        <v>273</v>
      </c>
      <c r="D136" s="92" t="s">
        <v>274</v>
      </c>
      <c r="E136" s="90" t="s">
        <v>268</v>
      </c>
      <c r="F136" s="100">
        <v>35200</v>
      </c>
      <c r="G136" s="94">
        <v>0.72</v>
      </c>
      <c r="H136" s="94">
        <v>0</v>
      </c>
      <c r="I136" s="95">
        <v>0.72</v>
      </c>
      <c r="J136" s="95">
        <v>25344</v>
      </c>
      <c r="K136" s="95">
        <v>0</v>
      </c>
      <c r="L136" s="95">
        <v>25344</v>
      </c>
      <c r="M136" s="96">
        <v>0.27529999999999999</v>
      </c>
      <c r="N136" s="95">
        <v>0.92</v>
      </c>
      <c r="O136" s="95">
        <v>0</v>
      </c>
      <c r="P136" s="95">
        <v>0.92</v>
      </c>
      <c r="Q136" s="95">
        <v>32384</v>
      </c>
      <c r="R136" s="95">
        <v>0</v>
      </c>
      <c r="S136" s="95">
        <v>32384</v>
      </c>
    </row>
    <row r="137" spans="1:19" ht="15" x14ac:dyDescent="0.25">
      <c r="A137" s="90" t="s">
        <v>408</v>
      </c>
      <c r="B137" s="90" t="s">
        <v>233</v>
      </c>
      <c r="C137" s="98" t="s">
        <v>270</v>
      </c>
      <c r="D137" s="92" t="s">
        <v>271</v>
      </c>
      <c r="E137" s="90" t="s">
        <v>268</v>
      </c>
      <c r="F137" s="100">
        <v>12800</v>
      </c>
      <c r="G137" s="94">
        <v>0.88</v>
      </c>
      <c r="H137" s="94">
        <v>0</v>
      </c>
      <c r="I137" s="95">
        <v>0.88</v>
      </c>
      <c r="J137" s="95">
        <v>11264</v>
      </c>
      <c r="K137" s="95">
        <v>0</v>
      </c>
      <c r="L137" s="95">
        <v>11264</v>
      </c>
      <c r="M137" s="96">
        <v>0.27529999999999999</v>
      </c>
      <c r="N137" s="95">
        <v>1.1200000000000001</v>
      </c>
      <c r="O137" s="95">
        <v>0</v>
      </c>
      <c r="P137" s="95">
        <v>1.1200000000000001</v>
      </c>
      <c r="Q137" s="95">
        <v>14336</v>
      </c>
      <c r="R137" s="95">
        <v>0</v>
      </c>
      <c r="S137" s="95">
        <v>14336</v>
      </c>
    </row>
    <row r="138" spans="1:19" ht="15" x14ac:dyDescent="0.25">
      <c r="A138" s="90" t="s">
        <v>409</v>
      </c>
      <c r="B138" s="90" t="s">
        <v>173</v>
      </c>
      <c r="C138" s="98" t="s">
        <v>227</v>
      </c>
      <c r="D138" s="92" t="s">
        <v>410</v>
      </c>
      <c r="E138" s="90" t="s">
        <v>78</v>
      </c>
      <c r="F138" s="100">
        <v>2000</v>
      </c>
      <c r="G138" s="94">
        <v>3.56</v>
      </c>
      <c r="H138" s="94">
        <v>0.15</v>
      </c>
      <c r="I138" s="95">
        <v>3.71</v>
      </c>
      <c r="J138" s="95">
        <v>7120</v>
      </c>
      <c r="K138" s="95">
        <v>300</v>
      </c>
      <c r="L138" s="95">
        <v>7420</v>
      </c>
      <c r="M138" s="96">
        <v>0.27529999999999999</v>
      </c>
      <c r="N138" s="95">
        <v>4.54</v>
      </c>
      <c r="O138" s="95">
        <v>0.19</v>
      </c>
      <c r="P138" s="95">
        <v>4.7300000000000004</v>
      </c>
      <c r="Q138" s="95">
        <v>9080</v>
      </c>
      <c r="R138" s="95">
        <v>380</v>
      </c>
      <c r="S138" s="95">
        <v>9460</v>
      </c>
    </row>
    <row r="139" spans="1:19" s="89" customFormat="1" x14ac:dyDescent="0.25">
      <c r="A139" s="82" t="s">
        <v>411</v>
      </c>
      <c r="B139" s="82"/>
      <c r="C139" s="83" t="s">
        <v>412</v>
      </c>
      <c r="D139" s="84"/>
      <c r="E139" s="85"/>
      <c r="F139" s="86"/>
      <c r="G139" s="87"/>
      <c r="H139" s="87"/>
      <c r="I139" s="88"/>
      <c r="J139" s="87">
        <v>20845876.160000008</v>
      </c>
      <c r="K139" s="87">
        <v>4272138.040000001</v>
      </c>
      <c r="L139" s="87">
        <v>25118014.20000001</v>
      </c>
      <c r="M139" s="87"/>
      <c r="N139" s="87"/>
      <c r="O139" s="87"/>
      <c r="P139" s="87"/>
      <c r="Q139" s="87">
        <v>26584727.009999994</v>
      </c>
      <c r="R139" s="87">
        <v>5448030.8100000024</v>
      </c>
      <c r="S139" s="87">
        <v>32032757.820000004</v>
      </c>
    </row>
    <row r="140" spans="1:19" ht="15" x14ac:dyDescent="0.25">
      <c r="A140" s="90" t="s">
        <v>413</v>
      </c>
      <c r="B140" s="90"/>
      <c r="C140" s="91" t="s">
        <v>414</v>
      </c>
      <c r="D140" s="92"/>
      <c r="E140" s="90"/>
      <c r="F140" s="99"/>
      <c r="G140" s="94"/>
      <c r="H140" s="94"/>
      <c r="I140" s="95"/>
      <c r="J140" s="95"/>
      <c r="K140" s="95"/>
      <c r="L140" s="95"/>
      <c r="M140" s="96"/>
      <c r="N140" s="95"/>
      <c r="O140" s="95"/>
      <c r="P140" s="95"/>
      <c r="Q140" s="95"/>
      <c r="R140" s="95"/>
      <c r="S140" s="95"/>
    </row>
    <row r="141" spans="1:19" ht="15" x14ac:dyDescent="0.25">
      <c r="A141" s="90" t="s">
        <v>415</v>
      </c>
      <c r="B141" s="90" t="s">
        <v>31</v>
      </c>
      <c r="C141" s="98" t="s">
        <v>416</v>
      </c>
      <c r="D141" s="92" t="s">
        <v>417</v>
      </c>
      <c r="E141" s="90" t="s">
        <v>78</v>
      </c>
      <c r="F141" s="99">
        <v>2152.23</v>
      </c>
      <c r="G141" s="94">
        <v>29.99</v>
      </c>
      <c r="H141" s="94">
        <v>13.24</v>
      </c>
      <c r="I141" s="95">
        <v>43.23</v>
      </c>
      <c r="J141" s="95">
        <v>64545.37</v>
      </c>
      <c r="K141" s="95">
        <v>28495.529999999992</v>
      </c>
      <c r="L141" s="95">
        <v>93040.9</v>
      </c>
      <c r="M141" s="96">
        <v>0.27529999999999999</v>
      </c>
      <c r="N141" s="95">
        <v>38.25</v>
      </c>
      <c r="O141" s="95">
        <v>16.88</v>
      </c>
      <c r="P141" s="95">
        <v>55.129999999999995</v>
      </c>
      <c r="Q141" s="95">
        <v>82322.8</v>
      </c>
      <c r="R141" s="95">
        <v>36329.64</v>
      </c>
      <c r="S141" s="95">
        <v>118652.44</v>
      </c>
    </row>
    <row r="142" spans="1:19" ht="15" x14ac:dyDescent="0.25">
      <c r="A142" s="90" t="s">
        <v>418</v>
      </c>
      <c r="B142" s="90" t="s">
        <v>31</v>
      </c>
      <c r="C142" s="98" t="s">
        <v>376</v>
      </c>
      <c r="D142" s="92" t="s">
        <v>419</v>
      </c>
      <c r="E142" s="90" t="s">
        <v>78</v>
      </c>
      <c r="F142" s="99">
        <v>250</v>
      </c>
      <c r="G142" s="94">
        <v>122.11</v>
      </c>
      <c r="H142" s="94">
        <v>73.62</v>
      </c>
      <c r="I142" s="95">
        <v>195.73000000000002</v>
      </c>
      <c r="J142" s="95">
        <v>30527.5</v>
      </c>
      <c r="K142" s="95">
        <v>18405</v>
      </c>
      <c r="L142" s="95">
        <v>48932.5</v>
      </c>
      <c r="M142" s="96">
        <v>0.27529999999999999</v>
      </c>
      <c r="N142" s="95">
        <v>155.72999999999999</v>
      </c>
      <c r="O142" s="95">
        <v>93.89</v>
      </c>
      <c r="P142" s="95">
        <v>249.62</v>
      </c>
      <c r="Q142" s="95">
        <v>38932.5</v>
      </c>
      <c r="R142" s="95">
        <v>23472.5</v>
      </c>
      <c r="S142" s="95">
        <v>62405</v>
      </c>
    </row>
    <row r="143" spans="1:19" ht="15" x14ac:dyDescent="0.25">
      <c r="A143" s="90" t="s">
        <v>420</v>
      </c>
      <c r="B143" s="90" t="s">
        <v>31</v>
      </c>
      <c r="C143" s="98" t="s">
        <v>379</v>
      </c>
      <c r="D143" s="92" t="s">
        <v>421</v>
      </c>
      <c r="E143" s="90" t="s">
        <v>78</v>
      </c>
      <c r="F143" s="99">
        <v>1821.17</v>
      </c>
      <c r="G143" s="94">
        <v>11.23</v>
      </c>
      <c r="H143" s="94">
        <v>17.809999999999999</v>
      </c>
      <c r="I143" s="95">
        <v>29.04</v>
      </c>
      <c r="J143" s="95">
        <v>20451.73</v>
      </c>
      <c r="K143" s="95">
        <v>32435.05</v>
      </c>
      <c r="L143" s="95">
        <v>52886.78</v>
      </c>
      <c r="M143" s="96">
        <v>0.27529999999999999</v>
      </c>
      <c r="N143" s="95">
        <v>14.32</v>
      </c>
      <c r="O143" s="95">
        <v>22.71</v>
      </c>
      <c r="P143" s="95">
        <v>37.03</v>
      </c>
      <c r="Q143" s="95">
        <v>26079.15</v>
      </c>
      <c r="R143" s="95">
        <v>41358.769999999997</v>
      </c>
      <c r="S143" s="95">
        <v>67437.919999999998</v>
      </c>
    </row>
    <row r="144" spans="1:19" ht="25.5" x14ac:dyDescent="0.25">
      <c r="A144" s="90" t="s">
        <v>422</v>
      </c>
      <c r="B144" s="90" t="s">
        <v>31</v>
      </c>
      <c r="C144" s="98" t="s">
        <v>370</v>
      </c>
      <c r="D144" s="92" t="s">
        <v>423</v>
      </c>
      <c r="E144" s="90" t="s">
        <v>78</v>
      </c>
      <c r="F144" s="99">
        <v>1267.5</v>
      </c>
      <c r="G144" s="94">
        <v>4.8499999999999996</v>
      </c>
      <c r="H144" s="94">
        <v>1.47</v>
      </c>
      <c r="I144" s="95">
        <v>6.3199999999999994</v>
      </c>
      <c r="J144" s="95">
        <v>6147.37</v>
      </c>
      <c r="K144" s="95">
        <v>1863.2300000000005</v>
      </c>
      <c r="L144" s="95">
        <v>8010.6</v>
      </c>
      <c r="M144" s="96">
        <v>0.27529999999999999</v>
      </c>
      <c r="N144" s="95">
        <v>6.19</v>
      </c>
      <c r="O144" s="95">
        <v>1.87</v>
      </c>
      <c r="P144" s="95">
        <v>8.06</v>
      </c>
      <c r="Q144" s="95">
        <v>7845.83</v>
      </c>
      <c r="R144" s="95">
        <v>2370.23</v>
      </c>
      <c r="S144" s="95">
        <v>10216.06</v>
      </c>
    </row>
    <row r="145" spans="1:19" ht="15" x14ac:dyDescent="0.25">
      <c r="A145" s="90" t="s">
        <v>424</v>
      </c>
      <c r="B145" s="90" t="s">
        <v>233</v>
      </c>
      <c r="C145" s="98" t="s">
        <v>273</v>
      </c>
      <c r="D145" s="92" t="s">
        <v>274</v>
      </c>
      <c r="E145" s="90" t="s">
        <v>268</v>
      </c>
      <c r="F145" s="99">
        <v>35720</v>
      </c>
      <c r="G145" s="94">
        <v>0.72</v>
      </c>
      <c r="H145" s="94">
        <v>0</v>
      </c>
      <c r="I145" s="95">
        <v>0.72</v>
      </c>
      <c r="J145" s="95">
        <v>25718.400000000001</v>
      </c>
      <c r="K145" s="95">
        <v>0</v>
      </c>
      <c r="L145" s="95">
        <v>25718.400000000001</v>
      </c>
      <c r="M145" s="96">
        <v>0.27529999999999999</v>
      </c>
      <c r="N145" s="95">
        <v>0.92</v>
      </c>
      <c r="O145" s="95">
        <v>0</v>
      </c>
      <c r="P145" s="95">
        <v>0.92</v>
      </c>
      <c r="Q145" s="95">
        <v>32862.400000000001</v>
      </c>
      <c r="R145" s="95">
        <v>0</v>
      </c>
      <c r="S145" s="95">
        <v>32862.400000000001</v>
      </c>
    </row>
    <row r="146" spans="1:19" ht="15" x14ac:dyDescent="0.25">
      <c r="A146" s="90" t="s">
        <v>425</v>
      </c>
      <c r="B146" s="90" t="s">
        <v>233</v>
      </c>
      <c r="C146" s="98" t="s">
        <v>270</v>
      </c>
      <c r="D146" s="92" t="s">
        <v>271</v>
      </c>
      <c r="E146" s="90" t="s">
        <v>268</v>
      </c>
      <c r="F146" s="99">
        <v>12989</v>
      </c>
      <c r="G146" s="94">
        <v>0.88</v>
      </c>
      <c r="H146" s="94">
        <v>0</v>
      </c>
      <c r="I146" s="95">
        <v>0.88</v>
      </c>
      <c r="J146" s="95">
        <v>11430.32</v>
      </c>
      <c r="K146" s="95">
        <v>0</v>
      </c>
      <c r="L146" s="95">
        <v>11430.32</v>
      </c>
      <c r="M146" s="96">
        <v>0.27529999999999999</v>
      </c>
      <c r="N146" s="95">
        <v>1.1200000000000001</v>
      </c>
      <c r="O146" s="95">
        <v>0</v>
      </c>
      <c r="P146" s="95">
        <v>1.1200000000000001</v>
      </c>
      <c r="Q146" s="95">
        <v>14547.68</v>
      </c>
      <c r="R146" s="95">
        <v>0</v>
      </c>
      <c r="S146" s="95">
        <v>14547.68</v>
      </c>
    </row>
    <row r="147" spans="1:19" ht="15" x14ac:dyDescent="0.25">
      <c r="A147" s="90" t="s">
        <v>426</v>
      </c>
      <c r="B147" s="90" t="s">
        <v>173</v>
      </c>
      <c r="C147" s="98" t="s">
        <v>227</v>
      </c>
      <c r="D147" s="92" t="s">
        <v>410</v>
      </c>
      <c r="E147" s="90" t="s">
        <v>78</v>
      </c>
      <c r="F147" s="99">
        <v>2029</v>
      </c>
      <c r="G147" s="94">
        <v>3.56</v>
      </c>
      <c r="H147" s="94">
        <v>0.15</v>
      </c>
      <c r="I147" s="95">
        <v>3.71</v>
      </c>
      <c r="J147" s="95">
        <v>7223.24</v>
      </c>
      <c r="K147" s="95">
        <v>304.35000000000036</v>
      </c>
      <c r="L147" s="95">
        <v>7527.59</v>
      </c>
      <c r="M147" s="96">
        <v>0.27529999999999999</v>
      </c>
      <c r="N147" s="95">
        <v>4.54</v>
      </c>
      <c r="O147" s="95">
        <v>0.19</v>
      </c>
      <c r="P147" s="95">
        <v>4.7300000000000004</v>
      </c>
      <c r="Q147" s="95">
        <v>9211.66</v>
      </c>
      <c r="R147" s="95">
        <v>385.51</v>
      </c>
      <c r="S147" s="95">
        <v>9597.17</v>
      </c>
    </row>
    <row r="148" spans="1:19" ht="15" x14ac:dyDescent="0.25">
      <c r="A148" s="90" t="s">
        <v>427</v>
      </c>
      <c r="B148" s="90"/>
      <c r="C148" s="98" t="s">
        <v>428</v>
      </c>
      <c r="D148" s="92"/>
      <c r="E148" s="90"/>
      <c r="F148" s="99"/>
      <c r="G148" s="94"/>
      <c r="H148" s="94"/>
      <c r="I148" s="95"/>
      <c r="J148" s="95"/>
      <c r="K148" s="95"/>
      <c r="L148" s="95"/>
      <c r="M148" s="96">
        <v>0</v>
      </c>
      <c r="N148" s="95"/>
      <c r="O148" s="95"/>
      <c r="P148" s="95"/>
      <c r="Q148" s="95">
        <v>0</v>
      </c>
      <c r="R148" s="95">
        <v>0</v>
      </c>
      <c r="S148" s="95">
        <v>0</v>
      </c>
    </row>
    <row r="149" spans="1:19" ht="15" x14ac:dyDescent="0.25">
      <c r="A149" s="90" t="s">
        <v>429</v>
      </c>
      <c r="B149" s="90" t="s">
        <v>31</v>
      </c>
      <c r="C149" s="98" t="s">
        <v>430</v>
      </c>
      <c r="D149" s="92" t="s">
        <v>431</v>
      </c>
      <c r="E149" s="90" t="s">
        <v>78</v>
      </c>
      <c r="F149" s="99">
        <v>135.05000000000001</v>
      </c>
      <c r="G149" s="94">
        <v>567.99</v>
      </c>
      <c r="H149" s="94">
        <v>274.23</v>
      </c>
      <c r="I149" s="95">
        <v>842.22</v>
      </c>
      <c r="J149" s="95">
        <v>76707.039999999994</v>
      </c>
      <c r="K149" s="95">
        <v>37034.770000000004</v>
      </c>
      <c r="L149" s="95">
        <v>113741.81</v>
      </c>
      <c r="M149" s="96">
        <v>0.27529999999999999</v>
      </c>
      <c r="N149" s="95">
        <v>724.36</v>
      </c>
      <c r="O149" s="95">
        <v>349.73</v>
      </c>
      <c r="P149" s="95">
        <v>1074.0900000000001</v>
      </c>
      <c r="Q149" s="95">
        <v>97824.82</v>
      </c>
      <c r="R149" s="95">
        <v>47231.040000000001</v>
      </c>
      <c r="S149" s="95">
        <v>145055.86000000002</v>
      </c>
    </row>
    <row r="150" spans="1:19" ht="15" x14ac:dyDescent="0.25">
      <c r="A150" s="90" t="s">
        <v>432</v>
      </c>
      <c r="B150" s="90" t="s">
        <v>31</v>
      </c>
      <c r="C150" s="98" t="s">
        <v>433</v>
      </c>
      <c r="D150" s="92" t="s">
        <v>434</v>
      </c>
      <c r="E150" s="90" t="s">
        <v>34</v>
      </c>
      <c r="F150" s="99">
        <v>7057.5</v>
      </c>
      <c r="G150" s="94">
        <v>31.02</v>
      </c>
      <c r="H150" s="94">
        <v>11.07</v>
      </c>
      <c r="I150" s="95">
        <v>42.09</v>
      </c>
      <c r="J150" s="95">
        <v>218923.65</v>
      </c>
      <c r="K150" s="95">
        <v>78126.53</v>
      </c>
      <c r="L150" s="95">
        <v>297050.18</v>
      </c>
      <c r="M150" s="96">
        <v>0.27529999999999999</v>
      </c>
      <c r="N150" s="95">
        <v>39.56</v>
      </c>
      <c r="O150" s="95">
        <v>14.12</v>
      </c>
      <c r="P150" s="95">
        <v>53.68</v>
      </c>
      <c r="Q150" s="95">
        <v>279194.7</v>
      </c>
      <c r="R150" s="95">
        <v>99651.9</v>
      </c>
      <c r="S150" s="95">
        <v>378846.6</v>
      </c>
    </row>
    <row r="151" spans="1:19" ht="15" x14ac:dyDescent="0.25">
      <c r="A151" s="90" t="s">
        <v>435</v>
      </c>
      <c r="B151" s="90" t="s">
        <v>31</v>
      </c>
      <c r="C151" s="98" t="s">
        <v>436</v>
      </c>
      <c r="D151" s="92" t="s">
        <v>437</v>
      </c>
      <c r="E151" s="90" t="s">
        <v>385</v>
      </c>
      <c r="F151" s="99">
        <v>2093</v>
      </c>
      <c r="G151" s="94">
        <v>10.43</v>
      </c>
      <c r="H151" s="94">
        <v>3.15</v>
      </c>
      <c r="I151" s="95">
        <v>13.58</v>
      </c>
      <c r="J151" s="95">
        <v>21829.99</v>
      </c>
      <c r="K151" s="95">
        <v>6592.9499999999971</v>
      </c>
      <c r="L151" s="95">
        <v>28422.94</v>
      </c>
      <c r="M151" s="96">
        <v>0.27529999999999999</v>
      </c>
      <c r="N151" s="95">
        <v>13.3</v>
      </c>
      <c r="O151" s="95">
        <v>4.0199999999999996</v>
      </c>
      <c r="P151" s="95">
        <v>17.32</v>
      </c>
      <c r="Q151" s="95">
        <v>27836.9</v>
      </c>
      <c r="R151" s="95">
        <v>8413.86</v>
      </c>
      <c r="S151" s="95">
        <v>36250.76</v>
      </c>
    </row>
    <row r="152" spans="1:19" ht="15" x14ac:dyDescent="0.25">
      <c r="A152" s="90" t="s">
        <v>438</v>
      </c>
      <c r="B152" s="90" t="s">
        <v>31</v>
      </c>
      <c r="C152" s="98" t="s">
        <v>439</v>
      </c>
      <c r="D152" s="92" t="s">
        <v>440</v>
      </c>
      <c r="E152" s="90" t="s">
        <v>385</v>
      </c>
      <c r="F152" s="99">
        <v>3676</v>
      </c>
      <c r="G152" s="94">
        <v>9.6999999999999993</v>
      </c>
      <c r="H152" s="94">
        <v>2.4700000000000002</v>
      </c>
      <c r="I152" s="95">
        <v>12.17</v>
      </c>
      <c r="J152" s="95">
        <v>35657.199999999997</v>
      </c>
      <c r="K152" s="95">
        <v>9079.7200000000012</v>
      </c>
      <c r="L152" s="95">
        <v>44736.92</v>
      </c>
      <c r="M152" s="96">
        <v>0.27529999999999999</v>
      </c>
      <c r="N152" s="95">
        <v>12.37</v>
      </c>
      <c r="O152" s="95">
        <v>3.15</v>
      </c>
      <c r="P152" s="95">
        <v>15.52</v>
      </c>
      <c r="Q152" s="95">
        <v>45472.12</v>
      </c>
      <c r="R152" s="95">
        <v>11579.4</v>
      </c>
      <c r="S152" s="95">
        <v>57051.520000000004</v>
      </c>
    </row>
    <row r="153" spans="1:19" ht="15" x14ac:dyDescent="0.25">
      <c r="A153" s="90" t="s">
        <v>441</v>
      </c>
      <c r="B153" s="90" t="s">
        <v>31</v>
      </c>
      <c r="C153" s="98" t="s">
        <v>442</v>
      </c>
      <c r="D153" s="92" t="s">
        <v>443</v>
      </c>
      <c r="E153" s="90" t="s">
        <v>385</v>
      </c>
      <c r="F153" s="99">
        <v>23604</v>
      </c>
      <c r="G153" s="94">
        <v>8.17</v>
      </c>
      <c r="H153" s="94">
        <v>1.82</v>
      </c>
      <c r="I153" s="95">
        <v>9.99</v>
      </c>
      <c r="J153" s="95">
        <v>192844.68</v>
      </c>
      <c r="K153" s="95">
        <v>42959.28</v>
      </c>
      <c r="L153" s="95">
        <v>235803.96</v>
      </c>
      <c r="M153" s="96">
        <v>0.27529999999999999</v>
      </c>
      <c r="N153" s="95">
        <v>10.42</v>
      </c>
      <c r="O153" s="95">
        <v>2.3199999999999998</v>
      </c>
      <c r="P153" s="95">
        <v>12.74</v>
      </c>
      <c r="Q153" s="95">
        <v>245953.68</v>
      </c>
      <c r="R153" s="95">
        <v>54761.279999999999</v>
      </c>
      <c r="S153" s="95">
        <v>300714.95999999996</v>
      </c>
    </row>
    <row r="154" spans="1:19" ht="15" x14ac:dyDescent="0.25">
      <c r="A154" s="90" t="s">
        <v>444</v>
      </c>
      <c r="B154" s="90" t="s">
        <v>31</v>
      </c>
      <c r="C154" s="98" t="s">
        <v>445</v>
      </c>
      <c r="D154" s="92" t="s">
        <v>446</v>
      </c>
      <c r="E154" s="90" t="s">
        <v>385</v>
      </c>
      <c r="F154" s="99">
        <v>23894</v>
      </c>
      <c r="G154" s="94">
        <v>7.72</v>
      </c>
      <c r="H154" s="94">
        <v>1.23</v>
      </c>
      <c r="I154" s="95">
        <v>8.9499999999999993</v>
      </c>
      <c r="J154" s="95">
        <v>184461.68</v>
      </c>
      <c r="K154" s="95">
        <v>29389.619999999995</v>
      </c>
      <c r="L154" s="95">
        <v>213851.3</v>
      </c>
      <c r="M154" s="96">
        <v>0.27529999999999999</v>
      </c>
      <c r="N154" s="95">
        <v>9.85</v>
      </c>
      <c r="O154" s="95">
        <v>1.57</v>
      </c>
      <c r="P154" s="95">
        <v>11.42</v>
      </c>
      <c r="Q154" s="95">
        <v>235355.9</v>
      </c>
      <c r="R154" s="95">
        <v>37513.58</v>
      </c>
      <c r="S154" s="95">
        <v>272869.48</v>
      </c>
    </row>
    <row r="155" spans="1:19" ht="15" x14ac:dyDescent="0.25">
      <c r="A155" s="90" t="s">
        <v>447</v>
      </c>
      <c r="B155" s="90" t="s">
        <v>31</v>
      </c>
      <c r="C155" s="98" t="s">
        <v>448</v>
      </c>
      <c r="D155" s="92" t="s">
        <v>449</v>
      </c>
      <c r="E155" s="90" t="s">
        <v>385</v>
      </c>
      <c r="F155" s="99">
        <v>2067</v>
      </c>
      <c r="G155" s="94">
        <v>9.27</v>
      </c>
      <c r="H155" s="94">
        <v>1.1200000000000001</v>
      </c>
      <c r="I155" s="95">
        <v>10.39</v>
      </c>
      <c r="J155" s="95">
        <v>19161.09</v>
      </c>
      <c r="K155" s="95">
        <v>2315.0400000000009</v>
      </c>
      <c r="L155" s="95">
        <v>21476.13</v>
      </c>
      <c r="M155" s="96">
        <v>0.27529999999999999</v>
      </c>
      <c r="N155" s="95">
        <v>11.82</v>
      </c>
      <c r="O155" s="95">
        <v>1.43</v>
      </c>
      <c r="P155" s="95">
        <v>13.25</v>
      </c>
      <c r="Q155" s="95">
        <v>24431.94</v>
      </c>
      <c r="R155" s="95">
        <v>2955.81</v>
      </c>
      <c r="S155" s="95">
        <v>27387.75</v>
      </c>
    </row>
    <row r="156" spans="1:19" ht="15" x14ac:dyDescent="0.25">
      <c r="A156" s="90" t="s">
        <v>450</v>
      </c>
      <c r="B156" s="90" t="s">
        <v>31</v>
      </c>
      <c r="C156" s="98" t="s">
        <v>451</v>
      </c>
      <c r="D156" s="92" t="s">
        <v>452</v>
      </c>
      <c r="E156" s="90" t="s">
        <v>34</v>
      </c>
      <c r="F156" s="99">
        <v>1978.76</v>
      </c>
      <c r="G156" s="94">
        <v>68.819999999999993</v>
      </c>
      <c r="H156" s="94">
        <v>80.64</v>
      </c>
      <c r="I156" s="95">
        <v>149.45999999999998</v>
      </c>
      <c r="J156" s="95">
        <v>136178.26</v>
      </c>
      <c r="K156" s="95">
        <v>159567.20999999996</v>
      </c>
      <c r="L156" s="95">
        <v>295745.46999999997</v>
      </c>
      <c r="M156" s="96">
        <v>0.27529999999999999</v>
      </c>
      <c r="N156" s="95">
        <v>87.77</v>
      </c>
      <c r="O156" s="95">
        <v>102.84</v>
      </c>
      <c r="P156" s="95">
        <v>190.61</v>
      </c>
      <c r="Q156" s="95">
        <v>173675.77</v>
      </c>
      <c r="R156" s="95">
        <v>203495.67999999999</v>
      </c>
      <c r="S156" s="95">
        <v>377171.44999999995</v>
      </c>
    </row>
    <row r="157" spans="1:19" ht="15" x14ac:dyDescent="0.25">
      <c r="A157" s="90" t="s">
        <v>453</v>
      </c>
      <c r="B157" s="90" t="s">
        <v>31</v>
      </c>
      <c r="C157" s="98" t="s">
        <v>454</v>
      </c>
      <c r="D157" s="92" t="s">
        <v>455</v>
      </c>
      <c r="E157" s="90" t="s">
        <v>78</v>
      </c>
      <c r="F157" s="99">
        <v>130.21</v>
      </c>
      <c r="G157" s="94">
        <v>661.9</v>
      </c>
      <c r="H157" s="94">
        <v>19.920000000000002</v>
      </c>
      <c r="I157" s="95">
        <v>681.81999999999994</v>
      </c>
      <c r="J157" s="95">
        <v>86185.99</v>
      </c>
      <c r="K157" s="95">
        <v>2593.7899999999936</v>
      </c>
      <c r="L157" s="95">
        <v>88779.78</v>
      </c>
      <c r="M157" s="96">
        <v>0.27529999999999999</v>
      </c>
      <c r="N157" s="95">
        <v>844.12</v>
      </c>
      <c r="O157" s="95">
        <v>25.4</v>
      </c>
      <c r="P157" s="95">
        <v>869.52</v>
      </c>
      <c r="Q157" s="95">
        <v>109912.87</v>
      </c>
      <c r="R157" s="95">
        <v>3307.33</v>
      </c>
      <c r="S157" s="95">
        <v>113220.2</v>
      </c>
    </row>
    <row r="158" spans="1:19" ht="15" x14ac:dyDescent="0.25">
      <c r="A158" s="90" t="s">
        <v>456</v>
      </c>
      <c r="B158" s="90" t="s">
        <v>31</v>
      </c>
      <c r="C158" s="98" t="s">
        <v>454</v>
      </c>
      <c r="D158" s="92" t="s">
        <v>457</v>
      </c>
      <c r="E158" s="90" t="s">
        <v>78</v>
      </c>
      <c r="F158" s="99">
        <v>1475.48</v>
      </c>
      <c r="G158" s="94">
        <v>681.97</v>
      </c>
      <c r="H158" s="94">
        <v>19.920000000000002</v>
      </c>
      <c r="I158" s="95">
        <v>701.89</v>
      </c>
      <c r="J158" s="95">
        <v>1006233.09</v>
      </c>
      <c r="K158" s="95">
        <v>29391.570000000065</v>
      </c>
      <c r="L158" s="95">
        <v>1035624.66</v>
      </c>
      <c r="M158" s="96">
        <v>0.27529999999999999</v>
      </c>
      <c r="N158" s="95">
        <v>869.72</v>
      </c>
      <c r="O158" s="95">
        <v>25.4</v>
      </c>
      <c r="P158" s="95">
        <v>895.12</v>
      </c>
      <c r="Q158" s="95">
        <v>1283254.47</v>
      </c>
      <c r="R158" s="95">
        <v>37477.19</v>
      </c>
      <c r="S158" s="95">
        <v>1320731.6599999999</v>
      </c>
    </row>
    <row r="159" spans="1:19" ht="15" x14ac:dyDescent="0.25">
      <c r="A159" s="90" t="s">
        <v>458</v>
      </c>
      <c r="B159" s="90"/>
      <c r="C159" s="91" t="s">
        <v>459</v>
      </c>
      <c r="D159" s="92"/>
      <c r="E159" s="90"/>
      <c r="F159" s="99"/>
      <c r="G159" s="94"/>
      <c r="H159" s="94"/>
      <c r="I159" s="95"/>
      <c r="J159" s="95"/>
      <c r="K159" s="95"/>
      <c r="L159" s="95"/>
      <c r="M159" s="96"/>
      <c r="N159" s="95"/>
      <c r="O159" s="95"/>
      <c r="P159" s="95"/>
      <c r="Q159" s="95">
        <v>0</v>
      </c>
      <c r="R159" s="95">
        <v>0</v>
      </c>
      <c r="S159" s="95">
        <v>0</v>
      </c>
    </row>
    <row r="160" spans="1:19" ht="15" x14ac:dyDescent="0.25">
      <c r="A160" s="90" t="s">
        <v>460</v>
      </c>
      <c r="B160" s="90" t="s">
        <v>31</v>
      </c>
      <c r="C160" s="98" t="s">
        <v>461</v>
      </c>
      <c r="D160" s="92" t="s">
        <v>462</v>
      </c>
      <c r="E160" s="90" t="s">
        <v>34</v>
      </c>
      <c r="F160" s="99">
        <v>3650.2</v>
      </c>
      <c r="G160" s="94">
        <v>28.67</v>
      </c>
      <c r="H160" s="94">
        <v>16.14</v>
      </c>
      <c r="I160" s="95">
        <v>44.81</v>
      </c>
      <c r="J160" s="95">
        <v>104651.23</v>
      </c>
      <c r="K160" s="95">
        <v>58914.229999999996</v>
      </c>
      <c r="L160" s="95">
        <v>163565.46</v>
      </c>
      <c r="M160" s="96">
        <v>0.27529999999999999</v>
      </c>
      <c r="N160" s="95">
        <v>36.56</v>
      </c>
      <c r="O160" s="95">
        <v>20.58</v>
      </c>
      <c r="P160" s="95">
        <v>57.14</v>
      </c>
      <c r="Q160" s="95">
        <v>133451.31</v>
      </c>
      <c r="R160" s="95">
        <v>75121.119999999995</v>
      </c>
      <c r="S160" s="95">
        <v>208572.43</v>
      </c>
    </row>
    <row r="161" spans="1:19" ht="15" x14ac:dyDescent="0.25">
      <c r="A161" s="90" t="s">
        <v>463</v>
      </c>
      <c r="B161" s="90" t="s">
        <v>31</v>
      </c>
      <c r="C161" s="98" t="s">
        <v>464</v>
      </c>
      <c r="D161" s="92" t="s">
        <v>465</v>
      </c>
      <c r="E161" s="90" t="s">
        <v>385</v>
      </c>
      <c r="F161" s="99">
        <v>1643</v>
      </c>
      <c r="G161" s="94">
        <v>10.75</v>
      </c>
      <c r="H161" s="94">
        <v>6.24</v>
      </c>
      <c r="I161" s="95">
        <v>16.990000000000002</v>
      </c>
      <c r="J161" s="95">
        <v>17662.25</v>
      </c>
      <c r="K161" s="95">
        <v>10252.32</v>
      </c>
      <c r="L161" s="95">
        <v>27914.57</v>
      </c>
      <c r="M161" s="96">
        <v>0.27529999999999999</v>
      </c>
      <c r="N161" s="95">
        <v>13.71</v>
      </c>
      <c r="O161" s="95">
        <v>7.96</v>
      </c>
      <c r="P161" s="95">
        <v>21.67</v>
      </c>
      <c r="Q161" s="95">
        <v>22525.53</v>
      </c>
      <c r="R161" s="95">
        <v>13078.28</v>
      </c>
      <c r="S161" s="95">
        <v>35603.81</v>
      </c>
    </row>
    <row r="162" spans="1:19" ht="15" x14ac:dyDescent="0.25">
      <c r="A162" s="90" t="s">
        <v>466</v>
      </c>
      <c r="B162" s="90" t="s">
        <v>31</v>
      </c>
      <c r="C162" s="98" t="s">
        <v>467</v>
      </c>
      <c r="D162" s="92" t="s">
        <v>468</v>
      </c>
      <c r="E162" s="90" t="s">
        <v>385</v>
      </c>
      <c r="F162" s="99">
        <v>8007</v>
      </c>
      <c r="G162" s="94">
        <v>10.97</v>
      </c>
      <c r="H162" s="94">
        <v>5.68</v>
      </c>
      <c r="I162" s="95">
        <v>16.649999999999999</v>
      </c>
      <c r="J162" s="95">
        <v>87836.79</v>
      </c>
      <c r="K162" s="95">
        <v>45479.759999999995</v>
      </c>
      <c r="L162" s="95">
        <v>133316.54999999999</v>
      </c>
      <c r="M162" s="96">
        <v>0.27529999999999999</v>
      </c>
      <c r="N162" s="95">
        <v>13.99</v>
      </c>
      <c r="O162" s="95">
        <v>7.24</v>
      </c>
      <c r="P162" s="95">
        <v>21.23</v>
      </c>
      <c r="Q162" s="95">
        <v>112017.93</v>
      </c>
      <c r="R162" s="95">
        <v>57970.68</v>
      </c>
      <c r="S162" s="95">
        <v>169988.61</v>
      </c>
    </row>
    <row r="163" spans="1:19" ht="15" x14ac:dyDescent="0.25">
      <c r="A163" s="90" t="s">
        <v>469</v>
      </c>
      <c r="B163" s="90" t="s">
        <v>31</v>
      </c>
      <c r="C163" s="98" t="s">
        <v>470</v>
      </c>
      <c r="D163" s="92" t="s">
        <v>471</v>
      </c>
      <c r="E163" s="90" t="s">
        <v>385</v>
      </c>
      <c r="F163" s="99">
        <v>8570</v>
      </c>
      <c r="G163" s="94">
        <v>10.6</v>
      </c>
      <c r="H163" s="94">
        <v>3.88</v>
      </c>
      <c r="I163" s="95">
        <v>14.48</v>
      </c>
      <c r="J163" s="95">
        <v>90842</v>
      </c>
      <c r="K163" s="95">
        <v>33251.600000000006</v>
      </c>
      <c r="L163" s="95">
        <v>124093.6</v>
      </c>
      <c r="M163" s="96">
        <v>0.27529999999999999</v>
      </c>
      <c r="N163" s="95">
        <v>13.52</v>
      </c>
      <c r="O163" s="95">
        <v>4.95</v>
      </c>
      <c r="P163" s="95">
        <v>18.47</v>
      </c>
      <c r="Q163" s="95">
        <v>115866.4</v>
      </c>
      <c r="R163" s="95">
        <v>42421.5</v>
      </c>
      <c r="S163" s="95">
        <v>158287.9</v>
      </c>
    </row>
    <row r="164" spans="1:19" ht="15" x14ac:dyDescent="0.25">
      <c r="A164" s="90" t="s">
        <v>472</v>
      </c>
      <c r="B164" s="90" t="s">
        <v>31</v>
      </c>
      <c r="C164" s="98" t="s">
        <v>473</v>
      </c>
      <c r="D164" s="92" t="s">
        <v>474</v>
      </c>
      <c r="E164" s="90" t="s">
        <v>385</v>
      </c>
      <c r="F164" s="99">
        <v>9595</v>
      </c>
      <c r="G164" s="94">
        <v>9.42</v>
      </c>
      <c r="H164" s="94">
        <v>2.2599999999999998</v>
      </c>
      <c r="I164" s="95">
        <v>11.68</v>
      </c>
      <c r="J164" s="95">
        <v>90384.9</v>
      </c>
      <c r="K164" s="95">
        <v>21684.700000000012</v>
      </c>
      <c r="L164" s="95">
        <v>112069.6</v>
      </c>
      <c r="M164" s="96">
        <v>0.27529999999999999</v>
      </c>
      <c r="N164" s="95">
        <v>12.01</v>
      </c>
      <c r="O164" s="95">
        <v>2.88</v>
      </c>
      <c r="P164" s="95">
        <v>14.89</v>
      </c>
      <c r="Q164" s="95">
        <v>115235.95</v>
      </c>
      <c r="R164" s="95">
        <v>27633.599999999999</v>
      </c>
      <c r="S164" s="95">
        <v>142869.54999999999</v>
      </c>
    </row>
    <row r="165" spans="1:19" ht="15" x14ac:dyDescent="0.25">
      <c r="A165" s="90" t="s">
        <v>475</v>
      </c>
      <c r="B165" s="90" t="s">
        <v>31</v>
      </c>
      <c r="C165" s="98" t="s">
        <v>476</v>
      </c>
      <c r="D165" s="92" t="s">
        <v>477</v>
      </c>
      <c r="E165" s="90" t="s">
        <v>385</v>
      </c>
      <c r="F165" s="99">
        <v>1282</v>
      </c>
      <c r="G165" s="94">
        <v>8.9</v>
      </c>
      <c r="H165" s="94">
        <v>0.6</v>
      </c>
      <c r="I165" s="95">
        <v>9.5</v>
      </c>
      <c r="J165" s="95">
        <v>11409.8</v>
      </c>
      <c r="K165" s="95">
        <v>769.20000000000073</v>
      </c>
      <c r="L165" s="95">
        <v>12179</v>
      </c>
      <c r="M165" s="96">
        <v>0.27529999999999999</v>
      </c>
      <c r="N165" s="95">
        <v>11.35</v>
      </c>
      <c r="O165" s="95">
        <v>0.77</v>
      </c>
      <c r="P165" s="95">
        <v>12.12</v>
      </c>
      <c r="Q165" s="95">
        <v>14550.7</v>
      </c>
      <c r="R165" s="95">
        <v>987.14</v>
      </c>
      <c r="S165" s="95">
        <v>15537.84</v>
      </c>
    </row>
    <row r="166" spans="1:19" ht="25.5" x14ac:dyDescent="0.25">
      <c r="A166" s="90" t="s">
        <v>478</v>
      </c>
      <c r="B166" s="90" t="s">
        <v>31</v>
      </c>
      <c r="C166" s="98" t="s">
        <v>479</v>
      </c>
      <c r="D166" s="92" t="s">
        <v>480</v>
      </c>
      <c r="E166" s="90" t="s">
        <v>78</v>
      </c>
      <c r="F166" s="99">
        <v>651.79999999999995</v>
      </c>
      <c r="G166" s="94">
        <v>660.66</v>
      </c>
      <c r="H166" s="94">
        <v>21.14</v>
      </c>
      <c r="I166" s="95">
        <v>681.8</v>
      </c>
      <c r="J166" s="95">
        <v>430618.18</v>
      </c>
      <c r="K166" s="95">
        <v>13779.059999999998</v>
      </c>
      <c r="L166" s="95">
        <v>444397.24</v>
      </c>
      <c r="M166" s="96">
        <v>0.27529999999999999</v>
      </c>
      <c r="N166" s="95">
        <v>842.54</v>
      </c>
      <c r="O166" s="95">
        <v>26.96</v>
      </c>
      <c r="P166" s="95">
        <v>869.5</v>
      </c>
      <c r="Q166" s="95">
        <v>549167.56999999995</v>
      </c>
      <c r="R166" s="95">
        <v>17572.53</v>
      </c>
      <c r="S166" s="95">
        <v>566740.1</v>
      </c>
    </row>
    <row r="167" spans="1:19" ht="25.5" x14ac:dyDescent="0.25">
      <c r="A167" s="90" t="s">
        <v>481</v>
      </c>
      <c r="B167" s="90" t="s">
        <v>31</v>
      </c>
      <c r="C167" s="98" t="s">
        <v>482</v>
      </c>
      <c r="D167" s="92" t="s">
        <v>483</v>
      </c>
      <c r="E167" s="90" t="s">
        <v>93</v>
      </c>
      <c r="F167" s="99">
        <v>375.5</v>
      </c>
      <c r="G167" s="94">
        <v>47.19</v>
      </c>
      <c r="H167" s="94">
        <v>8.2100000000000009</v>
      </c>
      <c r="I167" s="95">
        <v>55.4</v>
      </c>
      <c r="J167" s="95">
        <v>17719.84</v>
      </c>
      <c r="K167" s="95">
        <v>3082.8600000000006</v>
      </c>
      <c r="L167" s="95">
        <v>20802.7</v>
      </c>
      <c r="M167" s="96">
        <v>0.27529999999999999</v>
      </c>
      <c r="N167" s="95">
        <v>60.18</v>
      </c>
      <c r="O167" s="95">
        <v>10.47</v>
      </c>
      <c r="P167" s="95">
        <v>70.650000000000006</v>
      </c>
      <c r="Q167" s="95">
        <v>22597.59</v>
      </c>
      <c r="R167" s="95">
        <v>3931.49</v>
      </c>
      <c r="S167" s="95">
        <v>26529.08</v>
      </c>
    </row>
    <row r="168" spans="1:19" ht="38.25" x14ac:dyDescent="0.25">
      <c r="A168" s="90" t="s">
        <v>484</v>
      </c>
      <c r="B168" s="90" t="s">
        <v>86</v>
      </c>
      <c r="C168" s="98" t="s">
        <v>485</v>
      </c>
      <c r="D168" s="92" t="s">
        <v>486</v>
      </c>
      <c r="E168" s="90" t="s">
        <v>34</v>
      </c>
      <c r="F168" s="99">
        <v>1825</v>
      </c>
      <c r="G168" s="94">
        <v>8.08</v>
      </c>
      <c r="H168" s="94">
        <v>7.67</v>
      </c>
      <c r="I168" s="95">
        <v>15.75</v>
      </c>
      <c r="J168" s="95">
        <v>14746</v>
      </c>
      <c r="K168" s="95">
        <v>13997.75</v>
      </c>
      <c r="L168" s="95">
        <v>28743.75</v>
      </c>
      <c r="M168" s="96">
        <v>0.27529999999999999</v>
      </c>
      <c r="N168" s="95">
        <v>10.3</v>
      </c>
      <c r="O168" s="95">
        <v>9.7799999999999994</v>
      </c>
      <c r="P168" s="95">
        <v>20.079999999999998</v>
      </c>
      <c r="Q168" s="95">
        <v>18797.5</v>
      </c>
      <c r="R168" s="95">
        <v>17848.5</v>
      </c>
      <c r="S168" s="95">
        <v>36646</v>
      </c>
    </row>
    <row r="169" spans="1:19" ht="15" x14ac:dyDescent="0.25">
      <c r="A169" s="90" t="s">
        <v>487</v>
      </c>
      <c r="B169" s="90" t="s">
        <v>488</v>
      </c>
      <c r="C169" s="98" t="s">
        <v>489</v>
      </c>
      <c r="D169" s="92" t="s">
        <v>490</v>
      </c>
      <c r="E169" s="90" t="s">
        <v>34</v>
      </c>
      <c r="F169" s="99">
        <v>1825</v>
      </c>
      <c r="G169" s="94">
        <v>14.39</v>
      </c>
      <c r="H169" s="94">
        <v>3.5</v>
      </c>
      <c r="I169" s="95">
        <v>17.89</v>
      </c>
      <c r="J169" s="95">
        <v>26261.75</v>
      </c>
      <c r="K169" s="95">
        <v>6387.5</v>
      </c>
      <c r="L169" s="95">
        <v>32649.25</v>
      </c>
      <c r="M169" s="96">
        <v>0.27529999999999999</v>
      </c>
      <c r="N169" s="95">
        <v>18.350000000000001</v>
      </c>
      <c r="O169" s="95">
        <v>4.46</v>
      </c>
      <c r="P169" s="95">
        <v>22.810000000000002</v>
      </c>
      <c r="Q169" s="95">
        <v>33488.75</v>
      </c>
      <c r="R169" s="95">
        <v>8139.5</v>
      </c>
      <c r="S169" s="95">
        <v>41628.25</v>
      </c>
    </row>
    <row r="170" spans="1:19" ht="15" x14ac:dyDescent="0.25">
      <c r="A170" s="90" t="s">
        <v>491</v>
      </c>
      <c r="B170" s="90"/>
      <c r="C170" s="91" t="s">
        <v>492</v>
      </c>
      <c r="D170" s="92"/>
      <c r="E170" s="90"/>
      <c r="F170" s="99"/>
      <c r="G170" s="94"/>
      <c r="H170" s="94"/>
      <c r="I170" s="95"/>
      <c r="J170" s="95"/>
      <c r="K170" s="95"/>
      <c r="L170" s="95"/>
      <c r="M170" s="96"/>
      <c r="N170" s="95"/>
      <c r="O170" s="95"/>
      <c r="P170" s="95"/>
      <c r="Q170" s="95">
        <v>0</v>
      </c>
      <c r="R170" s="95">
        <v>0</v>
      </c>
      <c r="S170" s="95">
        <v>0</v>
      </c>
    </row>
    <row r="171" spans="1:19" ht="25.5" x14ac:dyDescent="0.25">
      <c r="A171" s="90" t="s">
        <v>493</v>
      </c>
      <c r="B171" s="90" t="s">
        <v>31</v>
      </c>
      <c r="C171" s="98" t="s">
        <v>494</v>
      </c>
      <c r="D171" s="92" t="s">
        <v>495</v>
      </c>
      <c r="E171" s="90" t="s">
        <v>34</v>
      </c>
      <c r="F171" s="99">
        <v>15195.25</v>
      </c>
      <c r="G171" s="94">
        <v>46.61</v>
      </c>
      <c r="H171" s="94">
        <v>20.69</v>
      </c>
      <c r="I171" s="95">
        <v>67.3</v>
      </c>
      <c r="J171" s="95">
        <v>708250.6</v>
      </c>
      <c r="K171" s="95">
        <v>314389.73</v>
      </c>
      <c r="L171" s="95">
        <v>1022640.33</v>
      </c>
      <c r="M171" s="96">
        <v>0.27529999999999999</v>
      </c>
      <c r="N171" s="95">
        <v>59.44</v>
      </c>
      <c r="O171" s="95">
        <v>26.39</v>
      </c>
      <c r="P171" s="95">
        <v>85.83</v>
      </c>
      <c r="Q171" s="95">
        <v>903205.66</v>
      </c>
      <c r="R171" s="95">
        <v>401002.65</v>
      </c>
      <c r="S171" s="95">
        <v>1304208.31</v>
      </c>
    </row>
    <row r="172" spans="1:19" ht="15" x14ac:dyDescent="0.25">
      <c r="A172" s="90" t="s">
        <v>496</v>
      </c>
      <c r="B172" s="90" t="s">
        <v>31</v>
      </c>
      <c r="C172" s="98" t="s">
        <v>497</v>
      </c>
      <c r="D172" s="92" t="s">
        <v>498</v>
      </c>
      <c r="E172" s="90" t="s">
        <v>34</v>
      </c>
      <c r="F172" s="99">
        <v>26905.32</v>
      </c>
      <c r="G172" s="94">
        <v>83.53</v>
      </c>
      <c r="H172" s="94">
        <v>31.4</v>
      </c>
      <c r="I172" s="95">
        <v>114.93</v>
      </c>
      <c r="J172" s="95">
        <v>2247401.37</v>
      </c>
      <c r="K172" s="95">
        <v>844827.06</v>
      </c>
      <c r="L172" s="95">
        <v>3092228.43</v>
      </c>
      <c r="M172" s="96">
        <v>0.27529999999999999</v>
      </c>
      <c r="N172" s="95">
        <v>106.53</v>
      </c>
      <c r="O172" s="95">
        <v>40.04</v>
      </c>
      <c r="P172" s="95">
        <v>146.57</v>
      </c>
      <c r="Q172" s="95">
        <v>2866223.74</v>
      </c>
      <c r="R172" s="95">
        <v>1077289.01</v>
      </c>
      <c r="S172" s="95">
        <v>3943512.75</v>
      </c>
    </row>
    <row r="173" spans="1:19" ht="15" x14ac:dyDescent="0.25">
      <c r="A173" s="90" t="s">
        <v>499</v>
      </c>
      <c r="B173" s="90" t="s">
        <v>31</v>
      </c>
      <c r="C173" s="98" t="s">
        <v>500</v>
      </c>
      <c r="D173" s="92" t="s">
        <v>501</v>
      </c>
      <c r="E173" s="90" t="s">
        <v>78</v>
      </c>
      <c r="F173" s="99">
        <v>1699.23</v>
      </c>
      <c r="G173" s="94">
        <v>548.52</v>
      </c>
      <c r="H173" s="94">
        <v>30.48</v>
      </c>
      <c r="I173" s="95">
        <v>579</v>
      </c>
      <c r="J173" s="95">
        <v>932061.63</v>
      </c>
      <c r="K173" s="95">
        <v>51792.540000000037</v>
      </c>
      <c r="L173" s="95">
        <v>983854.17</v>
      </c>
      <c r="M173" s="96">
        <v>0.27529999999999999</v>
      </c>
      <c r="N173" s="95">
        <v>699.53</v>
      </c>
      <c r="O173" s="95">
        <v>38.869999999999997</v>
      </c>
      <c r="P173" s="95">
        <v>738.4</v>
      </c>
      <c r="Q173" s="95">
        <v>1188662.3600000001</v>
      </c>
      <c r="R173" s="95">
        <v>66049.070000000007</v>
      </c>
      <c r="S173" s="95">
        <v>1254711.4300000002</v>
      </c>
    </row>
    <row r="174" spans="1:19" ht="15" x14ac:dyDescent="0.25">
      <c r="A174" s="90" t="s">
        <v>502</v>
      </c>
      <c r="B174" s="90" t="s">
        <v>31</v>
      </c>
      <c r="C174" s="98" t="s">
        <v>503</v>
      </c>
      <c r="D174" s="92" t="s">
        <v>504</v>
      </c>
      <c r="E174" s="90" t="s">
        <v>78</v>
      </c>
      <c r="F174" s="99">
        <v>2767.05</v>
      </c>
      <c r="G174" s="94">
        <v>623.16999999999996</v>
      </c>
      <c r="H174" s="94">
        <v>31.57</v>
      </c>
      <c r="I174" s="95">
        <v>654.74</v>
      </c>
      <c r="J174" s="95">
        <v>1724342.54</v>
      </c>
      <c r="K174" s="95">
        <v>87355.780000000028</v>
      </c>
      <c r="L174" s="95">
        <v>1811698.32</v>
      </c>
      <c r="M174" s="96">
        <v>0.27529999999999999</v>
      </c>
      <c r="N174" s="95">
        <v>794.73</v>
      </c>
      <c r="O174" s="95">
        <v>40.26</v>
      </c>
      <c r="P174" s="95">
        <v>834.99</v>
      </c>
      <c r="Q174" s="95">
        <v>2199057.65</v>
      </c>
      <c r="R174" s="95">
        <v>111401.43</v>
      </c>
      <c r="S174" s="95">
        <v>2310459.08</v>
      </c>
    </row>
    <row r="175" spans="1:19" ht="15" x14ac:dyDescent="0.25">
      <c r="A175" s="90" t="s">
        <v>505</v>
      </c>
      <c r="B175" s="90" t="s">
        <v>31</v>
      </c>
      <c r="C175" s="98" t="s">
        <v>503</v>
      </c>
      <c r="D175" s="92" t="s">
        <v>506</v>
      </c>
      <c r="E175" s="90" t="s">
        <v>78</v>
      </c>
      <c r="F175" s="99">
        <v>118.66</v>
      </c>
      <c r="G175" s="94">
        <v>585.58000000000004</v>
      </c>
      <c r="H175" s="94">
        <v>32.19</v>
      </c>
      <c r="I175" s="95">
        <v>617.77</v>
      </c>
      <c r="J175" s="95">
        <v>69484.92</v>
      </c>
      <c r="K175" s="95">
        <v>3819.6699999999983</v>
      </c>
      <c r="L175" s="95">
        <v>73304.59</v>
      </c>
      <c r="M175" s="96">
        <v>0.27529999999999999</v>
      </c>
      <c r="N175" s="95">
        <v>746.79</v>
      </c>
      <c r="O175" s="95">
        <v>41.05</v>
      </c>
      <c r="P175" s="95">
        <v>787.83999999999992</v>
      </c>
      <c r="Q175" s="95">
        <v>88614.1</v>
      </c>
      <c r="R175" s="95">
        <v>4870.99</v>
      </c>
      <c r="S175" s="95">
        <v>93485.090000000011</v>
      </c>
    </row>
    <row r="176" spans="1:19" ht="15" x14ac:dyDescent="0.25">
      <c r="A176" s="90" t="s">
        <v>507</v>
      </c>
      <c r="B176" s="90" t="s">
        <v>31</v>
      </c>
      <c r="C176" s="98" t="s">
        <v>500</v>
      </c>
      <c r="D176" s="92" t="s">
        <v>508</v>
      </c>
      <c r="E176" s="90" t="s">
        <v>78</v>
      </c>
      <c r="F176" s="99">
        <v>17.989999999999998</v>
      </c>
      <c r="G176" s="94">
        <v>532.59</v>
      </c>
      <c r="H176" s="94">
        <v>30.48</v>
      </c>
      <c r="I176" s="95">
        <v>563.07000000000005</v>
      </c>
      <c r="J176" s="95">
        <v>9581.2900000000009</v>
      </c>
      <c r="K176" s="95">
        <v>548.33999999999833</v>
      </c>
      <c r="L176" s="95">
        <v>10129.629999999999</v>
      </c>
      <c r="M176" s="96">
        <v>0.27529999999999999</v>
      </c>
      <c r="N176" s="95">
        <v>679.21</v>
      </c>
      <c r="O176" s="95">
        <v>38.869999999999997</v>
      </c>
      <c r="P176" s="95">
        <v>718.08</v>
      </c>
      <c r="Q176" s="95">
        <v>12218.99</v>
      </c>
      <c r="R176" s="95">
        <v>699.27</v>
      </c>
      <c r="S176" s="95">
        <v>12918.26</v>
      </c>
    </row>
    <row r="177" spans="1:19" ht="15" x14ac:dyDescent="0.25">
      <c r="A177" s="90" t="s">
        <v>509</v>
      </c>
      <c r="B177" s="90" t="s">
        <v>31</v>
      </c>
      <c r="C177" s="98" t="s">
        <v>510</v>
      </c>
      <c r="D177" s="92" t="s">
        <v>511</v>
      </c>
      <c r="E177" s="90" t="s">
        <v>385</v>
      </c>
      <c r="F177" s="99">
        <v>65762</v>
      </c>
      <c r="G177" s="94">
        <v>9.81</v>
      </c>
      <c r="H177" s="94">
        <v>4.09</v>
      </c>
      <c r="I177" s="95">
        <v>13.9</v>
      </c>
      <c r="J177" s="95">
        <v>645125.22</v>
      </c>
      <c r="K177" s="95">
        <v>268966.58000000007</v>
      </c>
      <c r="L177" s="95">
        <v>914091.8</v>
      </c>
      <c r="M177" s="96">
        <v>0.27529999999999999</v>
      </c>
      <c r="N177" s="95">
        <v>12.51</v>
      </c>
      <c r="O177" s="95">
        <v>5.22</v>
      </c>
      <c r="P177" s="95">
        <v>17.73</v>
      </c>
      <c r="Q177" s="95">
        <v>822682.62</v>
      </c>
      <c r="R177" s="95">
        <v>343277.64</v>
      </c>
      <c r="S177" s="95">
        <v>1165960.26</v>
      </c>
    </row>
    <row r="178" spans="1:19" ht="15" x14ac:dyDescent="0.25">
      <c r="A178" s="90" t="s">
        <v>512</v>
      </c>
      <c r="B178" s="90" t="s">
        <v>31</v>
      </c>
      <c r="C178" s="98" t="s">
        <v>513</v>
      </c>
      <c r="D178" s="92" t="s">
        <v>514</v>
      </c>
      <c r="E178" s="90" t="s">
        <v>385</v>
      </c>
      <c r="F178" s="99">
        <v>5012</v>
      </c>
      <c r="G178" s="94">
        <v>10</v>
      </c>
      <c r="H178" s="94">
        <v>2.71</v>
      </c>
      <c r="I178" s="95">
        <v>12.71</v>
      </c>
      <c r="J178" s="95">
        <v>50120</v>
      </c>
      <c r="K178" s="95">
        <v>13582.519999999997</v>
      </c>
      <c r="L178" s="95">
        <v>63702.52</v>
      </c>
      <c r="M178" s="96">
        <v>0.27529999999999999</v>
      </c>
      <c r="N178" s="95">
        <v>12.75</v>
      </c>
      <c r="O178" s="95">
        <v>3.46</v>
      </c>
      <c r="P178" s="95">
        <v>16.21</v>
      </c>
      <c r="Q178" s="95">
        <v>63903</v>
      </c>
      <c r="R178" s="95">
        <v>17341.52</v>
      </c>
      <c r="S178" s="95">
        <v>81244.52</v>
      </c>
    </row>
    <row r="179" spans="1:19" ht="15" x14ac:dyDescent="0.25">
      <c r="A179" s="90" t="s">
        <v>515</v>
      </c>
      <c r="B179" s="90" t="s">
        <v>31</v>
      </c>
      <c r="C179" s="98" t="s">
        <v>516</v>
      </c>
      <c r="D179" s="92" t="s">
        <v>517</v>
      </c>
      <c r="E179" s="90" t="s">
        <v>385</v>
      </c>
      <c r="F179" s="99">
        <v>41006</v>
      </c>
      <c r="G179" s="94">
        <v>9.9</v>
      </c>
      <c r="H179" s="94">
        <v>1.78</v>
      </c>
      <c r="I179" s="95">
        <v>11.68</v>
      </c>
      <c r="J179" s="95">
        <v>405959.4</v>
      </c>
      <c r="K179" s="95">
        <v>72990.679999999993</v>
      </c>
      <c r="L179" s="95">
        <v>478950.08</v>
      </c>
      <c r="M179" s="96">
        <v>0.27529999999999999</v>
      </c>
      <c r="N179" s="95">
        <v>12.63</v>
      </c>
      <c r="O179" s="95">
        <v>2.27</v>
      </c>
      <c r="P179" s="95">
        <v>14.9</v>
      </c>
      <c r="Q179" s="95">
        <v>517905.78</v>
      </c>
      <c r="R179" s="95">
        <v>93083.62</v>
      </c>
      <c r="S179" s="95">
        <v>610989.4</v>
      </c>
    </row>
    <row r="180" spans="1:19" ht="15" x14ac:dyDescent="0.25">
      <c r="A180" s="90" t="s">
        <v>518</v>
      </c>
      <c r="B180" s="90" t="s">
        <v>31</v>
      </c>
      <c r="C180" s="98" t="s">
        <v>519</v>
      </c>
      <c r="D180" s="92" t="s">
        <v>520</v>
      </c>
      <c r="E180" s="90" t="s">
        <v>385</v>
      </c>
      <c r="F180" s="99">
        <v>31834</v>
      </c>
      <c r="G180" s="94">
        <v>9.08</v>
      </c>
      <c r="H180" s="94">
        <v>1.18</v>
      </c>
      <c r="I180" s="95">
        <v>10.26</v>
      </c>
      <c r="J180" s="95">
        <v>289052.71999999997</v>
      </c>
      <c r="K180" s="95">
        <v>37564.120000000054</v>
      </c>
      <c r="L180" s="95">
        <v>326616.84000000003</v>
      </c>
      <c r="M180" s="96">
        <v>0.27529999999999999</v>
      </c>
      <c r="N180" s="95">
        <v>11.58</v>
      </c>
      <c r="O180" s="95">
        <v>1.5</v>
      </c>
      <c r="P180" s="95">
        <v>13.08</v>
      </c>
      <c r="Q180" s="95">
        <v>368637.72</v>
      </c>
      <c r="R180" s="95">
        <v>47751</v>
      </c>
      <c r="S180" s="95">
        <v>416388.72</v>
      </c>
    </row>
    <row r="181" spans="1:19" ht="15" x14ac:dyDescent="0.25">
      <c r="A181" s="90" t="s">
        <v>521</v>
      </c>
      <c r="B181" s="90" t="s">
        <v>31</v>
      </c>
      <c r="C181" s="98" t="s">
        <v>522</v>
      </c>
      <c r="D181" s="92" t="s">
        <v>523</v>
      </c>
      <c r="E181" s="90" t="s">
        <v>385</v>
      </c>
      <c r="F181" s="99">
        <v>117813</v>
      </c>
      <c r="G181" s="94">
        <v>7.78</v>
      </c>
      <c r="H181" s="94">
        <v>0.74</v>
      </c>
      <c r="I181" s="95">
        <v>8.52</v>
      </c>
      <c r="J181" s="95">
        <v>916585.14</v>
      </c>
      <c r="K181" s="95">
        <v>87181.62</v>
      </c>
      <c r="L181" s="95">
        <v>1003766.76</v>
      </c>
      <c r="M181" s="96">
        <v>0.27529999999999999</v>
      </c>
      <c r="N181" s="95">
        <v>9.92</v>
      </c>
      <c r="O181" s="95">
        <v>0.94</v>
      </c>
      <c r="P181" s="95">
        <v>10.86</v>
      </c>
      <c r="Q181" s="95">
        <v>1168704.96</v>
      </c>
      <c r="R181" s="95">
        <v>110744.22</v>
      </c>
      <c r="S181" s="95">
        <v>1279449.18</v>
      </c>
    </row>
    <row r="182" spans="1:19" ht="15" x14ac:dyDescent="0.25">
      <c r="A182" s="90" t="s">
        <v>524</v>
      </c>
      <c r="B182" s="90" t="s">
        <v>31</v>
      </c>
      <c r="C182" s="98" t="s">
        <v>525</v>
      </c>
      <c r="D182" s="92" t="s">
        <v>526</v>
      </c>
      <c r="E182" s="90" t="s">
        <v>385</v>
      </c>
      <c r="F182" s="99">
        <v>45006</v>
      </c>
      <c r="G182" s="94">
        <v>7.64</v>
      </c>
      <c r="H182" s="94">
        <v>0.53</v>
      </c>
      <c r="I182" s="95">
        <v>8.17</v>
      </c>
      <c r="J182" s="95">
        <v>343845.84</v>
      </c>
      <c r="K182" s="95">
        <v>23853.179999999993</v>
      </c>
      <c r="L182" s="95">
        <v>367699.02</v>
      </c>
      <c r="M182" s="96">
        <v>0.27529999999999999</v>
      </c>
      <c r="N182" s="95">
        <v>9.74</v>
      </c>
      <c r="O182" s="95">
        <v>0.68</v>
      </c>
      <c r="P182" s="95">
        <v>10.42</v>
      </c>
      <c r="Q182" s="95">
        <v>438358.44</v>
      </c>
      <c r="R182" s="95">
        <v>30604.080000000002</v>
      </c>
      <c r="S182" s="95">
        <v>468962.52</v>
      </c>
    </row>
    <row r="183" spans="1:19" ht="15" x14ac:dyDescent="0.25">
      <c r="A183" s="90" t="s">
        <v>527</v>
      </c>
      <c r="B183" s="90" t="s">
        <v>31</v>
      </c>
      <c r="C183" s="98" t="s">
        <v>528</v>
      </c>
      <c r="D183" s="92" t="s">
        <v>529</v>
      </c>
      <c r="E183" s="90" t="s">
        <v>385</v>
      </c>
      <c r="F183" s="99">
        <v>46510</v>
      </c>
      <c r="G183" s="94">
        <v>8.84</v>
      </c>
      <c r="H183" s="94">
        <v>0.4</v>
      </c>
      <c r="I183" s="95">
        <v>9.24</v>
      </c>
      <c r="J183" s="95">
        <v>411148.4</v>
      </c>
      <c r="K183" s="95">
        <v>18604</v>
      </c>
      <c r="L183" s="95">
        <v>429752.4</v>
      </c>
      <c r="M183" s="96">
        <v>0.27529999999999999</v>
      </c>
      <c r="N183" s="95">
        <v>11.27</v>
      </c>
      <c r="O183" s="95">
        <v>0.51</v>
      </c>
      <c r="P183" s="95">
        <v>11.78</v>
      </c>
      <c r="Q183" s="95">
        <v>524167.7</v>
      </c>
      <c r="R183" s="95">
        <v>23720.1</v>
      </c>
      <c r="S183" s="95">
        <v>547887.80000000005</v>
      </c>
    </row>
    <row r="184" spans="1:19" ht="15" x14ac:dyDescent="0.25">
      <c r="A184" s="90" t="s">
        <v>530</v>
      </c>
      <c r="B184" s="90" t="s">
        <v>31</v>
      </c>
      <c r="C184" s="98" t="s">
        <v>531</v>
      </c>
      <c r="D184" s="92" t="s">
        <v>532</v>
      </c>
      <c r="E184" s="90" t="s">
        <v>385</v>
      </c>
      <c r="F184" s="99">
        <v>24219</v>
      </c>
      <c r="G184" s="94">
        <v>8.8000000000000007</v>
      </c>
      <c r="H184" s="94">
        <v>0.31</v>
      </c>
      <c r="I184" s="95">
        <v>9.1100000000000012</v>
      </c>
      <c r="J184" s="95">
        <v>213127.2</v>
      </c>
      <c r="K184" s="95">
        <v>7507.8899999999849</v>
      </c>
      <c r="L184" s="95">
        <v>220635.09</v>
      </c>
      <c r="M184" s="96">
        <v>0.27529999999999999</v>
      </c>
      <c r="N184" s="95">
        <v>11.22</v>
      </c>
      <c r="O184" s="95">
        <v>0.4</v>
      </c>
      <c r="P184" s="95">
        <v>11.620000000000001</v>
      </c>
      <c r="Q184" s="95">
        <v>271737.18</v>
      </c>
      <c r="R184" s="95">
        <v>9687.6</v>
      </c>
      <c r="S184" s="95">
        <v>281424.77999999997</v>
      </c>
    </row>
    <row r="185" spans="1:19" ht="15" x14ac:dyDescent="0.25">
      <c r="A185" s="90" t="s">
        <v>533</v>
      </c>
      <c r="B185" s="90"/>
      <c r="C185" s="91" t="s">
        <v>534</v>
      </c>
      <c r="D185" s="92"/>
      <c r="E185" s="90"/>
      <c r="F185" s="99"/>
      <c r="G185" s="94"/>
      <c r="H185" s="94"/>
      <c r="I185" s="95"/>
      <c r="J185" s="95"/>
      <c r="K185" s="95"/>
      <c r="L185" s="95"/>
      <c r="M185" s="96"/>
      <c r="N185" s="95"/>
      <c r="O185" s="95"/>
      <c r="P185" s="95"/>
      <c r="Q185" s="95">
        <v>0</v>
      </c>
      <c r="R185" s="95">
        <v>0</v>
      </c>
      <c r="S185" s="95">
        <v>0</v>
      </c>
    </row>
    <row r="186" spans="1:19" ht="15" x14ac:dyDescent="0.25">
      <c r="A186" s="90" t="s">
        <v>535</v>
      </c>
      <c r="B186" s="90" t="s">
        <v>31</v>
      </c>
      <c r="C186" s="98" t="s">
        <v>503</v>
      </c>
      <c r="D186" s="92" t="s">
        <v>504</v>
      </c>
      <c r="E186" s="90" t="s">
        <v>78</v>
      </c>
      <c r="F186" s="99">
        <v>4384.72</v>
      </c>
      <c r="G186" s="94">
        <v>623.16999999999996</v>
      </c>
      <c r="H186" s="94">
        <v>31.57</v>
      </c>
      <c r="I186" s="95">
        <v>654.74</v>
      </c>
      <c r="J186" s="95">
        <v>2732425.96</v>
      </c>
      <c r="K186" s="95">
        <v>138425.60999999987</v>
      </c>
      <c r="L186" s="95">
        <v>2870851.57</v>
      </c>
      <c r="M186" s="96">
        <v>0.27529999999999999</v>
      </c>
      <c r="N186" s="95">
        <v>794.73</v>
      </c>
      <c r="O186" s="95">
        <v>40.26</v>
      </c>
      <c r="P186" s="95">
        <v>834.99</v>
      </c>
      <c r="Q186" s="95">
        <v>3484668.53</v>
      </c>
      <c r="R186" s="95">
        <v>176528.83</v>
      </c>
      <c r="S186" s="95">
        <v>3661197.36</v>
      </c>
    </row>
    <row r="187" spans="1:19" ht="15" x14ac:dyDescent="0.25">
      <c r="A187" s="90" t="s">
        <v>536</v>
      </c>
      <c r="B187" s="90" t="s">
        <v>31</v>
      </c>
      <c r="C187" s="98" t="s">
        <v>537</v>
      </c>
      <c r="D187" s="92" t="s">
        <v>538</v>
      </c>
      <c r="E187" s="90" t="s">
        <v>34</v>
      </c>
      <c r="F187" s="99">
        <v>32781</v>
      </c>
      <c r="G187" s="94">
        <v>65.099999999999994</v>
      </c>
      <c r="H187" s="94">
        <v>25.42</v>
      </c>
      <c r="I187" s="95">
        <v>90.52</v>
      </c>
      <c r="J187" s="95">
        <v>2134043.1</v>
      </c>
      <c r="K187" s="95">
        <v>833293.02</v>
      </c>
      <c r="L187" s="95">
        <v>2967336.12</v>
      </c>
      <c r="M187" s="96">
        <v>0.27529999999999999</v>
      </c>
      <c r="N187" s="95">
        <v>83.02</v>
      </c>
      <c r="O187" s="95">
        <v>32.42</v>
      </c>
      <c r="P187" s="95">
        <v>115.44</v>
      </c>
      <c r="Q187" s="95">
        <v>2721478.62</v>
      </c>
      <c r="R187" s="95">
        <v>1062760.02</v>
      </c>
      <c r="S187" s="95">
        <v>3784238.64</v>
      </c>
    </row>
    <row r="188" spans="1:19" ht="15" x14ac:dyDescent="0.25">
      <c r="A188" s="90" t="s">
        <v>539</v>
      </c>
      <c r="B188" s="90" t="s">
        <v>31</v>
      </c>
      <c r="C188" s="98" t="s">
        <v>540</v>
      </c>
      <c r="D188" s="92" t="s">
        <v>541</v>
      </c>
      <c r="E188" s="90" t="s">
        <v>385</v>
      </c>
      <c r="F188" s="99">
        <v>20239</v>
      </c>
      <c r="G188" s="94">
        <v>9.76</v>
      </c>
      <c r="H188" s="94">
        <v>3.5</v>
      </c>
      <c r="I188" s="95">
        <v>13.26</v>
      </c>
      <c r="J188" s="95">
        <v>197532.64</v>
      </c>
      <c r="K188" s="95">
        <v>70836.5</v>
      </c>
      <c r="L188" s="95">
        <v>268369.14</v>
      </c>
      <c r="M188" s="96">
        <v>0.27529999999999999</v>
      </c>
      <c r="N188" s="95">
        <v>12.45</v>
      </c>
      <c r="O188" s="95">
        <v>4.46</v>
      </c>
      <c r="P188" s="95">
        <v>16.91</v>
      </c>
      <c r="Q188" s="95">
        <v>251975.55</v>
      </c>
      <c r="R188" s="95">
        <v>90265.94</v>
      </c>
      <c r="S188" s="95">
        <v>342241.49</v>
      </c>
    </row>
    <row r="189" spans="1:19" ht="15" x14ac:dyDescent="0.25">
      <c r="A189" s="90" t="s">
        <v>542</v>
      </c>
      <c r="B189" s="90" t="s">
        <v>31</v>
      </c>
      <c r="C189" s="98" t="s">
        <v>543</v>
      </c>
      <c r="D189" s="92" t="s">
        <v>544</v>
      </c>
      <c r="E189" s="90" t="s">
        <v>385</v>
      </c>
      <c r="F189" s="99">
        <v>101025</v>
      </c>
      <c r="G189" s="94">
        <v>9.86</v>
      </c>
      <c r="H189" s="94">
        <v>2.2400000000000002</v>
      </c>
      <c r="I189" s="95">
        <v>12.1</v>
      </c>
      <c r="J189" s="95">
        <v>996106.5</v>
      </c>
      <c r="K189" s="95">
        <v>226296</v>
      </c>
      <c r="L189" s="95">
        <v>1222402.5</v>
      </c>
      <c r="M189" s="96">
        <v>0.27529999999999999</v>
      </c>
      <c r="N189" s="95">
        <v>12.57</v>
      </c>
      <c r="O189" s="95">
        <v>2.86</v>
      </c>
      <c r="P189" s="95">
        <v>15.43</v>
      </c>
      <c r="Q189" s="95">
        <v>1269884.25</v>
      </c>
      <c r="R189" s="95">
        <v>288931.5</v>
      </c>
      <c r="S189" s="95">
        <v>1558815.75</v>
      </c>
    </row>
    <row r="190" spans="1:19" ht="15" x14ac:dyDescent="0.25">
      <c r="A190" s="90" t="s">
        <v>545</v>
      </c>
      <c r="B190" s="90" t="s">
        <v>31</v>
      </c>
      <c r="C190" s="98" t="s">
        <v>546</v>
      </c>
      <c r="D190" s="92" t="s">
        <v>547</v>
      </c>
      <c r="E190" s="90" t="s">
        <v>385</v>
      </c>
      <c r="F190" s="99">
        <v>128724</v>
      </c>
      <c r="G190" s="94">
        <v>9.7200000000000006</v>
      </c>
      <c r="H190" s="94">
        <v>1.39</v>
      </c>
      <c r="I190" s="95">
        <v>11.110000000000001</v>
      </c>
      <c r="J190" s="95">
        <v>1251197.28</v>
      </c>
      <c r="K190" s="95">
        <v>178926.35999999987</v>
      </c>
      <c r="L190" s="95">
        <v>1430123.64</v>
      </c>
      <c r="M190" s="96">
        <v>0.27529999999999999</v>
      </c>
      <c r="N190" s="95">
        <v>12.4</v>
      </c>
      <c r="O190" s="95">
        <v>1.77</v>
      </c>
      <c r="P190" s="95">
        <v>14.17</v>
      </c>
      <c r="Q190" s="95">
        <v>1596177.6</v>
      </c>
      <c r="R190" s="95">
        <v>227841.48</v>
      </c>
      <c r="S190" s="95">
        <v>1824019.08</v>
      </c>
    </row>
    <row r="191" spans="1:19" ht="15" x14ac:dyDescent="0.25">
      <c r="A191" s="90" t="s">
        <v>548</v>
      </c>
      <c r="B191" s="90" t="s">
        <v>31</v>
      </c>
      <c r="C191" s="98" t="s">
        <v>549</v>
      </c>
      <c r="D191" s="92" t="s">
        <v>550</v>
      </c>
      <c r="E191" s="90" t="s">
        <v>385</v>
      </c>
      <c r="F191" s="99">
        <v>74110</v>
      </c>
      <c r="G191" s="94">
        <v>8.89</v>
      </c>
      <c r="H191" s="94">
        <v>0.84</v>
      </c>
      <c r="I191" s="95">
        <v>9.73</v>
      </c>
      <c r="J191" s="95">
        <v>658837.9</v>
      </c>
      <c r="K191" s="95">
        <v>62252.400000000023</v>
      </c>
      <c r="L191" s="95">
        <v>721090.3</v>
      </c>
      <c r="M191" s="96">
        <v>0.27529999999999999</v>
      </c>
      <c r="N191" s="95">
        <v>11.34</v>
      </c>
      <c r="O191" s="95">
        <v>1.07</v>
      </c>
      <c r="P191" s="95">
        <v>12.41</v>
      </c>
      <c r="Q191" s="95">
        <v>840407.4</v>
      </c>
      <c r="R191" s="95">
        <v>79297.7</v>
      </c>
      <c r="S191" s="95">
        <v>919705.1</v>
      </c>
    </row>
    <row r="192" spans="1:19" ht="15" x14ac:dyDescent="0.25">
      <c r="A192" s="90" t="s">
        <v>551</v>
      </c>
      <c r="B192" s="90" t="s">
        <v>31</v>
      </c>
      <c r="C192" s="98" t="s">
        <v>552</v>
      </c>
      <c r="D192" s="92" t="s">
        <v>553</v>
      </c>
      <c r="E192" s="90" t="s">
        <v>385</v>
      </c>
      <c r="F192" s="99">
        <v>6059</v>
      </c>
      <c r="G192" s="94">
        <v>8.77</v>
      </c>
      <c r="H192" s="94">
        <v>0.28000000000000003</v>
      </c>
      <c r="I192" s="95">
        <v>9.0499999999999989</v>
      </c>
      <c r="J192" s="95">
        <v>53137.43</v>
      </c>
      <c r="K192" s="95">
        <v>1696.5199999999968</v>
      </c>
      <c r="L192" s="95">
        <v>54833.95</v>
      </c>
      <c r="M192" s="96">
        <v>0.27529999999999999</v>
      </c>
      <c r="N192" s="95">
        <v>11.18</v>
      </c>
      <c r="O192" s="95">
        <v>0.36</v>
      </c>
      <c r="P192" s="95">
        <v>11.54</v>
      </c>
      <c r="Q192" s="95">
        <v>67739.62</v>
      </c>
      <c r="R192" s="95">
        <v>2181.2399999999998</v>
      </c>
      <c r="S192" s="95">
        <v>69920.86</v>
      </c>
    </row>
    <row r="193" spans="1:19" ht="15" x14ac:dyDescent="0.25">
      <c r="A193" s="90" t="s">
        <v>554</v>
      </c>
      <c r="B193" s="90" t="s">
        <v>31</v>
      </c>
      <c r="C193" s="98" t="s">
        <v>555</v>
      </c>
      <c r="D193" s="92" t="s">
        <v>556</v>
      </c>
      <c r="E193" s="90" t="s">
        <v>385</v>
      </c>
      <c r="F193" s="99">
        <v>10460</v>
      </c>
      <c r="G193" s="94">
        <v>7.6</v>
      </c>
      <c r="H193" s="94">
        <v>0.46</v>
      </c>
      <c r="I193" s="95">
        <v>8.06</v>
      </c>
      <c r="J193" s="95">
        <v>79496</v>
      </c>
      <c r="K193" s="95">
        <v>4811.6000000000058</v>
      </c>
      <c r="L193" s="95">
        <v>84307.6</v>
      </c>
      <c r="M193" s="96">
        <v>0.27529999999999999</v>
      </c>
      <c r="N193" s="95">
        <v>9.69</v>
      </c>
      <c r="O193" s="95">
        <v>0.59</v>
      </c>
      <c r="P193" s="95">
        <v>10.28</v>
      </c>
      <c r="Q193" s="95">
        <v>101357.4</v>
      </c>
      <c r="R193" s="95">
        <v>6171.4</v>
      </c>
      <c r="S193" s="95">
        <v>107528.79999999999</v>
      </c>
    </row>
    <row r="194" spans="1:19" ht="15" x14ac:dyDescent="0.25">
      <c r="A194" s="90" t="s">
        <v>557</v>
      </c>
      <c r="B194" s="90" t="s">
        <v>31</v>
      </c>
      <c r="C194" s="98" t="s">
        <v>558</v>
      </c>
      <c r="D194" s="92" t="s">
        <v>559</v>
      </c>
      <c r="E194" s="90" t="s">
        <v>385</v>
      </c>
      <c r="F194" s="99">
        <v>7904</v>
      </c>
      <c r="G194" s="94">
        <v>7.52</v>
      </c>
      <c r="H194" s="94">
        <v>0.34</v>
      </c>
      <c r="I194" s="95">
        <v>7.8599999999999994</v>
      </c>
      <c r="J194" s="95">
        <v>59438.080000000002</v>
      </c>
      <c r="K194" s="95">
        <v>2687.3600000000006</v>
      </c>
      <c r="L194" s="95">
        <v>62125.440000000002</v>
      </c>
      <c r="M194" s="96">
        <v>0.27529999999999999</v>
      </c>
      <c r="N194" s="95">
        <v>9.59</v>
      </c>
      <c r="O194" s="95">
        <v>0.43</v>
      </c>
      <c r="P194" s="95">
        <v>10.02</v>
      </c>
      <c r="Q194" s="95">
        <v>75799.360000000001</v>
      </c>
      <c r="R194" s="95">
        <v>3398.72</v>
      </c>
      <c r="S194" s="95">
        <v>79198.080000000002</v>
      </c>
    </row>
    <row r="195" spans="1:19" ht="15" x14ac:dyDescent="0.25">
      <c r="A195" s="90" t="s">
        <v>560</v>
      </c>
      <c r="B195" s="90" t="s">
        <v>31</v>
      </c>
      <c r="C195" s="98" t="s">
        <v>552</v>
      </c>
      <c r="D195" s="92" t="s">
        <v>561</v>
      </c>
      <c r="E195" s="90" t="s">
        <v>385</v>
      </c>
      <c r="F195" s="99">
        <v>1601</v>
      </c>
      <c r="G195" s="94">
        <v>8.67</v>
      </c>
      <c r="H195" s="94">
        <v>0.23</v>
      </c>
      <c r="I195" s="95">
        <v>8.9</v>
      </c>
      <c r="J195" s="95">
        <v>13880.67</v>
      </c>
      <c r="K195" s="95">
        <v>368.22999999999956</v>
      </c>
      <c r="L195" s="95">
        <v>14248.9</v>
      </c>
      <c r="M195" s="96">
        <v>0.27529999999999999</v>
      </c>
      <c r="N195" s="95">
        <v>11.06</v>
      </c>
      <c r="O195" s="95">
        <v>0.28999999999999998</v>
      </c>
      <c r="P195" s="95">
        <v>11.35</v>
      </c>
      <c r="Q195" s="95">
        <v>17707.060000000001</v>
      </c>
      <c r="R195" s="95">
        <v>464.29</v>
      </c>
      <c r="S195" s="95">
        <v>18171.350000000002</v>
      </c>
    </row>
    <row r="196" spans="1:19" ht="15" x14ac:dyDescent="0.25">
      <c r="A196" s="90" t="s">
        <v>562</v>
      </c>
      <c r="B196" s="90"/>
      <c r="C196" s="91" t="s">
        <v>563</v>
      </c>
      <c r="D196" s="92"/>
      <c r="E196" s="90"/>
      <c r="F196" s="99"/>
      <c r="G196" s="94"/>
      <c r="H196" s="94"/>
      <c r="I196" s="95"/>
      <c r="J196" s="95"/>
      <c r="K196" s="95"/>
      <c r="L196" s="95"/>
      <c r="M196" s="96"/>
      <c r="N196" s="95"/>
      <c r="O196" s="95"/>
      <c r="P196" s="95"/>
      <c r="Q196" s="95">
        <v>0</v>
      </c>
      <c r="R196" s="95">
        <v>0</v>
      </c>
      <c r="S196" s="95">
        <v>0</v>
      </c>
    </row>
    <row r="197" spans="1:19" ht="15" x14ac:dyDescent="0.25">
      <c r="A197" s="90" t="s">
        <v>564</v>
      </c>
      <c r="B197" s="90" t="s">
        <v>31</v>
      </c>
      <c r="C197" s="98" t="s">
        <v>565</v>
      </c>
      <c r="D197" s="92" t="s">
        <v>566</v>
      </c>
      <c r="E197" s="90" t="s">
        <v>34</v>
      </c>
      <c r="F197" s="99">
        <v>537.5</v>
      </c>
      <c r="G197" s="94">
        <v>199.33</v>
      </c>
      <c r="H197" s="94">
        <v>113.25</v>
      </c>
      <c r="I197" s="95">
        <v>312.58000000000004</v>
      </c>
      <c r="J197" s="95">
        <v>107139.87</v>
      </c>
      <c r="K197" s="95">
        <v>60871.880000000005</v>
      </c>
      <c r="L197" s="95">
        <v>168011.75</v>
      </c>
      <c r="M197" s="96">
        <v>0.27529999999999999</v>
      </c>
      <c r="N197" s="95">
        <v>254.21</v>
      </c>
      <c r="O197" s="95">
        <v>144.43</v>
      </c>
      <c r="P197" s="95">
        <v>398.64</v>
      </c>
      <c r="Q197" s="95">
        <v>136637.88</v>
      </c>
      <c r="R197" s="95">
        <v>77631.13</v>
      </c>
      <c r="S197" s="95">
        <v>214269.01</v>
      </c>
    </row>
    <row r="198" spans="1:19" ht="25.5" x14ac:dyDescent="0.25">
      <c r="A198" s="90" t="s">
        <v>567</v>
      </c>
      <c r="B198" s="90" t="s">
        <v>31</v>
      </c>
      <c r="C198" s="98" t="s">
        <v>568</v>
      </c>
      <c r="D198" s="92" t="s">
        <v>569</v>
      </c>
      <c r="E198" s="90" t="s">
        <v>78</v>
      </c>
      <c r="F198" s="99">
        <v>107.6</v>
      </c>
      <c r="G198" s="94">
        <v>684.14</v>
      </c>
      <c r="H198" s="94">
        <v>76.27</v>
      </c>
      <c r="I198" s="95">
        <v>760.41</v>
      </c>
      <c r="J198" s="95">
        <v>73613.460000000006</v>
      </c>
      <c r="K198" s="95">
        <v>8206.6599999999889</v>
      </c>
      <c r="L198" s="95">
        <v>81820.12</v>
      </c>
      <c r="M198" s="96">
        <v>0.27529999999999999</v>
      </c>
      <c r="N198" s="95">
        <v>872.48</v>
      </c>
      <c r="O198" s="95">
        <v>97.27</v>
      </c>
      <c r="P198" s="95">
        <v>969.75</v>
      </c>
      <c r="Q198" s="95">
        <v>93878.85</v>
      </c>
      <c r="R198" s="95">
        <v>10466.25</v>
      </c>
      <c r="S198" s="95">
        <v>104345.1</v>
      </c>
    </row>
    <row r="199" spans="1:19" ht="15" x14ac:dyDescent="0.25">
      <c r="A199" s="90" t="s">
        <v>570</v>
      </c>
      <c r="B199" s="90" t="s">
        <v>31</v>
      </c>
      <c r="C199" s="98" t="s">
        <v>571</v>
      </c>
      <c r="D199" s="92" t="s">
        <v>572</v>
      </c>
      <c r="E199" s="90" t="s">
        <v>385</v>
      </c>
      <c r="F199" s="99">
        <v>2397</v>
      </c>
      <c r="G199" s="94">
        <v>12.58</v>
      </c>
      <c r="H199" s="94">
        <v>10.5</v>
      </c>
      <c r="I199" s="95">
        <v>23.08</v>
      </c>
      <c r="J199" s="95">
        <v>30154.26</v>
      </c>
      <c r="K199" s="95">
        <v>25168.500000000004</v>
      </c>
      <c r="L199" s="95">
        <v>55322.76</v>
      </c>
      <c r="M199" s="96">
        <v>0.27529999999999999</v>
      </c>
      <c r="N199" s="95">
        <v>16.04</v>
      </c>
      <c r="O199" s="95">
        <v>13.39</v>
      </c>
      <c r="P199" s="95">
        <v>29.43</v>
      </c>
      <c r="Q199" s="95">
        <v>38447.879999999997</v>
      </c>
      <c r="R199" s="95">
        <v>32095.83</v>
      </c>
      <c r="S199" s="95">
        <v>70543.709999999992</v>
      </c>
    </row>
    <row r="200" spans="1:19" ht="15" x14ac:dyDescent="0.25">
      <c r="A200" s="90" t="s">
        <v>573</v>
      </c>
      <c r="B200" s="90" t="s">
        <v>31</v>
      </c>
      <c r="C200" s="98" t="s">
        <v>574</v>
      </c>
      <c r="D200" s="92" t="s">
        <v>575</v>
      </c>
      <c r="E200" s="90" t="s">
        <v>385</v>
      </c>
      <c r="F200" s="99">
        <v>8007</v>
      </c>
      <c r="G200" s="94">
        <v>12.34</v>
      </c>
      <c r="H200" s="94">
        <v>8.11</v>
      </c>
      <c r="I200" s="95">
        <v>20.45</v>
      </c>
      <c r="J200" s="95">
        <v>98806.38</v>
      </c>
      <c r="K200" s="95">
        <v>64936.76999999999</v>
      </c>
      <c r="L200" s="95">
        <v>163743.15</v>
      </c>
      <c r="M200" s="96">
        <v>0.27529999999999999</v>
      </c>
      <c r="N200" s="95">
        <v>15.74</v>
      </c>
      <c r="O200" s="95">
        <v>10.34</v>
      </c>
      <c r="P200" s="95">
        <v>26.08</v>
      </c>
      <c r="Q200" s="95">
        <v>126030.18</v>
      </c>
      <c r="R200" s="95">
        <v>82792.38</v>
      </c>
      <c r="S200" s="95">
        <v>208822.56</v>
      </c>
    </row>
    <row r="201" spans="1:19" ht="15" x14ac:dyDescent="0.25">
      <c r="A201" s="90" t="s">
        <v>576</v>
      </c>
      <c r="B201" s="90" t="s">
        <v>31</v>
      </c>
      <c r="C201" s="98" t="s">
        <v>577</v>
      </c>
      <c r="D201" s="92" t="s">
        <v>578</v>
      </c>
      <c r="E201" s="90" t="s">
        <v>385</v>
      </c>
      <c r="F201" s="99">
        <v>8652</v>
      </c>
      <c r="G201" s="94">
        <v>11.16</v>
      </c>
      <c r="H201" s="94">
        <v>4.7300000000000004</v>
      </c>
      <c r="I201" s="95">
        <v>15.89</v>
      </c>
      <c r="J201" s="95">
        <v>96556.32</v>
      </c>
      <c r="K201" s="95">
        <v>40923.959999999992</v>
      </c>
      <c r="L201" s="95">
        <v>137480.28</v>
      </c>
      <c r="M201" s="96">
        <v>0.27529999999999999</v>
      </c>
      <c r="N201" s="95">
        <v>14.23</v>
      </c>
      <c r="O201" s="95">
        <v>6.03</v>
      </c>
      <c r="P201" s="95">
        <v>20.260000000000002</v>
      </c>
      <c r="Q201" s="95">
        <v>123117.96</v>
      </c>
      <c r="R201" s="95">
        <v>52171.56</v>
      </c>
      <c r="S201" s="95">
        <v>175289.52000000002</v>
      </c>
    </row>
    <row r="202" spans="1:19" ht="15" x14ac:dyDescent="0.25">
      <c r="A202" s="90" t="s">
        <v>579</v>
      </c>
      <c r="B202" s="90" t="s">
        <v>31</v>
      </c>
      <c r="C202" s="98" t="s">
        <v>580</v>
      </c>
      <c r="D202" s="92" t="s">
        <v>581</v>
      </c>
      <c r="E202" s="90" t="s">
        <v>385</v>
      </c>
      <c r="F202" s="99">
        <v>9662</v>
      </c>
      <c r="G202" s="94">
        <v>9.66</v>
      </c>
      <c r="H202" s="94">
        <v>2.5299999999999998</v>
      </c>
      <c r="I202" s="95">
        <v>12.19</v>
      </c>
      <c r="J202" s="95">
        <v>93334.92</v>
      </c>
      <c r="K202" s="95">
        <v>24444.86</v>
      </c>
      <c r="L202" s="95">
        <v>117779.78</v>
      </c>
      <c r="M202" s="96">
        <v>0.27529999999999999</v>
      </c>
      <c r="N202" s="95">
        <v>12.32</v>
      </c>
      <c r="O202" s="95">
        <v>3.23</v>
      </c>
      <c r="P202" s="95">
        <v>15.55</v>
      </c>
      <c r="Q202" s="95">
        <v>119035.84</v>
      </c>
      <c r="R202" s="95">
        <v>31208.26</v>
      </c>
      <c r="S202" s="95">
        <v>150244.1</v>
      </c>
    </row>
    <row r="203" spans="1:19" ht="15" x14ac:dyDescent="0.25">
      <c r="A203" s="90" t="s">
        <v>582</v>
      </c>
      <c r="B203" s="90" t="s">
        <v>31</v>
      </c>
      <c r="C203" s="98" t="s">
        <v>583</v>
      </c>
      <c r="D203" s="92" t="s">
        <v>584</v>
      </c>
      <c r="E203" s="90" t="s">
        <v>385</v>
      </c>
      <c r="F203" s="99">
        <v>6788</v>
      </c>
      <c r="G203" s="94">
        <v>7.93</v>
      </c>
      <c r="H203" s="94">
        <v>1.1599999999999999</v>
      </c>
      <c r="I203" s="95">
        <v>9.09</v>
      </c>
      <c r="J203" s="95">
        <v>53828.84</v>
      </c>
      <c r="K203" s="95">
        <v>7874.0800000000017</v>
      </c>
      <c r="L203" s="95">
        <v>61702.92</v>
      </c>
      <c r="M203" s="96">
        <v>0.27529999999999999</v>
      </c>
      <c r="N203" s="95">
        <v>10.11</v>
      </c>
      <c r="O203" s="95">
        <v>1.48</v>
      </c>
      <c r="P203" s="95">
        <v>11.59</v>
      </c>
      <c r="Q203" s="95">
        <v>68626.679999999993</v>
      </c>
      <c r="R203" s="95">
        <v>10046.24</v>
      </c>
      <c r="S203" s="95">
        <v>78672.92</v>
      </c>
    </row>
    <row r="204" spans="1:19" ht="15" x14ac:dyDescent="0.25">
      <c r="A204" s="90" t="s">
        <v>585</v>
      </c>
      <c r="B204" s="90" t="s">
        <v>31</v>
      </c>
      <c r="C204" s="98" t="s">
        <v>586</v>
      </c>
      <c r="D204" s="92" t="s">
        <v>587</v>
      </c>
      <c r="E204" s="90" t="s">
        <v>385</v>
      </c>
      <c r="F204" s="99">
        <v>1402</v>
      </c>
      <c r="G204" s="94">
        <v>8.9700000000000006</v>
      </c>
      <c r="H204" s="94">
        <v>0.7</v>
      </c>
      <c r="I204" s="95">
        <v>9.67</v>
      </c>
      <c r="J204" s="95">
        <v>12575.94</v>
      </c>
      <c r="K204" s="95">
        <v>981.39999999999964</v>
      </c>
      <c r="L204" s="95">
        <v>13557.34</v>
      </c>
      <c r="M204" s="96">
        <v>0.27529999999999999</v>
      </c>
      <c r="N204" s="95">
        <v>11.44</v>
      </c>
      <c r="O204" s="95">
        <v>0.89</v>
      </c>
      <c r="P204" s="95">
        <v>12.33</v>
      </c>
      <c r="Q204" s="95">
        <v>16038.88</v>
      </c>
      <c r="R204" s="95">
        <v>1247.78</v>
      </c>
      <c r="S204" s="95">
        <v>17286.66</v>
      </c>
    </row>
    <row r="205" spans="1:19" ht="15" x14ac:dyDescent="0.25">
      <c r="A205" s="90" t="s">
        <v>588</v>
      </c>
      <c r="B205" s="90"/>
      <c r="C205" s="91" t="s">
        <v>589</v>
      </c>
      <c r="D205" s="92"/>
      <c r="E205" s="90"/>
      <c r="F205" s="99"/>
      <c r="G205" s="94"/>
      <c r="H205" s="94"/>
      <c r="I205" s="95"/>
      <c r="J205" s="95"/>
      <c r="K205" s="95"/>
      <c r="L205" s="95"/>
      <c r="M205" s="96"/>
      <c r="N205" s="95"/>
      <c r="O205" s="95"/>
      <c r="P205" s="95"/>
      <c r="Q205" s="95">
        <v>0</v>
      </c>
      <c r="R205" s="95">
        <v>0</v>
      </c>
      <c r="S205" s="95">
        <v>0</v>
      </c>
    </row>
    <row r="206" spans="1:19" ht="15" x14ac:dyDescent="0.25">
      <c r="A206" s="90" t="s">
        <v>590</v>
      </c>
      <c r="B206" s="90" t="s">
        <v>184</v>
      </c>
      <c r="C206" s="98" t="s">
        <v>591</v>
      </c>
      <c r="D206" s="92" t="s">
        <v>592</v>
      </c>
      <c r="E206" s="90" t="s">
        <v>16</v>
      </c>
      <c r="F206" s="99">
        <v>6755</v>
      </c>
      <c r="G206" s="94">
        <v>15</v>
      </c>
      <c r="H206" s="94">
        <v>0</v>
      </c>
      <c r="I206" s="95">
        <v>15</v>
      </c>
      <c r="J206" s="95">
        <v>101325</v>
      </c>
      <c r="K206" s="95">
        <v>0</v>
      </c>
      <c r="L206" s="95">
        <v>101325</v>
      </c>
      <c r="M206" s="96">
        <v>0.27529999999999999</v>
      </c>
      <c r="N206" s="95">
        <v>19.13</v>
      </c>
      <c r="O206" s="95">
        <v>0</v>
      </c>
      <c r="P206" s="95">
        <v>19.13</v>
      </c>
      <c r="Q206" s="95">
        <v>129223.15</v>
      </c>
      <c r="R206" s="95">
        <v>0</v>
      </c>
      <c r="S206" s="95">
        <v>129223.15</v>
      </c>
    </row>
    <row r="207" spans="1:19" s="89" customFormat="1" x14ac:dyDescent="0.25">
      <c r="A207" s="82" t="s">
        <v>593</v>
      </c>
      <c r="B207" s="82"/>
      <c r="C207" s="83" t="s">
        <v>594</v>
      </c>
      <c r="D207" s="84"/>
      <c r="E207" s="85"/>
      <c r="F207" s="101"/>
      <c r="G207" s="87"/>
      <c r="H207" s="87"/>
      <c r="I207" s="88"/>
      <c r="J207" s="87">
        <v>555080.47</v>
      </c>
      <c r="K207" s="87">
        <v>76705.049999999945</v>
      </c>
      <c r="L207" s="87">
        <v>631785.52</v>
      </c>
      <c r="M207" s="87"/>
      <c r="N207" s="87"/>
      <c r="O207" s="87"/>
      <c r="P207" s="87"/>
      <c r="Q207" s="87">
        <v>707895.65999999992</v>
      </c>
      <c r="R207" s="87">
        <v>97821.38</v>
      </c>
      <c r="S207" s="87">
        <v>805717.04</v>
      </c>
    </row>
    <row r="208" spans="1:19" ht="15" x14ac:dyDescent="0.25">
      <c r="A208" s="90" t="s">
        <v>595</v>
      </c>
      <c r="B208" s="90" t="s">
        <v>31</v>
      </c>
      <c r="C208" s="98" t="s">
        <v>596</v>
      </c>
      <c r="D208" s="92" t="s">
        <v>597</v>
      </c>
      <c r="E208" s="90" t="s">
        <v>93</v>
      </c>
      <c r="F208" s="99">
        <v>2042.2</v>
      </c>
      <c r="G208" s="94">
        <v>43.95</v>
      </c>
      <c r="H208" s="94">
        <v>33.68</v>
      </c>
      <c r="I208" s="95">
        <v>77.63</v>
      </c>
      <c r="J208" s="95">
        <v>89754.69</v>
      </c>
      <c r="K208" s="95">
        <v>68781.299999999988</v>
      </c>
      <c r="L208" s="95">
        <v>158535.99</v>
      </c>
      <c r="M208" s="96">
        <v>0.27529999999999999</v>
      </c>
      <c r="N208" s="95">
        <v>56.05</v>
      </c>
      <c r="O208" s="95">
        <v>42.95</v>
      </c>
      <c r="P208" s="95">
        <v>99</v>
      </c>
      <c r="Q208" s="95">
        <v>114465.31</v>
      </c>
      <c r="R208" s="95">
        <v>87712.49</v>
      </c>
      <c r="S208" s="95">
        <v>202177.8</v>
      </c>
    </row>
    <row r="209" spans="1:19" ht="15" x14ac:dyDescent="0.25">
      <c r="A209" s="90" t="s">
        <v>598</v>
      </c>
      <c r="B209" s="90" t="s">
        <v>45</v>
      </c>
      <c r="C209" s="98" t="s">
        <v>599</v>
      </c>
      <c r="D209" s="92" t="s">
        <v>600</v>
      </c>
      <c r="E209" s="90" t="s">
        <v>93</v>
      </c>
      <c r="F209" s="99">
        <v>242.6</v>
      </c>
      <c r="G209" s="94">
        <v>109.28</v>
      </c>
      <c r="H209" s="94">
        <v>3.88</v>
      </c>
      <c r="I209" s="95">
        <v>113.16</v>
      </c>
      <c r="J209" s="95">
        <v>26511.32</v>
      </c>
      <c r="K209" s="95">
        <v>941.29999999999927</v>
      </c>
      <c r="L209" s="95">
        <v>27452.62</v>
      </c>
      <c r="M209" s="96">
        <v>0.27529999999999999</v>
      </c>
      <c r="N209" s="95">
        <v>139.36000000000001</v>
      </c>
      <c r="O209" s="95">
        <v>4.95</v>
      </c>
      <c r="P209" s="95">
        <v>144.31</v>
      </c>
      <c r="Q209" s="95">
        <v>33808.74</v>
      </c>
      <c r="R209" s="95">
        <v>1200.8699999999999</v>
      </c>
      <c r="S209" s="95">
        <v>35009.61</v>
      </c>
    </row>
    <row r="210" spans="1:19" ht="15" x14ac:dyDescent="0.25">
      <c r="A210" s="90" t="s">
        <v>601</v>
      </c>
      <c r="B210" s="90" t="s">
        <v>45</v>
      </c>
      <c r="C210" s="98" t="s">
        <v>602</v>
      </c>
      <c r="D210" s="92" t="s">
        <v>603</v>
      </c>
      <c r="E210" s="90" t="s">
        <v>93</v>
      </c>
      <c r="F210" s="99">
        <v>1799.6</v>
      </c>
      <c r="G210" s="94">
        <v>243.84</v>
      </c>
      <c r="H210" s="94">
        <v>3.88</v>
      </c>
      <c r="I210" s="95">
        <v>247.72</v>
      </c>
      <c r="J210" s="95">
        <v>438814.46</v>
      </c>
      <c r="K210" s="95">
        <v>6982.4499999999534</v>
      </c>
      <c r="L210" s="95">
        <v>445796.91</v>
      </c>
      <c r="M210" s="96">
        <v>0.27529999999999999</v>
      </c>
      <c r="N210" s="95">
        <v>310.97000000000003</v>
      </c>
      <c r="O210" s="95">
        <v>4.95</v>
      </c>
      <c r="P210" s="95">
        <v>315.92</v>
      </c>
      <c r="Q210" s="95">
        <v>559621.61</v>
      </c>
      <c r="R210" s="95">
        <v>8908.02</v>
      </c>
      <c r="S210" s="95">
        <v>568529.63</v>
      </c>
    </row>
    <row r="211" spans="1:19" s="89" customFormat="1" x14ac:dyDescent="0.25">
      <c r="A211" s="82" t="s">
        <v>604</v>
      </c>
      <c r="B211" s="82"/>
      <c r="C211" s="83" t="s">
        <v>605</v>
      </c>
      <c r="D211" s="84"/>
      <c r="E211" s="85"/>
      <c r="F211" s="101"/>
      <c r="G211" s="87"/>
      <c r="H211" s="87"/>
      <c r="I211" s="88"/>
      <c r="J211" s="87">
        <v>1207433.21</v>
      </c>
      <c r="K211" s="87">
        <v>401968.79000000004</v>
      </c>
      <c r="L211" s="87">
        <v>1609402</v>
      </c>
      <c r="M211" s="87"/>
      <c r="N211" s="87"/>
      <c r="O211" s="87"/>
      <c r="P211" s="87"/>
      <c r="Q211" s="87">
        <v>1539791.7000000002</v>
      </c>
      <c r="R211" s="87">
        <v>512590.71</v>
      </c>
      <c r="S211" s="87">
        <v>2052382.4100000001</v>
      </c>
    </row>
    <row r="212" spans="1:19" ht="15" x14ac:dyDescent="0.25">
      <c r="A212" s="90" t="s">
        <v>606</v>
      </c>
      <c r="B212" s="90" t="s">
        <v>31</v>
      </c>
      <c r="C212" s="98" t="s">
        <v>607</v>
      </c>
      <c r="D212" s="92" t="s">
        <v>608</v>
      </c>
      <c r="E212" s="90" t="s">
        <v>34</v>
      </c>
      <c r="F212" s="99">
        <v>11193.72</v>
      </c>
      <c r="G212" s="94">
        <v>19.45</v>
      </c>
      <c r="H212" s="94">
        <v>15.56</v>
      </c>
      <c r="I212" s="95">
        <v>35.01</v>
      </c>
      <c r="J212" s="95">
        <v>217717.85</v>
      </c>
      <c r="K212" s="95">
        <v>174174.29</v>
      </c>
      <c r="L212" s="95">
        <v>391892.14</v>
      </c>
      <c r="M212" s="96">
        <v>0.27529999999999999</v>
      </c>
      <c r="N212" s="95">
        <v>24.8</v>
      </c>
      <c r="O212" s="95">
        <v>19.84</v>
      </c>
      <c r="P212" s="95">
        <v>44.64</v>
      </c>
      <c r="Q212" s="95">
        <v>277604.26</v>
      </c>
      <c r="R212" s="95">
        <v>222083.4</v>
      </c>
      <c r="S212" s="95">
        <v>499687.66000000003</v>
      </c>
    </row>
    <row r="213" spans="1:19" ht="15" x14ac:dyDescent="0.25">
      <c r="A213" s="90" t="s">
        <v>609</v>
      </c>
      <c r="B213" s="90" t="s">
        <v>31</v>
      </c>
      <c r="C213" s="98" t="s">
        <v>610</v>
      </c>
      <c r="D213" s="92" t="s">
        <v>611</v>
      </c>
      <c r="E213" s="90" t="s">
        <v>34</v>
      </c>
      <c r="F213" s="99">
        <v>5600</v>
      </c>
      <c r="G213" s="94">
        <v>32.5</v>
      </c>
      <c r="H213" s="94">
        <v>24.03</v>
      </c>
      <c r="I213" s="95">
        <v>56.53</v>
      </c>
      <c r="J213" s="95">
        <v>182000</v>
      </c>
      <c r="K213" s="95">
        <v>134568</v>
      </c>
      <c r="L213" s="95">
        <v>316568</v>
      </c>
      <c r="M213" s="96">
        <v>0.27529999999999999</v>
      </c>
      <c r="N213" s="95">
        <v>41.45</v>
      </c>
      <c r="O213" s="95">
        <v>30.65</v>
      </c>
      <c r="P213" s="95">
        <v>72.099999999999994</v>
      </c>
      <c r="Q213" s="95">
        <v>232120</v>
      </c>
      <c r="R213" s="95">
        <v>171640</v>
      </c>
      <c r="S213" s="95">
        <v>403760</v>
      </c>
    </row>
    <row r="214" spans="1:19" ht="15" x14ac:dyDescent="0.25">
      <c r="A214" s="90" t="s">
        <v>612</v>
      </c>
      <c r="B214" s="90" t="s">
        <v>31</v>
      </c>
      <c r="C214" s="98" t="s">
        <v>613</v>
      </c>
      <c r="D214" s="92" t="s">
        <v>614</v>
      </c>
      <c r="E214" s="90" t="s">
        <v>34</v>
      </c>
      <c r="F214" s="99">
        <v>5600</v>
      </c>
      <c r="G214" s="94">
        <v>26.06</v>
      </c>
      <c r="H214" s="94">
        <v>2.99</v>
      </c>
      <c r="I214" s="95">
        <v>29.049999999999997</v>
      </c>
      <c r="J214" s="95">
        <v>145936</v>
      </c>
      <c r="K214" s="95">
        <v>16744</v>
      </c>
      <c r="L214" s="95">
        <v>162680</v>
      </c>
      <c r="M214" s="96">
        <v>0.27529999999999999</v>
      </c>
      <c r="N214" s="95">
        <v>33.229999999999997</v>
      </c>
      <c r="O214" s="95">
        <v>3.81</v>
      </c>
      <c r="P214" s="95">
        <v>37.04</v>
      </c>
      <c r="Q214" s="95">
        <v>186088</v>
      </c>
      <c r="R214" s="95">
        <v>21336</v>
      </c>
      <c r="S214" s="95">
        <v>207424</v>
      </c>
    </row>
    <row r="215" spans="1:19" ht="15" x14ac:dyDescent="0.25">
      <c r="A215" s="90" t="s">
        <v>615</v>
      </c>
      <c r="B215" s="90" t="s">
        <v>31</v>
      </c>
      <c r="C215" s="98" t="s">
        <v>616</v>
      </c>
      <c r="D215" s="92" t="s">
        <v>617</v>
      </c>
      <c r="E215" s="90" t="s">
        <v>34</v>
      </c>
      <c r="F215" s="99">
        <v>5600</v>
      </c>
      <c r="G215" s="94">
        <v>24.77</v>
      </c>
      <c r="H215" s="94">
        <v>0</v>
      </c>
      <c r="I215" s="95">
        <v>24.77</v>
      </c>
      <c r="J215" s="95">
        <v>138712</v>
      </c>
      <c r="K215" s="95">
        <v>0</v>
      </c>
      <c r="L215" s="95">
        <v>138712</v>
      </c>
      <c r="M215" s="96">
        <v>0.27529999999999999</v>
      </c>
      <c r="N215" s="95">
        <v>31.59</v>
      </c>
      <c r="O215" s="95">
        <v>0</v>
      </c>
      <c r="P215" s="95">
        <v>31.59</v>
      </c>
      <c r="Q215" s="95">
        <v>176904</v>
      </c>
      <c r="R215" s="95">
        <v>0</v>
      </c>
      <c r="S215" s="95">
        <v>176904</v>
      </c>
    </row>
    <row r="216" spans="1:19" ht="15" x14ac:dyDescent="0.25">
      <c r="A216" s="90" t="s">
        <v>618</v>
      </c>
      <c r="B216" s="90" t="s">
        <v>31</v>
      </c>
      <c r="C216" s="98" t="s">
        <v>619</v>
      </c>
      <c r="D216" s="92" t="s">
        <v>620</v>
      </c>
      <c r="E216" s="90" t="s">
        <v>78</v>
      </c>
      <c r="F216" s="99">
        <v>119.24</v>
      </c>
      <c r="G216" s="94">
        <v>128.41999999999999</v>
      </c>
      <c r="H216" s="94">
        <v>0</v>
      </c>
      <c r="I216" s="95">
        <v>128.41999999999999</v>
      </c>
      <c r="J216" s="95">
        <v>15312.8</v>
      </c>
      <c r="K216" s="95">
        <v>0</v>
      </c>
      <c r="L216" s="95">
        <v>15312.8</v>
      </c>
      <c r="M216" s="96">
        <v>0.27529999999999999</v>
      </c>
      <c r="N216" s="95">
        <v>163.77000000000001</v>
      </c>
      <c r="O216" s="95">
        <v>0</v>
      </c>
      <c r="P216" s="95">
        <v>163.77000000000001</v>
      </c>
      <c r="Q216" s="95">
        <v>19527.93</v>
      </c>
      <c r="R216" s="95">
        <v>0</v>
      </c>
      <c r="S216" s="95">
        <v>19527.93</v>
      </c>
    </row>
    <row r="217" spans="1:19" ht="25.5" x14ac:dyDescent="0.25">
      <c r="A217" s="90" t="s">
        <v>621</v>
      </c>
      <c r="B217" s="90" t="s">
        <v>622</v>
      </c>
      <c r="C217" s="98" t="s">
        <v>623</v>
      </c>
      <c r="D217" s="92" t="s">
        <v>624</v>
      </c>
      <c r="E217" s="90" t="s">
        <v>249</v>
      </c>
      <c r="F217" s="99">
        <v>3072.82</v>
      </c>
      <c r="G217" s="94">
        <v>29.67</v>
      </c>
      <c r="H217" s="94">
        <v>24.89</v>
      </c>
      <c r="I217" s="95">
        <v>54.56</v>
      </c>
      <c r="J217" s="95">
        <v>91170.559999999998</v>
      </c>
      <c r="K217" s="95">
        <v>76482.5</v>
      </c>
      <c r="L217" s="95">
        <v>167653.06</v>
      </c>
      <c r="M217" s="96">
        <v>0.27529999999999999</v>
      </c>
      <c r="N217" s="95">
        <v>37.840000000000003</v>
      </c>
      <c r="O217" s="95">
        <v>31.74</v>
      </c>
      <c r="P217" s="95">
        <v>69.58</v>
      </c>
      <c r="Q217" s="95">
        <v>116275.51</v>
      </c>
      <c r="R217" s="95">
        <v>97531.31</v>
      </c>
      <c r="S217" s="95">
        <v>213806.82</v>
      </c>
    </row>
    <row r="218" spans="1:19" ht="15" x14ac:dyDescent="0.25">
      <c r="A218" s="90" t="s">
        <v>625</v>
      </c>
      <c r="B218" s="90" t="s">
        <v>104</v>
      </c>
      <c r="C218" s="98" t="s">
        <v>626</v>
      </c>
      <c r="D218" s="92" t="s">
        <v>627</v>
      </c>
      <c r="E218" s="90" t="s">
        <v>34</v>
      </c>
      <c r="F218" s="99">
        <v>5600</v>
      </c>
      <c r="G218" s="94">
        <v>74.39</v>
      </c>
      <c r="H218" s="94">
        <v>0</v>
      </c>
      <c r="I218" s="95">
        <v>74.39</v>
      </c>
      <c r="J218" s="95">
        <v>416584</v>
      </c>
      <c r="K218" s="95">
        <v>0</v>
      </c>
      <c r="L218" s="95">
        <v>416584</v>
      </c>
      <c r="M218" s="96">
        <v>0.27529999999999999</v>
      </c>
      <c r="N218" s="95">
        <v>94.87</v>
      </c>
      <c r="O218" s="95">
        <v>0</v>
      </c>
      <c r="P218" s="95">
        <v>94.87</v>
      </c>
      <c r="Q218" s="95">
        <v>531272</v>
      </c>
      <c r="R218" s="95">
        <v>0</v>
      </c>
      <c r="S218" s="95">
        <v>531272</v>
      </c>
    </row>
    <row r="219" spans="1:19" s="89" customFormat="1" x14ac:dyDescent="0.25">
      <c r="A219" s="82" t="s">
        <v>628</v>
      </c>
      <c r="B219" s="82"/>
      <c r="C219" s="83" t="s">
        <v>629</v>
      </c>
      <c r="D219" s="84"/>
      <c r="E219" s="85"/>
      <c r="F219" s="101"/>
      <c r="G219" s="87"/>
      <c r="H219" s="87"/>
      <c r="I219" s="88"/>
      <c r="J219" s="87">
        <v>5592405.8099999996</v>
      </c>
      <c r="K219" s="87">
        <v>1711210.0900000003</v>
      </c>
      <c r="L219" s="87">
        <v>7303615.9000000004</v>
      </c>
      <c r="M219" s="87"/>
      <c r="N219" s="87"/>
      <c r="O219" s="87"/>
      <c r="P219" s="87"/>
      <c r="Q219" s="87">
        <v>7132009.5300000003</v>
      </c>
      <c r="R219" s="87">
        <v>2182321.3099999996</v>
      </c>
      <c r="S219" s="87">
        <v>9314330.8399999999</v>
      </c>
    </row>
    <row r="220" spans="1:19" ht="25.5" x14ac:dyDescent="0.25">
      <c r="A220" s="90" t="s">
        <v>630</v>
      </c>
      <c r="B220" s="90" t="s">
        <v>31</v>
      </c>
      <c r="C220" s="98" t="s">
        <v>631</v>
      </c>
      <c r="D220" s="92" t="s">
        <v>632</v>
      </c>
      <c r="E220" s="90" t="s">
        <v>34</v>
      </c>
      <c r="F220" s="99">
        <v>21352.54</v>
      </c>
      <c r="G220" s="94">
        <v>45.3</v>
      </c>
      <c r="H220" s="94">
        <v>26.69</v>
      </c>
      <c r="I220" s="95">
        <v>71.989999999999995</v>
      </c>
      <c r="J220" s="95">
        <v>967270.06</v>
      </c>
      <c r="K220" s="95">
        <v>569899.29</v>
      </c>
      <c r="L220" s="95">
        <v>1537169.35</v>
      </c>
      <c r="M220" s="96">
        <v>0.27529999999999999</v>
      </c>
      <c r="N220" s="95">
        <v>57.77</v>
      </c>
      <c r="O220" s="95">
        <v>34.04</v>
      </c>
      <c r="P220" s="95">
        <v>91.81</v>
      </c>
      <c r="Q220" s="95">
        <v>1233536.24</v>
      </c>
      <c r="R220" s="95">
        <v>726840.46</v>
      </c>
      <c r="S220" s="95">
        <v>1960376.7</v>
      </c>
    </row>
    <row r="221" spans="1:19" ht="15" x14ac:dyDescent="0.25">
      <c r="A221" s="90" t="s">
        <v>633</v>
      </c>
      <c r="B221" s="90" t="s">
        <v>31</v>
      </c>
      <c r="C221" s="98" t="s">
        <v>634</v>
      </c>
      <c r="D221" s="92" t="s">
        <v>635</v>
      </c>
      <c r="E221" s="90" t="s">
        <v>34</v>
      </c>
      <c r="F221" s="99">
        <v>21573</v>
      </c>
      <c r="G221" s="94">
        <v>65.42</v>
      </c>
      <c r="H221" s="94">
        <v>31.03</v>
      </c>
      <c r="I221" s="95">
        <v>96.45</v>
      </c>
      <c r="J221" s="95">
        <v>1411305.66</v>
      </c>
      <c r="K221" s="95">
        <v>669410.19000000018</v>
      </c>
      <c r="L221" s="95">
        <v>2080715.85</v>
      </c>
      <c r="M221" s="96">
        <v>0.27529999999999999</v>
      </c>
      <c r="N221" s="95">
        <v>83.43</v>
      </c>
      <c r="O221" s="95">
        <v>39.57</v>
      </c>
      <c r="P221" s="95">
        <v>123</v>
      </c>
      <c r="Q221" s="95">
        <v>1799835.39</v>
      </c>
      <c r="R221" s="95">
        <v>853643.61</v>
      </c>
      <c r="S221" s="95">
        <v>2653479</v>
      </c>
    </row>
    <row r="222" spans="1:19" ht="15" x14ac:dyDescent="0.25">
      <c r="A222" s="90" t="s">
        <v>636</v>
      </c>
      <c r="B222" s="90" t="s">
        <v>104</v>
      </c>
      <c r="C222" s="98" t="s">
        <v>637</v>
      </c>
      <c r="D222" s="92" t="s">
        <v>638</v>
      </c>
      <c r="E222" s="90" t="s">
        <v>34</v>
      </c>
      <c r="F222" s="99">
        <v>6892.14</v>
      </c>
      <c r="G222" s="94">
        <v>231.27</v>
      </c>
      <c r="H222" s="94">
        <v>48.12</v>
      </c>
      <c r="I222" s="95">
        <v>279.39</v>
      </c>
      <c r="J222" s="95">
        <v>1593945.21</v>
      </c>
      <c r="K222" s="95">
        <v>331649.78000000003</v>
      </c>
      <c r="L222" s="95">
        <v>1925594.99</v>
      </c>
      <c r="M222" s="96">
        <v>0.27529999999999999</v>
      </c>
      <c r="N222" s="95">
        <v>294.94</v>
      </c>
      <c r="O222" s="95">
        <v>61.37</v>
      </c>
      <c r="P222" s="95">
        <v>356.31</v>
      </c>
      <c r="Q222" s="95">
        <v>2032767.77</v>
      </c>
      <c r="R222" s="95">
        <v>422970.63</v>
      </c>
      <c r="S222" s="95">
        <v>2455738.4</v>
      </c>
    </row>
    <row r="223" spans="1:19" ht="15" x14ac:dyDescent="0.25">
      <c r="A223" s="90" t="s">
        <v>639</v>
      </c>
      <c r="B223" s="90" t="s">
        <v>31</v>
      </c>
      <c r="C223" s="98" t="s">
        <v>640</v>
      </c>
      <c r="D223" s="92" t="s">
        <v>641</v>
      </c>
      <c r="E223" s="90" t="s">
        <v>93</v>
      </c>
      <c r="F223" s="99">
        <v>7649.61</v>
      </c>
      <c r="G223" s="94">
        <v>12.78</v>
      </c>
      <c r="H223" s="94">
        <v>1.29</v>
      </c>
      <c r="I223" s="95">
        <v>14.07</v>
      </c>
      <c r="J223" s="95">
        <v>97762.01</v>
      </c>
      <c r="K223" s="95">
        <v>9868</v>
      </c>
      <c r="L223" s="95">
        <v>107630.01</v>
      </c>
      <c r="M223" s="96">
        <v>0.27529999999999999</v>
      </c>
      <c r="N223" s="95">
        <v>16.3</v>
      </c>
      <c r="O223" s="95">
        <v>1.65</v>
      </c>
      <c r="P223" s="95">
        <v>17.95</v>
      </c>
      <c r="Q223" s="95">
        <v>124688.64</v>
      </c>
      <c r="R223" s="95">
        <v>12621.86</v>
      </c>
      <c r="S223" s="95">
        <v>137310.5</v>
      </c>
    </row>
    <row r="224" spans="1:19" ht="15" x14ac:dyDescent="0.25">
      <c r="A224" s="90" t="s">
        <v>642</v>
      </c>
      <c r="B224" s="90" t="s">
        <v>31</v>
      </c>
      <c r="C224" s="98" t="s">
        <v>643</v>
      </c>
      <c r="D224" s="92" t="s">
        <v>644</v>
      </c>
      <c r="E224" s="90" t="s">
        <v>93</v>
      </c>
      <c r="F224" s="99">
        <v>4049.45</v>
      </c>
      <c r="G224" s="94">
        <v>54.98</v>
      </c>
      <c r="H224" s="94">
        <v>25.08</v>
      </c>
      <c r="I224" s="95">
        <v>80.06</v>
      </c>
      <c r="J224" s="95">
        <v>222638.76</v>
      </c>
      <c r="K224" s="95">
        <v>101560.20999999996</v>
      </c>
      <c r="L224" s="95">
        <v>324198.96999999997</v>
      </c>
      <c r="M224" s="96">
        <v>0.27529999999999999</v>
      </c>
      <c r="N224" s="95">
        <v>70.12</v>
      </c>
      <c r="O224" s="95">
        <v>31.98</v>
      </c>
      <c r="P224" s="95">
        <v>102.10000000000001</v>
      </c>
      <c r="Q224" s="95">
        <v>283947.43</v>
      </c>
      <c r="R224" s="95">
        <v>129501.41</v>
      </c>
      <c r="S224" s="95">
        <v>413448.83999999997</v>
      </c>
    </row>
    <row r="225" spans="1:19" ht="15" x14ac:dyDescent="0.25">
      <c r="A225" s="90" t="s">
        <v>645</v>
      </c>
      <c r="B225" s="90" t="s">
        <v>31</v>
      </c>
      <c r="C225" s="98" t="s">
        <v>646</v>
      </c>
      <c r="D225" s="92" t="s">
        <v>647</v>
      </c>
      <c r="E225" s="90" t="s">
        <v>93</v>
      </c>
      <c r="F225" s="99">
        <v>3667</v>
      </c>
      <c r="G225" s="94">
        <v>38.97</v>
      </c>
      <c r="H225" s="94">
        <v>7.86</v>
      </c>
      <c r="I225" s="95">
        <v>46.83</v>
      </c>
      <c r="J225" s="95">
        <v>142902.99</v>
      </c>
      <c r="K225" s="95">
        <v>28822.619999999995</v>
      </c>
      <c r="L225" s="95">
        <v>171725.61</v>
      </c>
      <c r="M225" s="96">
        <v>0.27529999999999999</v>
      </c>
      <c r="N225" s="95">
        <v>49.7</v>
      </c>
      <c r="O225" s="95">
        <v>10.02</v>
      </c>
      <c r="P225" s="95">
        <v>59.72</v>
      </c>
      <c r="Q225" s="95">
        <v>182249.9</v>
      </c>
      <c r="R225" s="95">
        <v>36743.339999999997</v>
      </c>
      <c r="S225" s="95">
        <v>218993.24</v>
      </c>
    </row>
    <row r="226" spans="1:19" ht="15" x14ac:dyDescent="0.25">
      <c r="A226" s="90" t="s">
        <v>648</v>
      </c>
      <c r="B226" s="90" t="s">
        <v>45</v>
      </c>
      <c r="C226" s="98" t="s">
        <v>649</v>
      </c>
      <c r="D226" s="92" t="s">
        <v>650</v>
      </c>
      <c r="E226" s="90" t="s">
        <v>34</v>
      </c>
      <c r="F226" s="99">
        <v>1384</v>
      </c>
      <c r="G226" s="94">
        <v>835.68</v>
      </c>
      <c r="H226" s="94">
        <v>0</v>
      </c>
      <c r="I226" s="95">
        <v>835.68</v>
      </c>
      <c r="J226" s="95">
        <v>1156581.1200000001</v>
      </c>
      <c r="K226" s="95">
        <v>0</v>
      </c>
      <c r="L226" s="95">
        <v>1156581.1200000001</v>
      </c>
      <c r="M226" s="96">
        <v>0.27529999999999999</v>
      </c>
      <c r="N226" s="95">
        <v>1065.74</v>
      </c>
      <c r="O226" s="95">
        <v>0</v>
      </c>
      <c r="P226" s="95">
        <v>1065.74</v>
      </c>
      <c r="Q226" s="95">
        <v>1474984.16</v>
      </c>
      <c r="R226" s="95">
        <v>0</v>
      </c>
      <c r="S226" s="95">
        <v>1474984.16</v>
      </c>
    </row>
    <row r="227" spans="1:19" s="89" customFormat="1" x14ac:dyDescent="0.25">
      <c r="A227" s="82" t="s">
        <v>651</v>
      </c>
      <c r="B227" s="82"/>
      <c r="C227" s="83" t="s">
        <v>652</v>
      </c>
      <c r="D227" s="84"/>
      <c r="E227" s="85"/>
      <c r="F227" s="101"/>
      <c r="G227" s="87"/>
      <c r="H227" s="87"/>
      <c r="I227" s="88"/>
      <c r="J227" s="87">
        <v>4323202.93</v>
      </c>
      <c r="K227" s="87">
        <v>62515.840000000055</v>
      </c>
      <c r="L227" s="87">
        <v>4385718.7699999996</v>
      </c>
      <c r="M227" s="87"/>
      <c r="N227" s="87"/>
      <c r="O227" s="87"/>
      <c r="P227" s="87"/>
      <c r="Q227" s="87">
        <v>5513337.1700000009</v>
      </c>
      <c r="R227" s="87">
        <v>79689.790000000008</v>
      </c>
      <c r="S227" s="87">
        <v>5593026.9600000009</v>
      </c>
    </row>
    <row r="228" spans="1:19" ht="15" x14ac:dyDescent="0.25">
      <c r="A228" s="90" t="s">
        <v>653</v>
      </c>
      <c r="B228" s="90" t="s">
        <v>31</v>
      </c>
      <c r="C228" s="98" t="s">
        <v>654</v>
      </c>
      <c r="D228" s="92" t="s">
        <v>655</v>
      </c>
      <c r="E228" s="90" t="s">
        <v>93</v>
      </c>
      <c r="F228" s="99">
        <v>3257.14</v>
      </c>
      <c r="G228" s="94">
        <v>30.74</v>
      </c>
      <c r="H228" s="94">
        <v>2.0699999999999998</v>
      </c>
      <c r="I228" s="95">
        <v>32.809999999999995</v>
      </c>
      <c r="J228" s="95">
        <v>100124.48</v>
      </c>
      <c r="K228" s="95">
        <v>6742.2799999999988</v>
      </c>
      <c r="L228" s="95">
        <v>106866.76</v>
      </c>
      <c r="M228" s="96">
        <v>0.27529999999999999</v>
      </c>
      <c r="N228" s="95">
        <v>39.200000000000003</v>
      </c>
      <c r="O228" s="95">
        <v>2.64</v>
      </c>
      <c r="P228" s="95">
        <v>41.84</v>
      </c>
      <c r="Q228" s="95">
        <v>127679.89</v>
      </c>
      <c r="R228" s="95">
        <v>8598.85</v>
      </c>
      <c r="S228" s="95">
        <v>136278.74</v>
      </c>
    </row>
    <row r="229" spans="1:19" ht="15" x14ac:dyDescent="0.25">
      <c r="A229" s="90" t="s">
        <v>656</v>
      </c>
      <c r="B229" s="90" t="s">
        <v>45</v>
      </c>
      <c r="C229" s="98" t="s">
        <v>657</v>
      </c>
      <c r="D229" s="92" t="s">
        <v>658</v>
      </c>
      <c r="E229" s="90" t="s">
        <v>34</v>
      </c>
      <c r="F229" s="99">
        <v>15481</v>
      </c>
      <c r="G229" s="94">
        <v>32.840000000000003</v>
      </c>
      <c r="H229" s="94">
        <v>3.06</v>
      </c>
      <c r="I229" s="95">
        <v>35.900000000000006</v>
      </c>
      <c r="J229" s="95">
        <v>508396.04</v>
      </c>
      <c r="K229" s="95">
        <v>47371.860000000044</v>
      </c>
      <c r="L229" s="95">
        <v>555767.9</v>
      </c>
      <c r="M229" s="96">
        <v>0.27529999999999999</v>
      </c>
      <c r="N229" s="95">
        <v>41.88</v>
      </c>
      <c r="O229" s="95">
        <v>3.9</v>
      </c>
      <c r="P229" s="95">
        <v>45.78</v>
      </c>
      <c r="Q229" s="95">
        <v>648344.28</v>
      </c>
      <c r="R229" s="95">
        <v>60375.9</v>
      </c>
      <c r="S229" s="95">
        <v>708720.18</v>
      </c>
    </row>
    <row r="230" spans="1:19" ht="15" x14ac:dyDescent="0.25">
      <c r="A230" s="90" t="s">
        <v>659</v>
      </c>
      <c r="B230" s="90" t="s">
        <v>108</v>
      </c>
      <c r="C230" s="98" t="s">
        <v>660</v>
      </c>
      <c r="D230" s="92" t="s">
        <v>661</v>
      </c>
      <c r="E230" s="90" t="s">
        <v>34</v>
      </c>
      <c r="F230" s="99">
        <v>2224.6799999999998</v>
      </c>
      <c r="G230" s="94">
        <v>235.89</v>
      </c>
      <c r="H230" s="94">
        <v>0</v>
      </c>
      <c r="I230" s="95">
        <v>235.89</v>
      </c>
      <c r="J230" s="95">
        <v>524779.76</v>
      </c>
      <c r="K230" s="95">
        <v>1.0000000009313226E-2</v>
      </c>
      <c r="L230" s="95">
        <v>524779.77</v>
      </c>
      <c r="M230" s="96">
        <v>0.27529999999999999</v>
      </c>
      <c r="N230" s="95">
        <v>300.83</v>
      </c>
      <c r="O230" s="95">
        <v>0</v>
      </c>
      <c r="P230" s="95">
        <v>300.83</v>
      </c>
      <c r="Q230" s="95">
        <v>669250.48</v>
      </c>
      <c r="R230" s="95">
        <v>0</v>
      </c>
      <c r="S230" s="95">
        <v>669250.48</v>
      </c>
    </row>
    <row r="231" spans="1:19" ht="15" x14ac:dyDescent="0.25">
      <c r="A231" s="90" t="s">
        <v>662</v>
      </c>
      <c r="B231" s="90" t="s">
        <v>45</v>
      </c>
      <c r="C231" s="98" t="s">
        <v>663</v>
      </c>
      <c r="D231" s="92" t="s">
        <v>664</v>
      </c>
      <c r="E231" s="90" t="s">
        <v>34</v>
      </c>
      <c r="F231" s="99">
        <v>13633.37</v>
      </c>
      <c r="G231" s="94">
        <v>158.63</v>
      </c>
      <c r="H231" s="94">
        <v>0</v>
      </c>
      <c r="I231" s="95">
        <v>158.63</v>
      </c>
      <c r="J231" s="95">
        <v>2162661.48</v>
      </c>
      <c r="K231" s="95">
        <v>0</v>
      </c>
      <c r="L231" s="95">
        <v>2162661.48</v>
      </c>
      <c r="M231" s="96">
        <v>0.27529999999999999</v>
      </c>
      <c r="N231" s="95">
        <v>202.3</v>
      </c>
      <c r="O231" s="95">
        <v>0</v>
      </c>
      <c r="P231" s="95">
        <v>202.3</v>
      </c>
      <c r="Q231" s="95">
        <v>2758030.75</v>
      </c>
      <c r="R231" s="95">
        <v>0</v>
      </c>
      <c r="S231" s="95">
        <v>2758030.75</v>
      </c>
    </row>
    <row r="232" spans="1:19" ht="15" x14ac:dyDescent="0.25">
      <c r="A232" s="90" t="s">
        <v>665</v>
      </c>
      <c r="B232" s="90" t="s">
        <v>45</v>
      </c>
      <c r="C232" s="98" t="s">
        <v>666</v>
      </c>
      <c r="D232" s="92" t="s">
        <v>667</v>
      </c>
      <c r="E232" s="90" t="s">
        <v>34</v>
      </c>
      <c r="F232" s="99">
        <v>4072.3</v>
      </c>
      <c r="G232" s="94">
        <v>233.39</v>
      </c>
      <c r="H232" s="94">
        <v>0</v>
      </c>
      <c r="I232" s="95">
        <v>233.39</v>
      </c>
      <c r="J232" s="95">
        <v>950434.09</v>
      </c>
      <c r="K232" s="95">
        <v>1.0000000009313226E-2</v>
      </c>
      <c r="L232" s="95">
        <v>950434.1</v>
      </c>
      <c r="M232" s="96">
        <v>0.27529999999999999</v>
      </c>
      <c r="N232" s="95">
        <v>297.64</v>
      </c>
      <c r="O232" s="95">
        <v>0</v>
      </c>
      <c r="P232" s="95">
        <v>297.64</v>
      </c>
      <c r="Q232" s="95">
        <v>1212079.3700000001</v>
      </c>
      <c r="R232" s="95">
        <v>0</v>
      </c>
      <c r="S232" s="95">
        <v>1212079.3700000001</v>
      </c>
    </row>
    <row r="233" spans="1:19" ht="15" x14ac:dyDescent="0.25">
      <c r="A233" s="90" t="s">
        <v>668</v>
      </c>
      <c r="B233" s="90" t="s">
        <v>184</v>
      </c>
      <c r="C233" s="98" t="s">
        <v>669</v>
      </c>
      <c r="D233" s="92" t="s">
        <v>670</v>
      </c>
      <c r="E233" s="90" t="s">
        <v>34</v>
      </c>
      <c r="F233" s="99">
        <v>252</v>
      </c>
      <c r="G233" s="94">
        <v>304.79000000000002</v>
      </c>
      <c r="H233" s="94">
        <v>33.340000000000003</v>
      </c>
      <c r="I233" s="95">
        <v>338.13</v>
      </c>
      <c r="J233" s="95">
        <v>76807.08</v>
      </c>
      <c r="K233" s="95">
        <v>8401.679999999993</v>
      </c>
      <c r="L233" s="95">
        <v>85208.76</v>
      </c>
      <c r="M233" s="96">
        <v>0.27529999999999999</v>
      </c>
      <c r="N233" s="95">
        <v>388.7</v>
      </c>
      <c r="O233" s="95">
        <v>42.52</v>
      </c>
      <c r="P233" s="95">
        <v>431.21999999999997</v>
      </c>
      <c r="Q233" s="95">
        <v>97952.4</v>
      </c>
      <c r="R233" s="95">
        <v>10715.04</v>
      </c>
      <c r="S233" s="95">
        <v>108667.44</v>
      </c>
    </row>
    <row r="234" spans="1:19" s="89" customFormat="1" x14ac:dyDescent="0.25">
      <c r="A234" s="82" t="s">
        <v>671</v>
      </c>
      <c r="B234" s="82"/>
      <c r="C234" s="83" t="s">
        <v>672</v>
      </c>
      <c r="D234" s="84"/>
      <c r="E234" s="85"/>
      <c r="F234" s="101"/>
      <c r="G234" s="87"/>
      <c r="H234" s="87"/>
      <c r="I234" s="88"/>
      <c r="J234" s="87">
        <v>3002401.3299999996</v>
      </c>
      <c r="K234" s="87">
        <v>1274907.4399999995</v>
      </c>
      <c r="L234" s="87">
        <v>4277308.7699999996</v>
      </c>
      <c r="M234" s="87"/>
      <c r="N234" s="87"/>
      <c r="O234" s="87"/>
      <c r="P234" s="87"/>
      <c r="Q234" s="87">
        <v>3828989.5900000003</v>
      </c>
      <c r="R234" s="87">
        <v>1626283.96</v>
      </c>
      <c r="S234" s="87">
        <v>5455273.5500000007</v>
      </c>
    </row>
    <row r="235" spans="1:19" ht="15" x14ac:dyDescent="0.25">
      <c r="A235" s="90" t="s">
        <v>673</v>
      </c>
      <c r="B235" s="90" t="s">
        <v>31</v>
      </c>
      <c r="C235" s="98" t="s">
        <v>674</v>
      </c>
      <c r="D235" s="92" t="s">
        <v>675</v>
      </c>
      <c r="E235" s="90" t="s">
        <v>34</v>
      </c>
      <c r="F235" s="99">
        <v>17826.54</v>
      </c>
      <c r="G235" s="94">
        <v>2.4900000000000002</v>
      </c>
      <c r="H235" s="94">
        <v>2.2599999999999998</v>
      </c>
      <c r="I235" s="95">
        <v>4.75</v>
      </c>
      <c r="J235" s="95">
        <v>44388.08</v>
      </c>
      <c r="K235" s="95">
        <v>40287.990000000005</v>
      </c>
      <c r="L235" s="95">
        <v>84676.07</v>
      </c>
      <c r="M235" s="96">
        <v>0.27529999999999999</v>
      </c>
      <c r="N235" s="95">
        <v>3.18</v>
      </c>
      <c r="O235" s="95">
        <v>2.88</v>
      </c>
      <c r="P235" s="95">
        <v>6.0600000000000005</v>
      </c>
      <c r="Q235" s="95">
        <v>56688.4</v>
      </c>
      <c r="R235" s="95">
        <v>51340.44</v>
      </c>
      <c r="S235" s="95">
        <v>108028.84</v>
      </c>
    </row>
    <row r="236" spans="1:19" ht="25.5" x14ac:dyDescent="0.25">
      <c r="A236" s="90" t="s">
        <v>676</v>
      </c>
      <c r="B236" s="90" t="s">
        <v>31</v>
      </c>
      <c r="C236" s="98" t="s">
        <v>677</v>
      </c>
      <c r="D236" s="92" t="s">
        <v>678</v>
      </c>
      <c r="E236" s="90" t="s">
        <v>34</v>
      </c>
      <c r="F236" s="99">
        <v>17826.54</v>
      </c>
      <c r="G236" s="94">
        <v>22.41</v>
      </c>
      <c r="H236" s="94">
        <v>17.190000000000001</v>
      </c>
      <c r="I236" s="95">
        <v>39.6</v>
      </c>
      <c r="J236" s="95">
        <v>399492.76</v>
      </c>
      <c r="K236" s="95">
        <v>306438.21999999997</v>
      </c>
      <c r="L236" s="95">
        <v>705930.98</v>
      </c>
      <c r="M236" s="96">
        <v>0.27529999999999999</v>
      </c>
      <c r="N236" s="95">
        <v>28.58</v>
      </c>
      <c r="O236" s="95">
        <v>21.92</v>
      </c>
      <c r="P236" s="95">
        <v>50.5</v>
      </c>
      <c r="Q236" s="95">
        <v>509482.51</v>
      </c>
      <c r="R236" s="95">
        <v>390757.76</v>
      </c>
      <c r="S236" s="95">
        <v>900240.27</v>
      </c>
    </row>
    <row r="237" spans="1:19" ht="25.5" x14ac:dyDescent="0.25">
      <c r="A237" s="90" t="s">
        <v>679</v>
      </c>
      <c r="B237" s="90" t="s">
        <v>31</v>
      </c>
      <c r="C237" s="98" t="s">
        <v>680</v>
      </c>
      <c r="D237" s="92" t="s">
        <v>681</v>
      </c>
      <c r="E237" s="90" t="s">
        <v>34</v>
      </c>
      <c r="F237" s="99">
        <v>10152.34</v>
      </c>
      <c r="G237" s="94">
        <v>63.97</v>
      </c>
      <c r="H237" s="94">
        <v>8.4700000000000006</v>
      </c>
      <c r="I237" s="95">
        <v>72.44</v>
      </c>
      <c r="J237" s="95">
        <v>649445.18000000005</v>
      </c>
      <c r="K237" s="95">
        <v>85990.329999999958</v>
      </c>
      <c r="L237" s="95">
        <v>735435.51</v>
      </c>
      <c r="M237" s="96">
        <v>0.27529999999999999</v>
      </c>
      <c r="N237" s="95">
        <v>81.58</v>
      </c>
      <c r="O237" s="95">
        <v>10.8</v>
      </c>
      <c r="P237" s="95">
        <v>92.38</v>
      </c>
      <c r="Q237" s="95">
        <v>828227.9</v>
      </c>
      <c r="R237" s="95">
        <v>109645.27</v>
      </c>
      <c r="S237" s="95">
        <v>937873.17</v>
      </c>
    </row>
    <row r="238" spans="1:19" ht="25.5" x14ac:dyDescent="0.25">
      <c r="A238" s="90" t="s">
        <v>682</v>
      </c>
      <c r="B238" s="90" t="s">
        <v>31</v>
      </c>
      <c r="C238" s="98" t="s">
        <v>683</v>
      </c>
      <c r="D238" s="92" t="s">
        <v>684</v>
      </c>
      <c r="E238" s="90" t="s">
        <v>34</v>
      </c>
      <c r="F238" s="99">
        <v>6295.17</v>
      </c>
      <c r="G238" s="94">
        <v>120.21</v>
      </c>
      <c r="H238" s="94">
        <v>14.42</v>
      </c>
      <c r="I238" s="95">
        <v>134.63</v>
      </c>
      <c r="J238" s="95">
        <v>756742.38</v>
      </c>
      <c r="K238" s="95">
        <v>90776.359999999986</v>
      </c>
      <c r="L238" s="95">
        <v>847518.74</v>
      </c>
      <c r="M238" s="96">
        <v>0.27529999999999999</v>
      </c>
      <c r="N238" s="95">
        <v>153.30000000000001</v>
      </c>
      <c r="O238" s="95">
        <v>18.39</v>
      </c>
      <c r="P238" s="95">
        <v>171.69</v>
      </c>
      <c r="Q238" s="95">
        <v>965049.56</v>
      </c>
      <c r="R238" s="95">
        <v>115768.18</v>
      </c>
      <c r="S238" s="95">
        <v>1080817.74</v>
      </c>
    </row>
    <row r="239" spans="1:19" ht="25.5" x14ac:dyDescent="0.25">
      <c r="A239" s="90" t="s">
        <v>685</v>
      </c>
      <c r="B239" s="90" t="s">
        <v>31</v>
      </c>
      <c r="C239" s="98" t="s">
        <v>686</v>
      </c>
      <c r="D239" s="92" t="s">
        <v>687</v>
      </c>
      <c r="E239" s="90" t="s">
        <v>34</v>
      </c>
      <c r="F239" s="99">
        <v>63.17</v>
      </c>
      <c r="G239" s="94">
        <v>181.6</v>
      </c>
      <c r="H239" s="94">
        <v>5.0999999999999996</v>
      </c>
      <c r="I239" s="95">
        <v>186.7</v>
      </c>
      <c r="J239" s="95">
        <v>11471.67</v>
      </c>
      <c r="K239" s="95">
        <v>322.17000000000007</v>
      </c>
      <c r="L239" s="95">
        <v>11793.84</v>
      </c>
      <c r="M239" s="96">
        <v>0.27529999999999999</v>
      </c>
      <c r="N239" s="95">
        <v>231.59</v>
      </c>
      <c r="O239" s="95">
        <v>6.5</v>
      </c>
      <c r="P239" s="95">
        <v>238.09</v>
      </c>
      <c r="Q239" s="95">
        <v>14629.54</v>
      </c>
      <c r="R239" s="95">
        <v>410.61</v>
      </c>
      <c r="S239" s="95">
        <v>15040.150000000001</v>
      </c>
    </row>
    <row r="240" spans="1:19" ht="15" x14ac:dyDescent="0.25">
      <c r="A240" s="90" t="s">
        <v>688</v>
      </c>
      <c r="B240" s="90" t="s">
        <v>31</v>
      </c>
      <c r="C240" s="98" t="s">
        <v>689</v>
      </c>
      <c r="D240" s="92" t="s">
        <v>690</v>
      </c>
      <c r="E240" s="90" t="s">
        <v>34</v>
      </c>
      <c r="F240" s="99">
        <v>83123.320000000007</v>
      </c>
      <c r="G240" s="94">
        <v>2.82</v>
      </c>
      <c r="H240" s="94">
        <v>1.8</v>
      </c>
      <c r="I240" s="95">
        <v>4.62</v>
      </c>
      <c r="J240" s="95">
        <v>234407.76</v>
      </c>
      <c r="K240" s="95">
        <v>149621.97999999998</v>
      </c>
      <c r="L240" s="95">
        <v>384029.74</v>
      </c>
      <c r="M240" s="96">
        <v>0.27529999999999999</v>
      </c>
      <c r="N240" s="95">
        <v>3.6</v>
      </c>
      <c r="O240" s="95">
        <v>2.2999999999999998</v>
      </c>
      <c r="P240" s="95">
        <v>5.9</v>
      </c>
      <c r="Q240" s="95">
        <v>299243.95</v>
      </c>
      <c r="R240" s="95">
        <v>191183.64</v>
      </c>
      <c r="S240" s="95">
        <v>490427.59</v>
      </c>
    </row>
    <row r="241" spans="1:19" ht="15" x14ac:dyDescent="0.25">
      <c r="A241" s="90" t="s">
        <v>691</v>
      </c>
      <c r="B241" s="90" t="s">
        <v>31</v>
      </c>
      <c r="C241" s="98" t="s">
        <v>692</v>
      </c>
      <c r="D241" s="92" t="s">
        <v>693</v>
      </c>
      <c r="E241" s="90" t="s">
        <v>34</v>
      </c>
      <c r="F241" s="99">
        <v>23254.33</v>
      </c>
      <c r="G241" s="94">
        <v>7.69</v>
      </c>
      <c r="H241" s="94">
        <v>9.83</v>
      </c>
      <c r="I241" s="95">
        <v>17.52</v>
      </c>
      <c r="J241" s="95">
        <v>178825.79</v>
      </c>
      <c r="K241" s="95">
        <v>228590.06999999998</v>
      </c>
      <c r="L241" s="95">
        <v>407415.86</v>
      </c>
      <c r="M241" s="96">
        <v>0.27529999999999999</v>
      </c>
      <c r="N241" s="95">
        <v>9.81</v>
      </c>
      <c r="O241" s="95">
        <v>12.54</v>
      </c>
      <c r="P241" s="95">
        <v>22.35</v>
      </c>
      <c r="Q241" s="95">
        <v>228124.98</v>
      </c>
      <c r="R241" s="95">
        <v>291609.3</v>
      </c>
      <c r="S241" s="95">
        <v>519734.28</v>
      </c>
    </row>
    <row r="242" spans="1:19" ht="15" x14ac:dyDescent="0.25">
      <c r="A242" s="90" t="s">
        <v>694</v>
      </c>
      <c r="B242" s="90" t="s">
        <v>31</v>
      </c>
      <c r="C242" s="98" t="s">
        <v>695</v>
      </c>
      <c r="D242" s="92" t="s">
        <v>696</v>
      </c>
      <c r="E242" s="90" t="s">
        <v>34</v>
      </c>
      <c r="F242" s="99">
        <v>83123.320000000007</v>
      </c>
      <c r="G242" s="94">
        <v>8.59</v>
      </c>
      <c r="H242" s="94">
        <v>4.43</v>
      </c>
      <c r="I242" s="95">
        <v>13.02</v>
      </c>
      <c r="J242" s="95">
        <v>714029.31</v>
      </c>
      <c r="K242" s="95">
        <v>368236.31999999983</v>
      </c>
      <c r="L242" s="95">
        <v>1082265.6299999999</v>
      </c>
      <c r="M242" s="96">
        <v>0.27529999999999999</v>
      </c>
      <c r="N242" s="95">
        <v>10.95</v>
      </c>
      <c r="O242" s="95">
        <v>5.65</v>
      </c>
      <c r="P242" s="95">
        <v>16.600000000000001</v>
      </c>
      <c r="Q242" s="95">
        <v>910200.35</v>
      </c>
      <c r="R242" s="95">
        <v>469646.76</v>
      </c>
      <c r="S242" s="95">
        <v>1379847.1099999999</v>
      </c>
    </row>
    <row r="243" spans="1:19" ht="15" x14ac:dyDescent="0.25">
      <c r="A243" s="90" t="s">
        <v>697</v>
      </c>
      <c r="B243" s="90" t="s">
        <v>184</v>
      </c>
      <c r="C243" s="98" t="s">
        <v>698</v>
      </c>
      <c r="D243" s="92" t="s">
        <v>699</v>
      </c>
      <c r="E243" s="90" t="s">
        <v>34</v>
      </c>
      <c r="F243" s="99">
        <v>120</v>
      </c>
      <c r="G243" s="94">
        <v>113.32</v>
      </c>
      <c r="H243" s="94">
        <v>38.700000000000003</v>
      </c>
      <c r="I243" s="95">
        <v>152.01999999999998</v>
      </c>
      <c r="J243" s="95">
        <v>13598.4</v>
      </c>
      <c r="K243" s="95">
        <v>4644.0000000000018</v>
      </c>
      <c r="L243" s="95">
        <v>18242.400000000001</v>
      </c>
      <c r="M243" s="96">
        <v>0.27529999999999999</v>
      </c>
      <c r="N243" s="95">
        <v>144.52000000000001</v>
      </c>
      <c r="O243" s="95">
        <v>49.35</v>
      </c>
      <c r="P243" s="95">
        <v>193.87</v>
      </c>
      <c r="Q243" s="95">
        <v>17342.400000000001</v>
      </c>
      <c r="R243" s="95">
        <v>5922</v>
      </c>
      <c r="S243" s="95">
        <v>23264.400000000001</v>
      </c>
    </row>
    <row r="244" spans="1:19" s="89" customFormat="1" x14ac:dyDescent="0.25">
      <c r="A244" s="82" t="s">
        <v>700</v>
      </c>
      <c r="B244" s="82"/>
      <c r="C244" s="83" t="s">
        <v>701</v>
      </c>
      <c r="D244" s="84"/>
      <c r="E244" s="85"/>
      <c r="F244" s="101"/>
      <c r="G244" s="87"/>
      <c r="H244" s="87"/>
      <c r="I244" s="88"/>
      <c r="J244" s="87">
        <v>3035720.64</v>
      </c>
      <c r="K244" s="87">
        <v>1164606.5199999998</v>
      </c>
      <c r="L244" s="87">
        <v>4200327.16</v>
      </c>
      <c r="M244" s="87"/>
      <c r="N244" s="87"/>
      <c r="O244" s="87"/>
      <c r="P244" s="87"/>
      <c r="Q244" s="87">
        <v>3871341.85</v>
      </c>
      <c r="R244" s="87">
        <v>1485352.0699999998</v>
      </c>
      <c r="S244" s="87">
        <v>5356693.919999999</v>
      </c>
    </row>
    <row r="245" spans="1:19" ht="15" x14ac:dyDescent="0.25">
      <c r="A245" s="90" t="s">
        <v>702</v>
      </c>
      <c r="B245" s="90" t="s">
        <v>233</v>
      </c>
      <c r="C245" s="98" t="s">
        <v>703</v>
      </c>
      <c r="D245" s="92" t="s">
        <v>704</v>
      </c>
      <c r="E245" s="90" t="s">
        <v>385</v>
      </c>
      <c r="F245" s="99">
        <v>44789.97</v>
      </c>
      <c r="G245" s="94">
        <v>13.16</v>
      </c>
      <c r="H245" s="94">
        <v>2.65</v>
      </c>
      <c r="I245" s="95">
        <v>15.81</v>
      </c>
      <c r="J245" s="95">
        <v>589436</v>
      </c>
      <c r="K245" s="95">
        <v>118693.43000000005</v>
      </c>
      <c r="L245" s="95">
        <v>708129.43</v>
      </c>
      <c r="M245" s="96">
        <v>0.27529999999999999</v>
      </c>
      <c r="N245" s="95">
        <v>16.78</v>
      </c>
      <c r="O245" s="95">
        <v>3.38</v>
      </c>
      <c r="P245" s="95">
        <v>20.16</v>
      </c>
      <c r="Q245" s="95">
        <v>751575.7</v>
      </c>
      <c r="R245" s="95">
        <v>151390.1</v>
      </c>
      <c r="S245" s="95">
        <v>902965.79999999993</v>
      </c>
    </row>
    <row r="246" spans="1:19" ht="15" x14ac:dyDescent="0.25">
      <c r="A246" s="90" t="s">
        <v>705</v>
      </c>
      <c r="B246" s="90" t="s">
        <v>706</v>
      </c>
      <c r="C246" s="98" t="s">
        <v>707</v>
      </c>
      <c r="D246" s="92" t="s">
        <v>708</v>
      </c>
      <c r="E246" s="90" t="s">
        <v>34</v>
      </c>
      <c r="F246" s="99">
        <v>1592.74</v>
      </c>
      <c r="G246" s="94">
        <v>10.33</v>
      </c>
      <c r="H246" s="94">
        <v>2.4300000000000002</v>
      </c>
      <c r="I246" s="95">
        <v>12.76</v>
      </c>
      <c r="J246" s="95">
        <v>16453</v>
      </c>
      <c r="K246" s="95">
        <v>3870.3600000000006</v>
      </c>
      <c r="L246" s="95">
        <v>20323.36</v>
      </c>
      <c r="M246" s="96">
        <v>0.27529999999999999</v>
      </c>
      <c r="N246" s="95">
        <v>13.17</v>
      </c>
      <c r="O246" s="95">
        <v>3.1</v>
      </c>
      <c r="P246" s="95">
        <v>16.27</v>
      </c>
      <c r="Q246" s="95">
        <v>20976.39</v>
      </c>
      <c r="R246" s="95">
        <v>4937.49</v>
      </c>
      <c r="S246" s="95">
        <v>25913.879999999997</v>
      </c>
    </row>
    <row r="247" spans="1:19" ht="15" x14ac:dyDescent="0.25">
      <c r="A247" s="90" t="s">
        <v>709</v>
      </c>
      <c r="B247" s="90" t="s">
        <v>706</v>
      </c>
      <c r="C247" s="98" t="s">
        <v>710</v>
      </c>
      <c r="D247" s="92" t="s">
        <v>711</v>
      </c>
      <c r="E247" s="90" t="s">
        <v>34</v>
      </c>
      <c r="F247" s="99">
        <v>1592.74</v>
      </c>
      <c r="G247" s="94">
        <v>17.93</v>
      </c>
      <c r="H247" s="94">
        <v>4.03</v>
      </c>
      <c r="I247" s="95">
        <v>21.96</v>
      </c>
      <c r="J247" s="95">
        <v>28557.82</v>
      </c>
      <c r="K247" s="95">
        <v>6418.75</v>
      </c>
      <c r="L247" s="95">
        <v>34976.57</v>
      </c>
      <c r="M247" s="96">
        <v>0.27529999999999999</v>
      </c>
      <c r="N247" s="95">
        <v>22.87</v>
      </c>
      <c r="O247" s="95">
        <v>5.14</v>
      </c>
      <c r="P247" s="95">
        <v>28.01</v>
      </c>
      <c r="Q247" s="95">
        <v>36425.96</v>
      </c>
      <c r="R247" s="95">
        <v>8186.68</v>
      </c>
      <c r="S247" s="95">
        <v>44612.639999999999</v>
      </c>
    </row>
    <row r="248" spans="1:19" ht="15" x14ac:dyDescent="0.25">
      <c r="A248" s="90" t="s">
        <v>712</v>
      </c>
      <c r="B248" s="90" t="s">
        <v>31</v>
      </c>
      <c r="C248" s="98" t="s">
        <v>713</v>
      </c>
      <c r="D248" s="92" t="s">
        <v>714</v>
      </c>
      <c r="E248" s="90" t="s">
        <v>34</v>
      </c>
      <c r="F248" s="99">
        <v>2891.55</v>
      </c>
      <c r="G248" s="94">
        <v>139.86000000000001</v>
      </c>
      <c r="H248" s="94">
        <v>0</v>
      </c>
      <c r="I248" s="95">
        <v>139.86000000000001</v>
      </c>
      <c r="J248" s="95">
        <v>404412.18</v>
      </c>
      <c r="K248" s="95">
        <v>0</v>
      </c>
      <c r="L248" s="95">
        <v>404412.18</v>
      </c>
      <c r="M248" s="96">
        <v>0.27529999999999999</v>
      </c>
      <c r="N248" s="95">
        <v>178.36</v>
      </c>
      <c r="O248" s="95">
        <v>0</v>
      </c>
      <c r="P248" s="95">
        <v>178.36</v>
      </c>
      <c r="Q248" s="95">
        <v>515736.86</v>
      </c>
      <c r="R248" s="95">
        <v>0</v>
      </c>
      <c r="S248" s="95">
        <v>515736.86</v>
      </c>
    </row>
    <row r="249" spans="1:19" ht="25.5" x14ac:dyDescent="0.25">
      <c r="A249" s="90" t="s">
        <v>715</v>
      </c>
      <c r="B249" s="90" t="s">
        <v>31</v>
      </c>
      <c r="C249" s="98" t="s">
        <v>716</v>
      </c>
      <c r="D249" s="92" t="s">
        <v>717</v>
      </c>
      <c r="E249" s="90" t="s">
        <v>34</v>
      </c>
      <c r="F249" s="99">
        <v>16604.02</v>
      </c>
      <c r="G249" s="94">
        <v>3.62</v>
      </c>
      <c r="H249" s="94">
        <v>5.07</v>
      </c>
      <c r="I249" s="95">
        <v>8.6900000000000013</v>
      </c>
      <c r="J249" s="95">
        <v>60106.55</v>
      </c>
      <c r="K249" s="95">
        <v>84182.37999999999</v>
      </c>
      <c r="L249" s="95">
        <v>144288.93</v>
      </c>
      <c r="M249" s="96">
        <v>0.27529999999999999</v>
      </c>
      <c r="N249" s="95">
        <v>4.62</v>
      </c>
      <c r="O249" s="95">
        <v>6.47</v>
      </c>
      <c r="P249" s="95">
        <v>11.09</v>
      </c>
      <c r="Q249" s="95">
        <v>76710.570000000007</v>
      </c>
      <c r="R249" s="95">
        <v>107428.01</v>
      </c>
      <c r="S249" s="95">
        <v>184138.58000000002</v>
      </c>
    </row>
    <row r="250" spans="1:19" ht="25.5" x14ac:dyDescent="0.25">
      <c r="A250" s="90" t="s">
        <v>718</v>
      </c>
      <c r="B250" s="90" t="s">
        <v>31</v>
      </c>
      <c r="C250" s="98" t="s">
        <v>719</v>
      </c>
      <c r="D250" s="92" t="s">
        <v>720</v>
      </c>
      <c r="E250" s="90" t="s">
        <v>34</v>
      </c>
      <c r="F250" s="99">
        <v>16604.02</v>
      </c>
      <c r="G250" s="94">
        <v>30.52</v>
      </c>
      <c r="H250" s="94">
        <v>28.69</v>
      </c>
      <c r="I250" s="95">
        <v>59.21</v>
      </c>
      <c r="J250" s="95">
        <v>506754.69</v>
      </c>
      <c r="K250" s="95">
        <v>476369.33</v>
      </c>
      <c r="L250" s="95">
        <v>983124.02</v>
      </c>
      <c r="M250" s="96">
        <v>0.27529999999999999</v>
      </c>
      <c r="N250" s="95">
        <v>38.92</v>
      </c>
      <c r="O250" s="95">
        <v>36.590000000000003</v>
      </c>
      <c r="P250" s="95">
        <v>75.510000000000005</v>
      </c>
      <c r="Q250" s="95">
        <v>646228.46</v>
      </c>
      <c r="R250" s="95">
        <v>607541.09</v>
      </c>
      <c r="S250" s="95">
        <v>1253769.5499999998</v>
      </c>
    </row>
    <row r="251" spans="1:19" ht="15" x14ac:dyDescent="0.25">
      <c r="A251" s="90" t="s">
        <v>721</v>
      </c>
      <c r="B251" s="90" t="s">
        <v>31</v>
      </c>
      <c r="C251" s="98" t="s">
        <v>722</v>
      </c>
      <c r="D251" s="92" t="s">
        <v>723</v>
      </c>
      <c r="E251" s="90" t="s">
        <v>34</v>
      </c>
      <c r="F251" s="99">
        <v>4009.64</v>
      </c>
      <c r="G251" s="94">
        <v>18.63</v>
      </c>
      <c r="H251" s="94">
        <v>5.95</v>
      </c>
      <c r="I251" s="95">
        <v>24.58</v>
      </c>
      <c r="J251" s="95">
        <v>74699.59</v>
      </c>
      <c r="K251" s="95">
        <v>23857.360000000001</v>
      </c>
      <c r="L251" s="95">
        <v>98556.95</v>
      </c>
      <c r="M251" s="96">
        <v>0.27529999999999999</v>
      </c>
      <c r="N251" s="95">
        <v>23.76</v>
      </c>
      <c r="O251" s="95">
        <v>7.59</v>
      </c>
      <c r="P251" s="95">
        <v>31.35</v>
      </c>
      <c r="Q251" s="95">
        <v>95269.05</v>
      </c>
      <c r="R251" s="95">
        <v>30433.17</v>
      </c>
      <c r="S251" s="95">
        <v>125702.22</v>
      </c>
    </row>
    <row r="252" spans="1:19" ht="15" x14ac:dyDescent="0.25">
      <c r="A252" s="90" t="s">
        <v>724</v>
      </c>
      <c r="B252" s="90" t="s">
        <v>45</v>
      </c>
      <c r="C252" s="98" t="s">
        <v>725</v>
      </c>
      <c r="D252" s="92" t="s">
        <v>726</v>
      </c>
      <c r="E252" s="90" t="s">
        <v>34</v>
      </c>
      <c r="F252" s="99">
        <v>604.9</v>
      </c>
      <c r="G252" s="94">
        <v>461.74</v>
      </c>
      <c r="H252" s="94">
        <v>211.44</v>
      </c>
      <c r="I252" s="95">
        <v>673.18000000000006</v>
      </c>
      <c r="J252" s="95">
        <v>279306.52</v>
      </c>
      <c r="K252" s="95">
        <v>127900.06</v>
      </c>
      <c r="L252" s="95">
        <v>407206.58</v>
      </c>
      <c r="M252" s="96">
        <v>0.27529999999999999</v>
      </c>
      <c r="N252" s="95">
        <v>588.86</v>
      </c>
      <c r="O252" s="95">
        <v>269.64999999999998</v>
      </c>
      <c r="P252" s="95">
        <v>858.51</v>
      </c>
      <c r="Q252" s="95">
        <v>356201.41</v>
      </c>
      <c r="R252" s="95">
        <v>163111.29</v>
      </c>
      <c r="S252" s="95">
        <v>519312.69999999995</v>
      </c>
    </row>
    <row r="253" spans="1:19" ht="15" x14ac:dyDescent="0.25">
      <c r="A253" s="90" t="s">
        <v>727</v>
      </c>
      <c r="B253" s="90" t="s">
        <v>184</v>
      </c>
      <c r="C253" s="98" t="s">
        <v>728</v>
      </c>
      <c r="D253" s="92" t="s">
        <v>729</v>
      </c>
      <c r="E253" s="90" t="s">
        <v>34</v>
      </c>
      <c r="F253" s="99">
        <v>1388.09</v>
      </c>
      <c r="G253" s="94">
        <v>615.47</v>
      </c>
      <c r="H253" s="94">
        <v>196.98</v>
      </c>
      <c r="I253" s="95">
        <v>812.45</v>
      </c>
      <c r="J253" s="95">
        <v>854327.75</v>
      </c>
      <c r="K253" s="95">
        <v>273425.96999999997</v>
      </c>
      <c r="L253" s="95">
        <v>1127753.72</v>
      </c>
      <c r="M253" s="96">
        <v>0.27529999999999999</v>
      </c>
      <c r="N253" s="95">
        <v>784.91</v>
      </c>
      <c r="O253" s="95">
        <v>251.21</v>
      </c>
      <c r="P253" s="95">
        <v>1036.1199999999999</v>
      </c>
      <c r="Q253" s="95">
        <v>1089525.72</v>
      </c>
      <c r="R253" s="95">
        <v>348702.09</v>
      </c>
      <c r="S253" s="95">
        <v>1438227.81</v>
      </c>
    </row>
    <row r="254" spans="1:19" ht="15" x14ac:dyDescent="0.25">
      <c r="A254" s="90" t="s">
        <v>730</v>
      </c>
      <c r="B254" s="90" t="s">
        <v>75</v>
      </c>
      <c r="C254" s="98" t="s">
        <v>731</v>
      </c>
      <c r="D254" s="92" t="s">
        <v>732</v>
      </c>
      <c r="E254" s="90" t="s">
        <v>34</v>
      </c>
      <c r="F254" s="99">
        <v>237.6</v>
      </c>
      <c r="G254" s="94">
        <v>932.94</v>
      </c>
      <c r="H254" s="94">
        <v>209.97</v>
      </c>
      <c r="I254" s="95">
        <v>1142.9100000000001</v>
      </c>
      <c r="J254" s="95">
        <v>221666.54</v>
      </c>
      <c r="K254" s="95">
        <v>49888.879999999976</v>
      </c>
      <c r="L254" s="95">
        <v>271555.42</v>
      </c>
      <c r="M254" s="96">
        <v>0.27529999999999999</v>
      </c>
      <c r="N254" s="95">
        <v>1189.78</v>
      </c>
      <c r="O254" s="95">
        <v>267.77</v>
      </c>
      <c r="P254" s="95">
        <v>1457.55</v>
      </c>
      <c r="Q254" s="95">
        <v>282691.73</v>
      </c>
      <c r="R254" s="95">
        <v>63622.15</v>
      </c>
      <c r="S254" s="95">
        <v>346313.88</v>
      </c>
    </row>
    <row r="255" spans="1:19" s="89" customFormat="1" x14ac:dyDescent="0.25">
      <c r="A255" s="82" t="s">
        <v>733</v>
      </c>
      <c r="B255" s="82"/>
      <c r="C255" s="83" t="s">
        <v>734</v>
      </c>
      <c r="D255" s="84"/>
      <c r="E255" s="85"/>
      <c r="F255" s="101"/>
      <c r="G255" s="87"/>
      <c r="H255" s="87"/>
      <c r="I255" s="88"/>
      <c r="J255" s="87">
        <v>8751011.4000000004</v>
      </c>
      <c r="K255" s="87">
        <v>1725769.75</v>
      </c>
      <c r="L255" s="87">
        <v>10476781.149999999</v>
      </c>
      <c r="M255" s="87"/>
      <c r="N255" s="87"/>
      <c r="O255" s="87"/>
      <c r="P255" s="87"/>
      <c r="Q255" s="87">
        <v>11160175.810000001</v>
      </c>
      <c r="R255" s="87">
        <v>2200780.64</v>
      </c>
      <c r="S255" s="87">
        <v>13360956.449999999</v>
      </c>
    </row>
    <row r="256" spans="1:19" ht="15" x14ac:dyDescent="0.25">
      <c r="A256" s="90" t="s">
        <v>735</v>
      </c>
      <c r="B256" s="90"/>
      <c r="C256" s="98" t="s">
        <v>736</v>
      </c>
      <c r="D256" s="92"/>
      <c r="E256" s="90"/>
      <c r="F256" s="99"/>
      <c r="G256" s="94"/>
      <c r="H256" s="94"/>
      <c r="I256" s="95"/>
      <c r="J256" s="95"/>
      <c r="K256" s="95"/>
      <c r="L256" s="95"/>
      <c r="M256" s="96">
        <v>0</v>
      </c>
      <c r="N256" s="95"/>
      <c r="O256" s="95"/>
      <c r="P256" s="95"/>
      <c r="Q256" s="95">
        <v>0</v>
      </c>
      <c r="R256" s="95">
        <v>0</v>
      </c>
      <c r="S256" s="95">
        <v>0</v>
      </c>
    </row>
    <row r="257" spans="1:19" ht="15" x14ac:dyDescent="0.25">
      <c r="A257" s="90" t="s">
        <v>737</v>
      </c>
      <c r="B257" s="90" t="s">
        <v>45</v>
      </c>
      <c r="C257" s="98" t="s">
        <v>738</v>
      </c>
      <c r="D257" s="92" t="s">
        <v>739</v>
      </c>
      <c r="E257" s="90" t="s">
        <v>34</v>
      </c>
      <c r="F257" s="99">
        <v>13116.01</v>
      </c>
      <c r="G257" s="94">
        <v>257.45</v>
      </c>
      <c r="H257" s="94">
        <v>18.2</v>
      </c>
      <c r="I257" s="95">
        <v>275.64999999999998</v>
      </c>
      <c r="J257" s="95">
        <v>3376716.77</v>
      </c>
      <c r="K257" s="95">
        <v>238711.39000000013</v>
      </c>
      <c r="L257" s="95">
        <v>3615428.16</v>
      </c>
      <c r="M257" s="96">
        <v>0.27529999999999999</v>
      </c>
      <c r="N257" s="95">
        <v>328.33</v>
      </c>
      <c r="O257" s="95">
        <v>23.21</v>
      </c>
      <c r="P257" s="95">
        <v>351.53999999999996</v>
      </c>
      <c r="Q257" s="95">
        <v>4306379.5599999996</v>
      </c>
      <c r="R257" s="95">
        <v>304422.59000000003</v>
      </c>
      <c r="S257" s="95">
        <v>4610802.1499999994</v>
      </c>
    </row>
    <row r="258" spans="1:19" ht="25.5" x14ac:dyDescent="0.25">
      <c r="A258" s="90" t="s">
        <v>740</v>
      </c>
      <c r="B258" s="90" t="s">
        <v>86</v>
      </c>
      <c r="C258" s="98" t="s">
        <v>741</v>
      </c>
      <c r="D258" s="92" t="s">
        <v>742</v>
      </c>
      <c r="E258" s="90" t="s">
        <v>34</v>
      </c>
      <c r="F258" s="99">
        <v>248.04</v>
      </c>
      <c r="G258" s="94">
        <v>428.07</v>
      </c>
      <c r="H258" s="94">
        <v>5.24</v>
      </c>
      <c r="I258" s="95">
        <v>433.31</v>
      </c>
      <c r="J258" s="95">
        <v>106178.48</v>
      </c>
      <c r="K258" s="95">
        <v>1299.7300000000105</v>
      </c>
      <c r="L258" s="95">
        <v>107478.21</v>
      </c>
      <c r="M258" s="96">
        <v>0.27529999999999999</v>
      </c>
      <c r="N258" s="95">
        <v>545.91999999999996</v>
      </c>
      <c r="O258" s="95">
        <v>6.68</v>
      </c>
      <c r="P258" s="95">
        <v>552.59999999999991</v>
      </c>
      <c r="Q258" s="95">
        <v>135410</v>
      </c>
      <c r="R258" s="95">
        <v>1656.91</v>
      </c>
      <c r="S258" s="95">
        <v>137066.91</v>
      </c>
    </row>
    <row r="259" spans="1:19" ht="25.5" x14ac:dyDescent="0.25">
      <c r="A259" s="90" t="s">
        <v>743</v>
      </c>
      <c r="B259" s="90" t="s">
        <v>31</v>
      </c>
      <c r="C259" s="98" t="s">
        <v>686</v>
      </c>
      <c r="D259" s="92" t="s">
        <v>744</v>
      </c>
      <c r="E259" s="90" t="s">
        <v>34</v>
      </c>
      <c r="F259" s="99">
        <v>2143.6</v>
      </c>
      <c r="G259" s="94">
        <v>181.6</v>
      </c>
      <c r="H259" s="94">
        <v>5.0999999999999996</v>
      </c>
      <c r="I259" s="95">
        <v>186.7</v>
      </c>
      <c r="J259" s="95">
        <v>389277.76</v>
      </c>
      <c r="K259" s="95">
        <v>10932.359999999986</v>
      </c>
      <c r="L259" s="95">
        <v>400210.12</v>
      </c>
      <c r="M259" s="96">
        <v>0.27529999999999999</v>
      </c>
      <c r="N259" s="95">
        <v>231.59</v>
      </c>
      <c r="O259" s="95">
        <v>6.5</v>
      </c>
      <c r="P259" s="95">
        <v>238.09</v>
      </c>
      <c r="Q259" s="95">
        <v>496436.32</v>
      </c>
      <c r="R259" s="95">
        <v>13933.4</v>
      </c>
      <c r="S259" s="95">
        <v>510369.72000000003</v>
      </c>
    </row>
    <row r="260" spans="1:19" ht="25.5" x14ac:dyDescent="0.25">
      <c r="A260" s="90" t="s">
        <v>745</v>
      </c>
      <c r="B260" s="90" t="s">
        <v>86</v>
      </c>
      <c r="C260" s="98" t="s">
        <v>746</v>
      </c>
      <c r="D260" s="92" t="s">
        <v>747</v>
      </c>
      <c r="E260" s="90" t="s">
        <v>34</v>
      </c>
      <c r="F260" s="99">
        <v>9476.24</v>
      </c>
      <c r="G260" s="94">
        <v>140.16999999999999</v>
      </c>
      <c r="H260" s="94">
        <v>41.38</v>
      </c>
      <c r="I260" s="95">
        <v>181.54999999999998</v>
      </c>
      <c r="J260" s="95">
        <v>1328284.56</v>
      </c>
      <c r="K260" s="95">
        <v>392126.81000000006</v>
      </c>
      <c r="L260" s="95">
        <v>1720411.37</v>
      </c>
      <c r="M260" s="96">
        <v>0.27529999999999999</v>
      </c>
      <c r="N260" s="95">
        <v>178.76</v>
      </c>
      <c r="O260" s="95">
        <v>52.77</v>
      </c>
      <c r="P260" s="95">
        <v>231.53</v>
      </c>
      <c r="Q260" s="95">
        <v>1693972.66</v>
      </c>
      <c r="R260" s="95">
        <v>500061.18</v>
      </c>
      <c r="S260" s="95">
        <v>2194033.84</v>
      </c>
    </row>
    <row r="261" spans="1:19" ht="15" x14ac:dyDescent="0.25">
      <c r="A261" s="90" t="s">
        <v>748</v>
      </c>
      <c r="B261" s="90" t="s">
        <v>31</v>
      </c>
      <c r="C261" s="98" t="s">
        <v>749</v>
      </c>
      <c r="D261" s="92" t="s">
        <v>750</v>
      </c>
      <c r="E261" s="90" t="s">
        <v>34</v>
      </c>
      <c r="F261" s="99">
        <v>2528.0500000000002</v>
      </c>
      <c r="G261" s="94">
        <v>19.399999999999999</v>
      </c>
      <c r="H261" s="94">
        <v>1.57</v>
      </c>
      <c r="I261" s="95">
        <v>20.97</v>
      </c>
      <c r="J261" s="95">
        <v>49044.17</v>
      </c>
      <c r="K261" s="95">
        <v>3969.0400000000009</v>
      </c>
      <c r="L261" s="95">
        <v>53013.21</v>
      </c>
      <c r="M261" s="96">
        <v>0.27529999999999999</v>
      </c>
      <c r="N261" s="95">
        <v>24.74</v>
      </c>
      <c r="O261" s="95">
        <v>2</v>
      </c>
      <c r="P261" s="95">
        <v>26.74</v>
      </c>
      <c r="Q261" s="95">
        <v>62543.96</v>
      </c>
      <c r="R261" s="95">
        <v>5056.1000000000004</v>
      </c>
      <c r="S261" s="95">
        <v>67600.06</v>
      </c>
    </row>
    <row r="262" spans="1:19" ht="15" x14ac:dyDescent="0.25">
      <c r="A262" s="90" t="s">
        <v>751</v>
      </c>
      <c r="B262" s="90" t="s">
        <v>31</v>
      </c>
      <c r="C262" s="98" t="s">
        <v>752</v>
      </c>
      <c r="D262" s="92" t="s">
        <v>753</v>
      </c>
      <c r="E262" s="90" t="s">
        <v>34</v>
      </c>
      <c r="F262" s="99">
        <v>2878.55</v>
      </c>
      <c r="G262" s="94">
        <v>61.8</v>
      </c>
      <c r="H262" s="94">
        <v>7.84</v>
      </c>
      <c r="I262" s="95">
        <v>69.64</v>
      </c>
      <c r="J262" s="95">
        <v>177894.39</v>
      </c>
      <c r="K262" s="95">
        <v>22567.829999999987</v>
      </c>
      <c r="L262" s="95">
        <v>200462.22</v>
      </c>
      <c r="M262" s="96">
        <v>0.27529999999999999</v>
      </c>
      <c r="N262" s="95">
        <v>78.81</v>
      </c>
      <c r="O262" s="95">
        <v>10</v>
      </c>
      <c r="P262" s="95">
        <v>88.81</v>
      </c>
      <c r="Q262" s="95">
        <v>226858.53</v>
      </c>
      <c r="R262" s="95">
        <v>28785.5</v>
      </c>
      <c r="S262" s="95">
        <v>255644.03</v>
      </c>
    </row>
    <row r="263" spans="1:19" ht="15" x14ac:dyDescent="0.25">
      <c r="A263" s="90" t="s">
        <v>754</v>
      </c>
      <c r="B263" s="90" t="s">
        <v>31</v>
      </c>
      <c r="C263" s="98" t="s">
        <v>755</v>
      </c>
      <c r="D263" s="92" t="s">
        <v>756</v>
      </c>
      <c r="E263" s="90" t="s">
        <v>34</v>
      </c>
      <c r="F263" s="99">
        <v>1990.99</v>
      </c>
      <c r="G263" s="94">
        <v>310.32</v>
      </c>
      <c r="H263" s="94">
        <v>40.64</v>
      </c>
      <c r="I263" s="95">
        <v>350.96</v>
      </c>
      <c r="J263" s="95">
        <v>617844.01</v>
      </c>
      <c r="K263" s="95">
        <v>80913.839999999967</v>
      </c>
      <c r="L263" s="95">
        <v>698757.85</v>
      </c>
      <c r="M263" s="96">
        <v>0.27529999999999999</v>
      </c>
      <c r="N263" s="95">
        <v>395.75</v>
      </c>
      <c r="O263" s="95">
        <v>51.83</v>
      </c>
      <c r="P263" s="95">
        <v>447.58</v>
      </c>
      <c r="Q263" s="95">
        <v>787934.29</v>
      </c>
      <c r="R263" s="95">
        <v>103193.01</v>
      </c>
      <c r="S263" s="95">
        <v>891127.3</v>
      </c>
    </row>
    <row r="264" spans="1:19" ht="15" x14ac:dyDescent="0.25">
      <c r="A264" s="90" t="s">
        <v>757</v>
      </c>
      <c r="B264" s="90" t="s">
        <v>31</v>
      </c>
      <c r="C264" s="98" t="s">
        <v>758</v>
      </c>
      <c r="D264" s="92" t="s">
        <v>759</v>
      </c>
      <c r="E264" s="90" t="s">
        <v>34</v>
      </c>
      <c r="F264" s="99">
        <v>251</v>
      </c>
      <c r="G264" s="94">
        <v>120.68</v>
      </c>
      <c r="H264" s="94">
        <v>33.85</v>
      </c>
      <c r="I264" s="95">
        <v>154.53</v>
      </c>
      <c r="J264" s="95">
        <v>30290.68</v>
      </c>
      <c r="K264" s="95">
        <v>8496.3499999999985</v>
      </c>
      <c r="L264" s="95">
        <v>38787.03</v>
      </c>
      <c r="M264" s="96">
        <v>0.27529999999999999</v>
      </c>
      <c r="N264" s="95">
        <v>153.9</v>
      </c>
      <c r="O264" s="95">
        <v>43.17</v>
      </c>
      <c r="P264" s="95">
        <v>197.07</v>
      </c>
      <c r="Q264" s="95">
        <v>38628.9</v>
      </c>
      <c r="R264" s="95">
        <v>10835.67</v>
      </c>
      <c r="S264" s="95">
        <v>49464.57</v>
      </c>
    </row>
    <row r="265" spans="1:19" ht="15" x14ac:dyDescent="0.25">
      <c r="A265" s="90" t="s">
        <v>760</v>
      </c>
      <c r="B265" s="90" t="s">
        <v>31</v>
      </c>
      <c r="C265" s="98" t="s">
        <v>761</v>
      </c>
      <c r="D265" s="92" t="s">
        <v>762</v>
      </c>
      <c r="E265" s="90" t="s">
        <v>16</v>
      </c>
      <c r="F265" s="99">
        <v>6</v>
      </c>
      <c r="G265" s="94">
        <v>493.34</v>
      </c>
      <c r="H265" s="94">
        <v>252.43</v>
      </c>
      <c r="I265" s="95">
        <v>745.77</v>
      </c>
      <c r="J265" s="95">
        <v>2960.04</v>
      </c>
      <c r="K265" s="95">
        <v>1514.58</v>
      </c>
      <c r="L265" s="95">
        <v>4474.62</v>
      </c>
      <c r="M265" s="96">
        <v>0.27529999999999999</v>
      </c>
      <c r="N265" s="95">
        <v>629.16</v>
      </c>
      <c r="O265" s="95">
        <v>321.92</v>
      </c>
      <c r="P265" s="95">
        <v>951.07999999999993</v>
      </c>
      <c r="Q265" s="95">
        <v>3774.96</v>
      </c>
      <c r="R265" s="95">
        <v>1931.52</v>
      </c>
      <c r="S265" s="95">
        <v>5706.48</v>
      </c>
    </row>
    <row r="266" spans="1:19" ht="25.5" x14ac:dyDescent="0.25">
      <c r="A266" s="90" t="s">
        <v>763</v>
      </c>
      <c r="B266" s="90" t="s">
        <v>31</v>
      </c>
      <c r="C266" s="98" t="s">
        <v>764</v>
      </c>
      <c r="D266" s="92" t="s">
        <v>765</v>
      </c>
      <c r="E266" s="90" t="s">
        <v>34</v>
      </c>
      <c r="F266" s="99">
        <v>32083.360000000001</v>
      </c>
      <c r="G266" s="94">
        <v>38.07</v>
      </c>
      <c r="H266" s="94">
        <v>17.079999999999998</v>
      </c>
      <c r="I266" s="95">
        <v>55.15</v>
      </c>
      <c r="J266" s="95">
        <v>1221413.51</v>
      </c>
      <c r="K266" s="95">
        <v>547983.79</v>
      </c>
      <c r="L266" s="95">
        <v>1769397.3</v>
      </c>
      <c r="M266" s="96">
        <v>0.27529999999999999</v>
      </c>
      <c r="N266" s="95">
        <v>48.55</v>
      </c>
      <c r="O266" s="95">
        <v>21.78</v>
      </c>
      <c r="P266" s="95">
        <v>70.33</v>
      </c>
      <c r="Q266" s="95">
        <v>1557647.13</v>
      </c>
      <c r="R266" s="95">
        <v>698775.58</v>
      </c>
      <c r="S266" s="95">
        <v>2256422.71</v>
      </c>
    </row>
    <row r="267" spans="1:19" ht="15" x14ac:dyDescent="0.25">
      <c r="A267" s="90" t="s">
        <v>766</v>
      </c>
      <c r="B267" s="90" t="s">
        <v>31</v>
      </c>
      <c r="C267" s="98" t="s">
        <v>767</v>
      </c>
      <c r="D267" s="92" t="s">
        <v>768</v>
      </c>
      <c r="E267" s="90" t="s">
        <v>34</v>
      </c>
      <c r="F267" s="99">
        <v>9830</v>
      </c>
      <c r="G267" s="94">
        <v>127.06</v>
      </c>
      <c r="H267" s="94">
        <v>36.83</v>
      </c>
      <c r="I267" s="95">
        <v>163.89</v>
      </c>
      <c r="J267" s="95">
        <v>1248999.8</v>
      </c>
      <c r="K267" s="95">
        <v>362038.89999999991</v>
      </c>
      <c r="L267" s="95">
        <v>1611038.7</v>
      </c>
      <c r="M267" s="96">
        <v>0.27529999999999999</v>
      </c>
      <c r="N267" s="95">
        <v>162.04</v>
      </c>
      <c r="O267" s="95">
        <v>46.97</v>
      </c>
      <c r="P267" s="95">
        <v>209.01</v>
      </c>
      <c r="Q267" s="95">
        <v>1592853.2</v>
      </c>
      <c r="R267" s="95">
        <v>461715.1</v>
      </c>
      <c r="S267" s="95">
        <v>2054568.2999999998</v>
      </c>
    </row>
    <row r="268" spans="1:19" ht="15" x14ac:dyDescent="0.25">
      <c r="A268" s="90" t="s">
        <v>769</v>
      </c>
      <c r="B268" s="90"/>
      <c r="C268" s="98" t="s">
        <v>770</v>
      </c>
      <c r="D268" s="92"/>
      <c r="E268" s="90"/>
      <c r="F268" s="99"/>
      <c r="G268" s="94"/>
      <c r="H268" s="94"/>
      <c r="I268" s="95"/>
      <c r="J268" s="95"/>
      <c r="K268" s="95"/>
      <c r="L268" s="95"/>
      <c r="M268" s="96">
        <v>0</v>
      </c>
      <c r="N268" s="95"/>
      <c r="O268" s="95"/>
      <c r="P268" s="95"/>
      <c r="Q268" s="95">
        <v>0</v>
      </c>
      <c r="R268" s="95">
        <v>0</v>
      </c>
      <c r="S268" s="95">
        <v>0</v>
      </c>
    </row>
    <row r="269" spans="1:19" ht="15" x14ac:dyDescent="0.25">
      <c r="A269" s="90" t="s">
        <v>771</v>
      </c>
      <c r="B269" s="90" t="s">
        <v>86</v>
      </c>
      <c r="C269" s="98" t="s">
        <v>772</v>
      </c>
      <c r="D269" s="92" t="s">
        <v>773</v>
      </c>
      <c r="E269" s="90" t="s">
        <v>93</v>
      </c>
      <c r="F269" s="99">
        <v>1850.24</v>
      </c>
      <c r="G269" s="94">
        <v>28.23</v>
      </c>
      <c r="H269" s="94">
        <v>23.83</v>
      </c>
      <c r="I269" s="95">
        <v>52.06</v>
      </c>
      <c r="J269" s="95">
        <v>52232.27</v>
      </c>
      <c r="K269" s="95">
        <v>44091.220000000008</v>
      </c>
      <c r="L269" s="95">
        <v>96323.49</v>
      </c>
      <c r="M269" s="96">
        <v>0.27529999999999999</v>
      </c>
      <c r="N269" s="95">
        <v>36</v>
      </c>
      <c r="O269" s="95">
        <v>30.39</v>
      </c>
      <c r="P269" s="95">
        <v>66.39</v>
      </c>
      <c r="Q269" s="95">
        <v>66608.639999999999</v>
      </c>
      <c r="R269" s="95">
        <v>56228.79</v>
      </c>
      <c r="S269" s="95">
        <v>122837.43</v>
      </c>
    </row>
    <row r="270" spans="1:19" ht="15" x14ac:dyDescent="0.25">
      <c r="A270" s="90" t="s">
        <v>774</v>
      </c>
      <c r="B270" s="90" t="s">
        <v>31</v>
      </c>
      <c r="C270" s="98" t="s">
        <v>775</v>
      </c>
      <c r="D270" s="92" t="s">
        <v>776</v>
      </c>
      <c r="E270" s="90" t="s">
        <v>93</v>
      </c>
      <c r="F270" s="99">
        <v>1198.02</v>
      </c>
      <c r="G270" s="94">
        <v>67.650000000000006</v>
      </c>
      <c r="H270" s="94">
        <v>3.08</v>
      </c>
      <c r="I270" s="95">
        <v>70.73</v>
      </c>
      <c r="J270" s="95">
        <v>81046.05</v>
      </c>
      <c r="K270" s="95">
        <v>3689.8999999999942</v>
      </c>
      <c r="L270" s="95">
        <v>84735.95</v>
      </c>
      <c r="M270" s="96">
        <v>0.27529999999999999</v>
      </c>
      <c r="N270" s="95">
        <v>86.27</v>
      </c>
      <c r="O270" s="95">
        <v>3.93</v>
      </c>
      <c r="P270" s="95">
        <v>90.2</v>
      </c>
      <c r="Q270" s="95">
        <v>103353.19</v>
      </c>
      <c r="R270" s="95">
        <v>4708.22</v>
      </c>
      <c r="S270" s="95">
        <v>108061.41</v>
      </c>
    </row>
    <row r="271" spans="1:19" ht="15" x14ac:dyDescent="0.25">
      <c r="A271" s="90" t="s">
        <v>777</v>
      </c>
      <c r="B271" s="90" t="s">
        <v>31</v>
      </c>
      <c r="C271" s="98" t="s">
        <v>778</v>
      </c>
      <c r="D271" s="92" t="s">
        <v>779</v>
      </c>
      <c r="E271" s="90" t="s">
        <v>93</v>
      </c>
      <c r="F271" s="99">
        <v>858.43</v>
      </c>
      <c r="G271" s="94">
        <v>80.180000000000007</v>
      </c>
      <c r="H271" s="94">
        <v>8.66</v>
      </c>
      <c r="I271" s="95">
        <v>88.84</v>
      </c>
      <c r="J271" s="95">
        <v>68828.91</v>
      </c>
      <c r="K271" s="95">
        <v>7434.0099999999948</v>
      </c>
      <c r="L271" s="95">
        <v>76262.92</v>
      </c>
      <c r="M271" s="96">
        <v>0.27529999999999999</v>
      </c>
      <c r="N271" s="95">
        <v>102.25</v>
      </c>
      <c r="O271" s="95">
        <v>11.04</v>
      </c>
      <c r="P271" s="95">
        <v>113.28999999999999</v>
      </c>
      <c r="Q271" s="95">
        <v>87774.47</v>
      </c>
      <c r="R271" s="95">
        <v>9477.07</v>
      </c>
      <c r="S271" s="95">
        <v>97251.540000000008</v>
      </c>
    </row>
    <row r="272" spans="1:19" s="89" customFormat="1" x14ac:dyDescent="0.25">
      <c r="A272" s="82" t="s">
        <v>780</v>
      </c>
      <c r="B272" s="82"/>
      <c r="C272" s="84" t="s">
        <v>781</v>
      </c>
      <c r="D272" s="84"/>
      <c r="E272" s="85"/>
      <c r="F272" s="101"/>
      <c r="G272" s="87"/>
      <c r="H272" s="87"/>
      <c r="I272" s="88"/>
      <c r="J272" s="87">
        <v>3043321.5000000005</v>
      </c>
      <c r="K272" s="87">
        <v>258308.03999999998</v>
      </c>
      <c r="L272" s="87">
        <v>3301629.54</v>
      </c>
      <c r="M272" s="87"/>
      <c r="N272" s="87"/>
      <c r="O272" s="87"/>
      <c r="P272" s="87"/>
      <c r="Q272" s="87">
        <v>3881181.56</v>
      </c>
      <c r="R272" s="87">
        <v>329456.24</v>
      </c>
      <c r="S272" s="87">
        <v>4210637.8</v>
      </c>
    </row>
    <row r="273" spans="1:19" ht="15" x14ac:dyDescent="0.25">
      <c r="A273" s="90" t="s">
        <v>782</v>
      </c>
      <c r="B273" s="90" t="s">
        <v>45</v>
      </c>
      <c r="C273" s="98" t="s">
        <v>783</v>
      </c>
      <c r="D273" s="92" t="s">
        <v>784</v>
      </c>
      <c r="E273" s="90" t="s">
        <v>34</v>
      </c>
      <c r="F273" s="99">
        <v>9772.3799999999992</v>
      </c>
      <c r="G273" s="94">
        <v>99.2</v>
      </c>
      <c r="H273" s="94">
        <v>0</v>
      </c>
      <c r="I273" s="95">
        <v>99.2</v>
      </c>
      <c r="J273" s="95">
        <v>969420.09</v>
      </c>
      <c r="K273" s="95">
        <v>1.0000000009313226E-2</v>
      </c>
      <c r="L273" s="95">
        <v>969420.1</v>
      </c>
      <c r="M273" s="96">
        <v>0.27529999999999999</v>
      </c>
      <c r="N273" s="95">
        <v>126.51</v>
      </c>
      <c r="O273" s="95">
        <v>0</v>
      </c>
      <c r="P273" s="95">
        <v>126.51</v>
      </c>
      <c r="Q273" s="95">
        <v>1236303.79</v>
      </c>
      <c r="R273" s="95">
        <v>0</v>
      </c>
      <c r="S273" s="95">
        <v>1236303.79</v>
      </c>
    </row>
    <row r="274" spans="1:19" ht="15" x14ac:dyDescent="0.25">
      <c r="A274" s="90" t="s">
        <v>785</v>
      </c>
      <c r="B274" s="90" t="s">
        <v>45</v>
      </c>
      <c r="C274" s="98" t="s">
        <v>786</v>
      </c>
      <c r="D274" s="92" t="s">
        <v>787</v>
      </c>
      <c r="E274" s="90" t="s">
        <v>34</v>
      </c>
      <c r="F274" s="99">
        <v>14053.54</v>
      </c>
      <c r="G274" s="94">
        <v>119.94</v>
      </c>
      <c r="H274" s="94">
        <v>0</v>
      </c>
      <c r="I274" s="95">
        <v>119.94</v>
      </c>
      <c r="J274" s="95">
        <v>1685581.58</v>
      </c>
      <c r="K274" s="95">
        <v>1.0000000009313226E-2</v>
      </c>
      <c r="L274" s="95">
        <v>1685581.59</v>
      </c>
      <c r="M274" s="96">
        <v>0.27529999999999999</v>
      </c>
      <c r="N274" s="95">
        <v>152.96</v>
      </c>
      <c r="O274" s="95">
        <v>0</v>
      </c>
      <c r="P274" s="95">
        <v>152.96</v>
      </c>
      <c r="Q274" s="95">
        <v>2149629.48</v>
      </c>
      <c r="R274" s="95">
        <v>0</v>
      </c>
      <c r="S274" s="95">
        <v>2149629.48</v>
      </c>
    </row>
    <row r="275" spans="1:19" ht="15" x14ac:dyDescent="0.25">
      <c r="A275" s="90" t="s">
        <v>788</v>
      </c>
      <c r="B275" s="90" t="s">
        <v>31</v>
      </c>
      <c r="C275" s="98" t="s">
        <v>789</v>
      </c>
      <c r="D275" s="92" t="s">
        <v>790</v>
      </c>
      <c r="E275" s="90" t="s">
        <v>34</v>
      </c>
      <c r="F275" s="99">
        <v>4460.84</v>
      </c>
      <c r="G275" s="94">
        <v>17.71</v>
      </c>
      <c r="H275" s="94">
        <v>3.99</v>
      </c>
      <c r="I275" s="95">
        <v>21.700000000000003</v>
      </c>
      <c r="J275" s="95">
        <v>79001.47</v>
      </c>
      <c r="K275" s="95">
        <v>17798.759999999995</v>
      </c>
      <c r="L275" s="95">
        <v>96800.23</v>
      </c>
      <c r="M275" s="96">
        <v>0.27529999999999999</v>
      </c>
      <c r="N275" s="95">
        <v>22.59</v>
      </c>
      <c r="O275" s="95">
        <v>5.09</v>
      </c>
      <c r="P275" s="95">
        <v>27.68</v>
      </c>
      <c r="Q275" s="95">
        <v>100770.38</v>
      </c>
      <c r="R275" s="95">
        <v>22705.68</v>
      </c>
      <c r="S275" s="95">
        <v>123476.06</v>
      </c>
    </row>
    <row r="276" spans="1:19" ht="15" x14ac:dyDescent="0.25">
      <c r="A276" s="90" t="s">
        <v>791</v>
      </c>
      <c r="B276" s="90" t="s">
        <v>31</v>
      </c>
      <c r="C276" s="98" t="s">
        <v>792</v>
      </c>
      <c r="D276" s="92" t="s">
        <v>793</v>
      </c>
      <c r="E276" s="90" t="s">
        <v>34</v>
      </c>
      <c r="F276" s="99">
        <v>4460.84</v>
      </c>
      <c r="G276" s="94">
        <v>17.170000000000002</v>
      </c>
      <c r="H276" s="94">
        <v>17.89</v>
      </c>
      <c r="I276" s="95">
        <v>35.06</v>
      </c>
      <c r="J276" s="95">
        <v>76592.62</v>
      </c>
      <c r="K276" s="95">
        <v>79804.429999999993</v>
      </c>
      <c r="L276" s="95">
        <v>156397.04999999999</v>
      </c>
      <c r="M276" s="96">
        <v>0.27529999999999999</v>
      </c>
      <c r="N276" s="95">
        <v>21.9</v>
      </c>
      <c r="O276" s="95">
        <v>22.82</v>
      </c>
      <c r="P276" s="95">
        <v>44.72</v>
      </c>
      <c r="Q276" s="95">
        <v>97692.4</v>
      </c>
      <c r="R276" s="95">
        <v>101796.37</v>
      </c>
      <c r="S276" s="95">
        <v>199488.77</v>
      </c>
    </row>
    <row r="277" spans="1:19" ht="15" x14ac:dyDescent="0.25">
      <c r="A277" s="90" t="s">
        <v>794</v>
      </c>
      <c r="B277" s="90" t="s">
        <v>31</v>
      </c>
      <c r="C277" s="98" t="s">
        <v>795</v>
      </c>
      <c r="D277" s="92" t="s">
        <v>796</v>
      </c>
      <c r="E277" s="90" t="s">
        <v>34</v>
      </c>
      <c r="F277" s="99">
        <v>18514.38</v>
      </c>
      <c r="G277" s="94">
        <v>3.15</v>
      </c>
      <c r="H277" s="94">
        <v>2.5099999999999998</v>
      </c>
      <c r="I277" s="95">
        <v>5.66</v>
      </c>
      <c r="J277" s="95">
        <v>58320.29</v>
      </c>
      <c r="K277" s="95">
        <v>46471.1</v>
      </c>
      <c r="L277" s="95">
        <v>104791.39</v>
      </c>
      <c r="M277" s="96">
        <v>0.27529999999999999</v>
      </c>
      <c r="N277" s="95">
        <v>4.0199999999999996</v>
      </c>
      <c r="O277" s="95">
        <v>3.2</v>
      </c>
      <c r="P277" s="95">
        <v>7.22</v>
      </c>
      <c r="Q277" s="95">
        <v>74427.81</v>
      </c>
      <c r="R277" s="95">
        <v>59246.02</v>
      </c>
      <c r="S277" s="95">
        <v>133673.82999999999</v>
      </c>
    </row>
    <row r="278" spans="1:19" ht="15" x14ac:dyDescent="0.25">
      <c r="A278" s="90" t="s">
        <v>797</v>
      </c>
      <c r="B278" s="90" t="s">
        <v>31</v>
      </c>
      <c r="C278" s="98" t="s">
        <v>798</v>
      </c>
      <c r="D278" s="92" t="s">
        <v>799</v>
      </c>
      <c r="E278" s="90" t="s">
        <v>34</v>
      </c>
      <c r="F278" s="99">
        <v>18514.38</v>
      </c>
      <c r="G278" s="94">
        <v>9.42</v>
      </c>
      <c r="H278" s="94">
        <v>6.17</v>
      </c>
      <c r="I278" s="95">
        <v>15.59</v>
      </c>
      <c r="J278" s="95">
        <v>174405.45</v>
      </c>
      <c r="K278" s="95">
        <v>114233.72999999998</v>
      </c>
      <c r="L278" s="95">
        <v>288639.18</v>
      </c>
      <c r="M278" s="96">
        <v>0.27529999999999999</v>
      </c>
      <c r="N278" s="95">
        <v>12.01</v>
      </c>
      <c r="O278" s="95">
        <v>7.87</v>
      </c>
      <c r="P278" s="95">
        <v>19.88</v>
      </c>
      <c r="Q278" s="95">
        <v>222357.7</v>
      </c>
      <c r="R278" s="95">
        <v>145708.17000000001</v>
      </c>
      <c r="S278" s="95">
        <v>368065.87</v>
      </c>
    </row>
    <row r="279" spans="1:19" s="89" customFormat="1" x14ac:dyDescent="0.25">
      <c r="A279" s="82" t="s">
        <v>800</v>
      </c>
      <c r="B279" s="82"/>
      <c r="C279" s="83" t="s">
        <v>801</v>
      </c>
      <c r="D279" s="84"/>
      <c r="E279" s="85"/>
      <c r="F279" s="101"/>
      <c r="G279" s="87"/>
      <c r="H279" s="87"/>
      <c r="I279" s="88"/>
      <c r="J279" s="87">
        <v>10892356.839999998</v>
      </c>
      <c r="K279" s="87">
        <v>653774.8000000004</v>
      </c>
      <c r="L279" s="87">
        <v>11546131.639999997</v>
      </c>
      <c r="M279" s="87"/>
      <c r="N279" s="87"/>
      <c r="O279" s="87"/>
      <c r="P279" s="87"/>
      <c r="Q279" s="87">
        <v>13891024.139999999</v>
      </c>
      <c r="R279" s="87">
        <v>833757.10000000021</v>
      </c>
      <c r="S279" s="87">
        <v>14724781.240000006</v>
      </c>
    </row>
    <row r="280" spans="1:19" ht="15" x14ac:dyDescent="0.25">
      <c r="A280" s="90" t="s">
        <v>802</v>
      </c>
      <c r="B280" s="90"/>
      <c r="C280" s="91" t="s">
        <v>803</v>
      </c>
      <c r="D280" s="92"/>
      <c r="E280" s="90"/>
      <c r="F280" s="99"/>
      <c r="G280" s="94"/>
      <c r="H280" s="94"/>
      <c r="I280" s="95"/>
      <c r="J280" s="95"/>
      <c r="K280" s="95"/>
      <c r="L280" s="95"/>
      <c r="M280" s="96"/>
      <c r="N280" s="95"/>
      <c r="O280" s="95"/>
      <c r="P280" s="95"/>
      <c r="Q280" s="95"/>
      <c r="R280" s="95"/>
      <c r="S280" s="95"/>
    </row>
    <row r="281" spans="1:19" ht="15" x14ac:dyDescent="0.25">
      <c r="A281" s="90" t="s">
        <v>804</v>
      </c>
      <c r="B281" s="90" t="s">
        <v>45</v>
      </c>
      <c r="C281" s="98" t="s">
        <v>805</v>
      </c>
      <c r="D281" s="92" t="s">
        <v>806</v>
      </c>
      <c r="E281" s="90" t="s">
        <v>34</v>
      </c>
      <c r="F281" s="99">
        <v>493.23</v>
      </c>
      <c r="G281" s="94">
        <v>815.63</v>
      </c>
      <c r="H281" s="94">
        <v>56.42</v>
      </c>
      <c r="I281" s="95">
        <v>872.05</v>
      </c>
      <c r="J281" s="95">
        <v>402293.18</v>
      </c>
      <c r="K281" s="95">
        <v>27828.039999999979</v>
      </c>
      <c r="L281" s="95">
        <v>430121.22</v>
      </c>
      <c r="M281" s="96">
        <v>0.27529999999999999</v>
      </c>
      <c r="N281" s="95">
        <v>1040.17</v>
      </c>
      <c r="O281" s="95">
        <v>71.95</v>
      </c>
      <c r="P281" s="95">
        <v>1112.1200000000001</v>
      </c>
      <c r="Q281" s="95">
        <v>513043.05</v>
      </c>
      <c r="R281" s="95">
        <v>35487.9</v>
      </c>
      <c r="S281" s="95">
        <v>548530.94999999995</v>
      </c>
    </row>
    <row r="282" spans="1:19" ht="15" x14ac:dyDescent="0.25">
      <c r="A282" s="90" t="s">
        <v>807</v>
      </c>
      <c r="B282" s="90" t="s">
        <v>45</v>
      </c>
      <c r="C282" s="98" t="s">
        <v>808</v>
      </c>
      <c r="D282" s="92" t="s">
        <v>809</v>
      </c>
      <c r="E282" s="90" t="s">
        <v>34</v>
      </c>
      <c r="F282" s="99">
        <v>664.94</v>
      </c>
      <c r="G282" s="94">
        <v>1418.18</v>
      </c>
      <c r="H282" s="94">
        <v>0</v>
      </c>
      <c r="I282" s="95">
        <v>1418.18</v>
      </c>
      <c r="J282" s="95">
        <v>943004.6</v>
      </c>
      <c r="K282" s="95">
        <v>1.0000000009313226E-2</v>
      </c>
      <c r="L282" s="95">
        <v>943004.61</v>
      </c>
      <c r="M282" s="96">
        <v>0.27529999999999999</v>
      </c>
      <c r="N282" s="95">
        <v>1808.6</v>
      </c>
      <c r="O282" s="95">
        <v>0</v>
      </c>
      <c r="P282" s="95">
        <v>1808.6</v>
      </c>
      <c r="Q282" s="95">
        <v>1202610.48</v>
      </c>
      <c r="R282" s="95">
        <v>0</v>
      </c>
      <c r="S282" s="95">
        <v>1202610.48</v>
      </c>
    </row>
    <row r="283" spans="1:19" ht="15" x14ac:dyDescent="0.25">
      <c r="A283" s="90" t="s">
        <v>810</v>
      </c>
      <c r="B283" s="90" t="s">
        <v>86</v>
      </c>
      <c r="C283" s="98" t="s">
        <v>811</v>
      </c>
      <c r="D283" s="92" t="s">
        <v>812</v>
      </c>
      <c r="E283" s="90" t="s">
        <v>34</v>
      </c>
      <c r="F283" s="99">
        <v>1158.17</v>
      </c>
      <c r="G283" s="94">
        <v>99.89</v>
      </c>
      <c r="H283" s="94">
        <v>24.86</v>
      </c>
      <c r="I283" s="95">
        <v>124.75</v>
      </c>
      <c r="J283" s="95">
        <v>115689.60000000001</v>
      </c>
      <c r="K283" s="95">
        <v>28792.109999999986</v>
      </c>
      <c r="L283" s="95">
        <v>144481.71</v>
      </c>
      <c r="M283" s="96">
        <v>0.27529999999999999</v>
      </c>
      <c r="N283" s="95">
        <v>127.39</v>
      </c>
      <c r="O283" s="95">
        <v>31.7</v>
      </c>
      <c r="P283" s="95">
        <v>159.09</v>
      </c>
      <c r="Q283" s="95">
        <v>147539.28</v>
      </c>
      <c r="R283" s="95">
        <v>36713.99</v>
      </c>
      <c r="S283" s="95">
        <v>184253.27</v>
      </c>
    </row>
    <row r="284" spans="1:19" ht="15" x14ac:dyDescent="0.25">
      <c r="A284" s="90" t="s">
        <v>813</v>
      </c>
      <c r="B284" s="90" t="s">
        <v>31</v>
      </c>
      <c r="C284" s="98" t="s">
        <v>814</v>
      </c>
      <c r="D284" s="92" t="s">
        <v>815</v>
      </c>
      <c r="E284" s="90" t="s">
        <v>34</v>
      </c>
      <c r="F284" s="99">
        <v>1158.17</v>
      </c>
      <c r="G284" s="94">
        <v>357.17</v>
      </c>
      <c r="H284" s="94">
        <v>50.33</v>
      </c>
      <c r="I284" s="95">
        <v>407.5</v>
      </c>
      <c r="J284" s="95">
        <v>413663.57</v>
      </c>
      <c r="K284" s="95">
        <v>58290.710000000021</v>
      </c>
      <c r="L284" s="95">
        <v>471954.28</v>
      </c>
      <c r="M284" s="96">
        <v>0.27529999999999999</v>
      </c>
      <c r="N284" s="95">
        <v>455.5</v>
      </c>
      <c r="O284" s="95">
        <v>64.19</v>
      </c>
      <c r="P284" s="95">
        <v>519.69000000000005</v>
      </c>
      <c r="Q284" s="95">
        <v>527546.43999999994</v>
      </c>
      <c r="R284" s="95">
        <v>74342.929999999993</v>
      </c>
      <c r="S284" s="95">
        <v>601889.36999999988</v>
      </c>
    </row>
    <row r="285" spans="1:19" ht="15" x14ac:dyDescent="0.25">
      <c r="A285" s="90" t="s">
        <v>816</v>
      </c>
      <c r="B285" s="90" t="s">
        <v>31</v>
      </c>
      <c r="C285" s="98" t="s">
        <v>817</v>
      </c>
      <c r="D285" s="92" t="s">
        <v>818</v>
      </c>
      <c r="E285" s="90" t="s">
        <v>93</v>
      </c>
      <c r="F285" s="99">
        <v>534</v>
      </c>
      <c r="G285" s="94">
        <v>19.29</v>
      </c>
      <c r="H285" s="94">
        <v>11.48</v>
      </c>
      <c r="I285" s="95">
        <v>30.77</v>
      </c>
      <c r="J285" s="95">
        <v>10300.86</v>
      </c>
      <c r="K285" s="95">
        <v>6130.32</v>
      </c>
      <c r="L285" s="95">
        <v>16431.18</v>
      </c>
      <c r="M285" s="96">
        <v>0.27529999999999999</v>
      </c>
      <c r="N285" s="95">
        <v>24.6</v>
      </c>
      <c r="O285" s="95">
        <v>14.64</v>
      </c>
      <c r="P285" s="95">
        <v>39.24</v>
      </c>
      <c r="Q285" s="95">
        <v>13136.4</v>
      </c>
      <c r="R285" s="95">
        <v>7817.76</v>
      </c>
      <c r="S285" s="95">
        <v>20954.16</v>
      </c>
    </row>
    <row r="286" spans="1:19" ht="15" x14ac:dyDescent="0.25">
      <c r="A286" s="90" t="s">
        <v>819</v>
      </c>
      <c r="B286" s="90" t="s">
        <v>820</v>
      </c>
      <c r="C286" s="98" t="s">
        <v>821</v>
      </c>
      <c r="D286" s="92" t="s">
        <v>822</v>
      </c>
      <c r="E286" s="90" t="s">
        <v>249</v>
      </c>
      <c r="F286" s="99">
        <v>1594.02</v>
      </c>
      <c r="G286" s="94">
        <v>705.78</v>
      </c>
      <c r="H286" s="94">
        <v>53.84</v>
      </c>
      <c r="I286" s="95">
        <v>759.62</v>
      </c>
      <c r="J286" s="95">
        <v>1125027.43</v>
      </c>
      <c r="K286" s="95">
        <v>85822.040000000037</v>
      </c>
      <c r="L286" s="95">
        <v>1210849.47</v>
      </c>
      <c r="M286" s="96">
        <v>0.27529999999999999</v>
      </c>
      <c r="N286" s="95">
        <v>900.08</v>
      </c>
      <c r="O286" s="95">
        <v>68.66</v>
      </c>
      <c r="P286" s="95">
        <v>968.74</v>
      </c>
      <c r="Q286" s="95">
        <v>1434745.52</v>
      </c>
      <c r="R286" s="95">
        <v>109445.41</v>
      </c>
      <c r="S286" s="95">
        <v>1544190.93</v>
      </c>
    </row>
    <row r="287" spans="1:19" ht="15" x14ac:dyDescent="0.25">
      <c r="A287" s="90" t="s">
        <v>823</v>
      </c>
      <c r="B287" s="90"/>
      <c r="C287" s="98" t="s">
        <v>824</v>
      </c>
      <c r="D287" s="92"/>
      <c r="E287" s="90"/>
      <c r="F287" s="99"/>
      <c r="G287" s="94"/>
      <c r="H287" s="94"/>
      <c r="I287" s="95"/>
      <c r="J287" s="95"/>
      <c r="K287" s="95"/>
      <c r="L287" s="95"/>
      <c r="M287" s="96"/>
      <c r="N287" s="95"/>
      <c r="O287" s="95"/>
      <c r="P287" s="95"/>
      <c r="Q287" s="95">
        <v>0</v>
      </c>
      <c r="R287" s="95">
        <v>0</v>
      </c>
      <c r="S287" s="95">
        <v>0</v>
      </c>
    </row>
    <row r="288" spans="1:19" ht="15" x14ac:dyDescent="0.25">
      <c r="A288" s="90" t="s">
        <v>825</v>
      </c>
      <c r="B288" s="90" t="s">
        <v>45</v>
      </c>
      <c r="C288" s="98" t="s">
        <v>826</v>
      </c>
      <c r="D288" s="92" t="s">
        <v>827</v>
      </c>
      <c r="E288" s="90" t="s">
        <v>34</v>
      </c>
      <c r="F288" s="99">
        <v>1594.02</v>
      </c>
      <c r="G288" s="94">
        <v>1381.31</v>
      </c>
      <c r="H288" s="94">
        <v>33.01</v>
      </c>
      <c r="I288" s="95">
        <v>1414.32</v>
      </c>
      <c r="J288" s="95">
        <v>2201835.7599999998</v>
      </c>
      <c r="K288" s="95">
        <v>52618.610000000335</v>
      </c>
      <c r="L288" s="95">
        <v>2254454.37</v>
      </c>
      <c r="M288" s="96">
        <v>0.27529999999999999</v>
      </c>
      <c r="N288" s="95">
        <v>1761.58</v>
      </c>
      <c r="O288" s="95">
        <v>42.1</v>
      </c>
      <c r="P288" s="95">
        <v>1803.6799999999998</v>
      </c>
      <c r="Q288" s="95">
        <v>2807993.75</v>
      </c>
      <c r="R288" s="95">
        <v>67108.240000000005</v>
      </c>
      <c r="S288" s="95">
        <v>2875101.99</v>
      </c>
    </row>
    <row r="289" spans="1:19" ht="15" x14ac:dyDescent="0.25">
      <c r="A289" s="90" t="s">
        <v>828</v>
      </c>
      <c r="B289" s="90" t="s">
        <v>31</v>
      </c>
      <c r="C289" s="98" t="s">
        <v>814</v>
      </c>
      <c r="D289" s="92" t="s">
        <v>829</v>
      </c>
      <c r="E289" s="90" t="s">
        <v>34</v>
      </c>
      <c r="F289" s="99">
        <v>1594.02</v>
      </c>
      <c r="G289" s="94">
        <v>356.8</v>
      </c>
      <c r="H289" s="94">
        <v>50.14</v>
      </c>
      <c r="I289" s="95">
        <v>406.94</v>
      </c>
      <c r="J289" s="95">
        <v>568746.32999999996</v>
      </c>
      <c r="K289" s="95">
        <v>79924.170000000042</v>
      </c>
      <c r="L289" s="95">
        <v>648670.5</v>
      </c>
      <c r="M289" s="96">
        <v>0.27529999999999999</v>
      </c>
      <c r="N289" s="95">
        <v>455.03</v>
      </c>
      <c r="O289" s="95">
        <v>63.94</v>
      </c>
      <c r="P289" s="95">
        <v>518.97</v>
      </c>
      <c r="Q289" s="95">
        <v>725326.92</v>
      </c>
      <c r="R289" s="95">
        <v>101921.64</v>
      </c>
      <c r="S289" s="95">
        <v>827248.56</v>
      </c>
    </row>
    <row r="290" spans="1:19" ht="15" x14ac:dyDescent="0.25">
      <c r="A290" s="90" t="s">
        <v>830</v>
      </c>
      <c r="B290" s="90"/>
      <c r="C290" s="91" t="s">
        <v>831</v>
      </c>
      <c r="D290" s="92"/>
      <c r="E290" s="90"/>
      <c r="F290" s="99"/>
      <c r="G290" s="94"/>
      <c r="H290" s="94"/>
      <c r="I290" s="95"/>
      <c r="J290" s="95"/>
      <c r="K290" s="95"/>
      <c r="L290" s="95"/>
      <c r="M290" s="96"/>
      <c r="N290" s="95"/>
      <c r="O290" s="95"/>
      <c r="P290" s="95"/>
      <c r="Q290" s="95">
        <v>0</v>
      </c>
      <c r="R290" s="95">
        <v>0</v>
      </c>
      <c r="S290" s="95">
        <v>0</v>
      </c>
    </row>
    <row r="291" spans="1:19" ht="15" x14ac:dyDescent="0.25">
      <c r="A291" s="90" t="s">
        <v>832</v>
      </c>
      <c r="B291" s="90" t="s">
        <v>45</v>
      </c>
      <c r="C291" s="98" t="s">
        <v>833</v>
      </c>
      <c r="D291" s="92" t="s">
        <v>834</v>
      </c>
      <c r="E291" s="90" t="s">
        <v>34</v>
      </c>
      <c r="F291" s="99">
        <v>343.56</v>
      </c>
      <c r="G291" s="94">
        <v>1026.97</v>
      </c>
      <c r="H291" s="94">
        <v>68.31</v>
      </c>
      <c r="I291" s="95">
        <v>1095.28</v>
      </c>
      <c r="J291" s="95">
        <v>352825.81</v>
      </c>
      <c r="K291" s="95">
        <v>23468.590000000026</v>
      </c>
      <c r="L291" s="95">
        <v>376294.40000000002</v>
      </c>
      <c r="M291" s="96">
        <v>0.27529999999999999</v>
      </c>
      <c r="N291" s="95">
        <v>1309.69</v>
      </c>
      <c r="O291" s="95">
        <v>87.12</v>
      </c>
      <c r="P291" s="95">
        <v>1396.81</v>
      </c>
      <c r="Q291" s="95">
        <v>449957.1</v>
      </c>
      <c r="R291" s="95">
        <v>29930.95</v>
      </c>
      <c r="S291" s="95">
        <v>479888.05</v>
      </c>
    </row>
    <row r="292" spans="1:19" ht="15" x14ac:dyDescent="0.25">
      <c r="A292" s="90" t="s">
        <v>835</v>
      </c>
      <c r="B292" s="90" t="s">
        <v>86</v>
      </c>
      <c r="C292" s="98" t="s">
        <v>836</v>
      </c>
      <c r="D292" s="92" t="s">
        <v>837</v>
      </c>
      <c r="E292" s="90" t="s">
        <v>34</v>
      </c>
      <c r="F292" s="99">
        <v>44.52</v>
      </c>
      <c r="G292" s="94">
        <v>2347.83</v>
      </c>
      <c r="H292" s="94">
        <v>0</v>
      </c>
      <c r="I292" s="95">
        <v>2347.83</v>
      </c>
      <c r="J292" s="95">
        <v>104525.39</v>
      </c>
      <c r="K292" s="95">
        <v>0</v>
      </c>
      <c r="L292" s="95">
        <v>104525.39</v>
      </c>
      <c r="M292" s="96">
        <v>0.27529999999999999</v>
      </c>
      <c r="N292" s="95">
        <v>2994.19</v>
      </c>
      <c r="O292" s="95">
        <v>0</v>
      </c>
      <c r="P292" s="95">
        <v>2994.19</v>
      </c>
      <c r="Q292" s="95">
        <v>133301.34</v>
      </c>
      <c r="R292" s="95">
        <v>0</v>
      </c>
      <c r="S292" s="95">
        <v>133301.34</v>
      </c>
    </row>
    <row r="293" spans="1:19" ht="15" x14ac:dyDescent="0.25">
      <c r="A293" s="90" t="s">
        <v>838</v>
      </c>
      <c r="B293" s="90" t="s">
        <v>45</v>
      </c>
      <c r="C293" s="98" t="s">
        <v>839</v>
      </c>
      <c r="D293" s="92" t="s">
        <v>840</v>
      </c>
      <c r="E293" s="90" t="s">
        <v>16</v>
      </c>
      <c r="F293" s="99">
        <v>6</v>
      </c>
      <c r="G293" s="94">
        <v>13428.24</v>
      </c>
      <c r="H293" s="94">
        <v>0</v>
      </c>
      <c r="I293" s="95">
        <v>13428.24</v>
      </c>
      <c r="J293" s="95">
        <v>80569.440000000002</v>
      </c>
      <c r="K293" s="95">
        <v>0</v>
      </c>
      <c r="L293" s="95">
        <v>80569.440000000002</v>
      </c>
      <c r="M293" s="96">
        <v>0.27529999999999999</v>
      </c>
      <c r="N293" s="95">
        <v>17125.03</v>
      </c>
      <c r="O293" s="95">
        <v>0</v>
      </c>
      <c r="P293" s="95">
        <v>17125.03</v>
      </c>
      <c r="Q293" s="95">
        <v>102750.18</v>
      </c>
      <c r="R293" s="95">
        <v>0</v>
      </c>
      <c r="S293" s="95">
        <v>102750.18</v>
      </c>
    </row>
    <row r="294" spans="1:19" ht="15" x14ac:dyDescent="0.25">
      <c r="A294" s="90" t="s">
        <v>841</v>
      </c>
      <c r="B294" s="90"/>
      <c r="C294" s="98" t="s">
        <v>842</v>
      </c>
      <c r="D294" s="92"/>
      <c r="E294" s="90"/>
      <c r="F294" s="99"/>
      <c r="G294" s="94"/>
      <c r="H294" s="94"/>
      <c r="I294" s="95"/>
      <c r="J294" s="95"/>
      <c r="K294" s="95"/>
      <c r="L294" s="95"/>
      <c r="M294" s="96"/>
      <c r="N294" s="95"/>
      <c r="O294" s="95"/>
      <c r="P294" s="95"/>
      <c r="Q294" s="95">
        <v>0</v>
      </c>
      <c r="R294" s="95">
        <v>0</v>
      </c>
      <c r="S294" s="95">
        <v>0</v>
      </c>
    </row>
    <row r="295" spans="1:19" ht="15" x14ac:dyDescent="0.25">
      <c r="A295" s="90" t="s">
        <v>843</v>
      </c>
      <c r="B295" s="90" t="s">
        <v>31</v>
      </c>
      <c r="C295" s="98" t="s">
        <v>844</v>
      </c>
      <c r="D295" s="92" t="s">
        <v>845</v>
      </c>
      <c r="E295" s="90" t="s">
        <v>34</v>
      </c>
      <c r="F295" s="99">
        <v>1964.97</v>
      </c>
      <c r="G295" s="94">
        <v>661.34</v>
      </c>
      <c r="H295" s="94">
        <v>7.83</v>
      </c>
      <c r="I295" s="95">
        <v>669.17000000000007</v>
      </c>
      <c r="J295" s="95">
        <v>1299513.25</v>
      </c>
      <c r="K295" s="95">
        <v>15385.719999999972</v>
      </c>
      <c r="L295" s="95">
        <v>1314898.97</v>
      </c>
      <c r="M295" s="96">
        <v>0.27529999999999999</v>
      </c>
      <c r="N295" s="95">
        <v>843.41</v>
      </c>
      <c r="O295" s="95">
        <v>9.99</v>
      </c>
      <c r="P295" s="95">
        <v>853.4</v>
      </c>
      <c r="Q295" s="95">
        <v>1657275.35</v>
      </c>
      <c r="R295" s="95">
        <v>19630.05</v>
      </c>
      <c r="S295" s="95">
        <v>1676905.4000000001</v>
      </c>
    </row>
    <row r="296" spans="1:19" ht="15" x14ac:dyDescent="0.25">
      <c r="A296" s="90" t="s">
        <v>846</v>
      </c>
      <c r="B296" s="90" t="s">
        <v>31</v>
      </c>
      <c r="C296" s="98" t="s">
        <v>847</v>
      </c>
      <c r="D296" s="92" t="s">
        <v>848</v>
      </c>
      <c r="E296" s="90" t="s">
        <v>34</v>
      </c>
      <c r="F296" s="99">
        <v>2.52</v>
      </c>
      <c r="G296" s="94">
        <v>642</v>
      </c>
      <c r="H296" s="94">
        <v>11.42</v>
      </c>
      <c r="I296" s="95">
        <v>653.41999999999996</v>
      </c>
      <c r="J296" s="95">
        <v>1617.84</v>
      </c>
      <c r="K296" s="95">
        <v>28.779999999999973</v>
      </c>
      <c r="L296" s="95">
        <v>1646.62</v>
      </c>
      <c r="M296" s="96">
        <v>0.27529999999999999</v>
      </c>
      <c r="N296" s="95">
        <v>818.74</v>
      </c>
      <c r="O296" s="95">
        <v>14.56</v>
      </c>
      <c r="P296" s="95">
        <v>833.3</v>
      </c>
      <c r="Q296" s="95">
        <v>2063.2199999999998</v>
      </c>
      <c r="R296" s="95">
        <v>36.69</v>
      </c>
      <c r="S296" s="95">
        <v>2099.91</v>
      </c>
    </row>
    <row r="297" spans="1:19" ht="15" x14ac:dyDescent="0.25">
      <c r="A297" s="90" t="s">
        <v>849</v>
      </c>
      <c r="B297" s="90" t="s">
        <v>184</v>
      </c>
      <c r="C297" s="98" t="s">
        <v>850</v>
      </c>
      <c r="D297" s="92" t="s">
        <v>851</v>
      </c>
      <c r="E297" s="90" t="s">
        <v>34</v>
      </c>
      <c r="F297" s="99">
        <v>94.56</v>
      </c>
      <c r="G297" s="94">
        <v>942.23</v>
      </c>
      <c r="H297" s="94">
        <v>16.079999999999998</v>
      </c>
      <c r="I297" s="95">
        <v>958.31000000000006</v>
      </c>
      <c r="J297" s="95">
        <v>89097.26</v>
      </c>
      <c r="K297" s="95">
        <v>1520.5299999999988</v>
      </c>
      <c r="L297" s="95">
        <v>90617.79</v>
      </c>
      <c r="M297" s="96">
        <v>0.27529999999999999</v>
      </c>
      <c r="N297" s="95">
        <v>1201.6300000000001</v>
      </c>
      <c r="O297" s="95">
        <v>20.51</v>
      </c>
      <c r="P297" s="95">
        <v>1222.1400000000001</v>
      </c>
      <c r="Q297" s="95">
        <v>113626.13</v>
      </c>
      <c r="R297" s="95">
        <v>1939.43</v>
      </c>
      <c r="S297" s="95">
        <v>115565.56</v>
      </c>
    </row>
    <row r="298" spans="1:19" ht="15" x14ac:dyDescent="0.25">
      <c r="A298" s="90" t="s">
        <v>852</v>
      </c>
      <c r="B298" s="90" t="s">
        <v>45</v>
      </c>
      <c r="C298" s="98" t="s">
        <v>839</v>
      </c>
      <c r="D298" s="92" t="s">
        <v>840</v>
      </c>
      <c r="E298" s="90" t="s">
        <v>16</v>
      </c>
      <c r="F298" s="99">
        <v>14</v>
      </c>
      <c r="G298" s="94">
        <v>13428.24</v>
      </c>
      <c r="H298" s="94">
        <v>0</v>
      </c>
      <c r="I298" s="95">
        <v>13428.24</v>
      </c>
      <c r="J298" s="95">
        <v>187995.36</v>
      </c>
      <c r="K298" s="95">
        <v>0</v>
      </c>
      <c r="L298" s="95">
        <v>187995.36</v>
      </c>
      <c r="M298" s="96">
        <v>0.27529999999999999</v>
      </c>
      <c r="N298" s="95">
        <v>17125.03</v>
      </c>
      <c r="O298" s="95">
        <v>0</v>
      </c>
      <c r="P298" s="95">
        <v>17125.03</v>
      </c>
      <c r="Q298" s="95">
        <v>239750.42</v>
      </c>
      <c r="R298" s="95">
        <v>0</v>
      </c>
      <c r="S298" s="95">
        <v>239750.42</v>
      </c>
    </row>
    <row r="299" spans="1:19" ht="15" x14ac:dyDescent="0.25">
      <c r="A299" s="90" t="s">
        <v>853</v>
      </c>
      <c r="B299" s="90" t="s">
        <v>45</v>
      </c>
      <c r="C299" s="98" t="s">
        <v>854</v>
      </c>
      <c r="D299" s="92" t="s">
        <v>855</v>
      </c>
      <c r="E299" s="90" t="s">
        <v>34</v>
      </c>
      <c r="F299" s="99">
        <v>89.3</v>
      </c>
      <c r="G299" s="94">
        <v>599.64</v>
      </c>
      <c r="H299" s="94">
        <v>44.6</v>
      </c>
      <c r="I299" s="95">
        <v>644.24</v>
      </c>
      <c r="J299" s="95">
        <v>53547.85</v>
      </c>
      <c r="K299" s="95">
        <v>3982.7799999999988</v>
      </c>
      <c r="L299" s="95">
        <v>57530.63</v>
      </c>
      <c r="M299" s="96">
        <v>0.27529999999999999</v>
      </c>
      <c r="N299" s="95">
        <v>764.72</v>
      </c>
      <c r="O299" s="95">
        <v>56.88</v>
      </c>
      <c r="P299" s="95">
        <v>821.6</v>
      </c>
      <c r="Q299" s="95">
        <v>68289.5</v>
      </c>
      <c r="R299" s="95">
        <v>5079.38</v>
      </c>
      <c r="S299" s="95">
        <v>73368.88</v>
      </c>
    </row>
    <row r="300" spans="1:19" ht="15" x14ac:dyDescent="0.25">
      <c r="A300" s="90" t="s">
        <v>856</v>
      </c>
      <c r="B300" s="90" t="s">
        <v>820</v>
      </c>
      <c r="C300" s="98" t="s">
        <v>821</v>
      </c>
      <c r="D300" s="92" t="s">
        <v>822</v>
      </c>
      <c r="E300" s="90" t="s">
        <v>249</v>
      </c>
      <c r="F300" s="99">
        <v>89.3</v>
      </c>
      <c r="G300" s="94">
        <v>705.78</v>
      </c>
      <c r="H300" s="94">
        <v>53.84</v>
      </c>
      <c r="I300" s="95">
        <v>759.62</v>
      </c>
      <c r="J300" s="95">
        <v>63026.15</v>
      </c>
      <c r="K300" s="95">
        <v>4807.9200000000055</v>
      </c>
      <c r="L300" s="95">
        <v>67834.070000000007</v>
      </c>
      <c r="M300" s="96">
        <v>0.27529999999999999</v>
      </c>
      <c r="N300" s="95">
        <v>900.08</v>
      </c>
      <c r="O300" s="95">
        <v>68.66</v>
      </c>
      <c r="P300" s="95">
        <v>968.74</v>
      </c>
      <c r="Q300" s="95">
        <v>80377.14</v>
      </c>
      <c r="R300" s="95">
        <v>6131.34</v>
      </c>
      <c r="S300" s="95">
        <v>86508.479999999996</v>
      </c>
    </row>
    <row r="301" spans="1:19" ht="15" x14ac:dyDescent="0.25">
      <c r="A301" s="90" t="s">
        <v>857</v>
      </c>
      <c r="B301" s="90" t="s">
        <v>31</v>
      </c>
      <c r="C301" s="98" t="s">
        <v>858</v>
      </c>
      <c r="D301" s="92" t="s">
        <v>859</v>
      </c>
      <c r="E301" s="90" t="s">
        <v>34</v>
      </c>
      <c r="F301" s="99">
        <v>61.91</v>
      </c>
      <c r="G301" s="94">
        <v>808.79</v>
      </c>
      <c r="H301" s="94">
        <v>10.65</v>
      </c>
      <c r="I301" s="95">
        <v>819.43999999999994</v>
      </c>
      <c r="J301" s="95">
        <v>50072.18</v>
      </c>
      <c r="K301" s="95">
        <v>659.34999999999854</v>
      </c>
      <c r="L301" s="95">
        <v>50731.53</v>
      </c>
      <c r="M301" s="96">
        <v>0.27529999999999999</v>
      </c>
      <c r="N301" s="95">
        <v>1031.45</v>
      </c>
      <c r="O301" s="95">
        <v>13.58</v>
      </c>
      <c r="P301" s="95">
        <v>1045.03</v>
      </c>
      <c r="Q301" s="95">
        <v>63857.07</v>
      </c>
      <c r="R301" s="95">
        <v>840.74</v>
      </c>
      <c r="S301" s="95">
        <v>64697.81</v>
      </c>
    </row>
    <row r="302" spans="1:19" ht="15" x14ac:dyDescent="0.25">
      <c r="A302" s="90" t="s">
        <v>860</v>
      </c>
      <c r="B302" s="90"/>
      <c r="C302" s="91" t="s">
        <v>861</v>
      </c>
      <c r="D302" s="92"/>
      <c r="E302" s="90"/>
      <c r="F302" s="99"/>
      <c r="G302" s="94"/>
      <c r="H302" s="94"/>
      <c r="I302" s="95"/>
      <c r="J302" s="95"/>
      <c r="K302" s="95"/>
      <c r="L302" s="95"/>
      <c r="M302" s="96"/>
      <c r="N302" s="95"/>
      <c r="O302" s="95"/>
      <c r="P302" s="95"/>
      <c r="Q302" s="95">
        <v>0</v>
      </c>
      <c r="R302" s="95">
        <v>0</v>
      </c>
      <c r="S302" s="95">
        <v>0</v>
      </c>
    </row>
    <row r="303" spans="1:19" ht="15" x14ac:dyDescent="0.25">
      <c r="A303" s="90" t="s">
        <v>862</v>
      </c>
      <c r="B303" s="90" t="s">
        <v>31</v>
      </c>
      <c r="C303" s="98" t="s">
        <v>863</v>
      </c>
      <c r="D303" s="92" t="s">
        <v>864</v>
      </c>
      <c r="E303" s="90" t="s">
        <v>16</v>
      </c>
      <c r="F303" s="99">
        <v>1188</v>
      </c>
      <c r="G303" s="94">
        <v>138.83000000000001</v>
      </c>
      <c r="H303" s="94">
        <v>28.8</v>
      </c>
      <c r="I303" s="95">
        <v>167.63000000000002</v>
      </c>
      <c r="J303" s="95">
        <v>164930.04</v>
      </c>
      <c r="K303" s="95">
        <v>34214.399999999994</v>
      </c>
      <c r="L303" s="95">
        <v>199144.44</v>
      </c>
      <c r="M303" s="96">
        <v>0.27529999999999999</v>
      </c>
      <c r="N303" s="95">
        <v>177.05</v>
      </c>
      <c r="O303" s="95">
        <v>36.729999999999997</v>
      </c>
      <c r="P303" s="95">
        <v>213.78</v>
      </c>
      <c r="Q303" s="95">
        <v>210335.4</v>
      </c>
      <c r="R303" s="95">
        <v>43635.24</v>
      </c>
      <c r="S303" s="95">
        <v>253970.63999999998</v>
      </c>
    </row>
    <row r="304" spans="1:19" ht="15" x14ac:dyDescent="0.25">
      <c r="A304" s="90" t="s">
        <v>865</v>
      </c>
      <c r="B304" s="90" t="s">
        <v>31</v>
      </c>
      <c r="C304" s="98" t="s">
        <v>866</v>
      </c>
      <c r="D304" s="92" t="s">
        <v>867</v>
      </c>
      <c r="E304" s="90" t="s">
        <v>16</v>
      </c>
      <c r="F304" s="99">
        <v>227</v>
      </c>
      <c r="G304" s="94">
        <v>124.09</v>
      </c>
      <c r="H304" s="94">
        <v>22.05</v>
      </c>
      <c r="I304" s="95">
        <v>146.14000000000001</v>
      </c>
      <c r="J304" s="95">
        <v>28168.43</v>
      </c>
      <c r="K304" s="95">
        <v>5005.3499999999985</v>
      </c>
      <c r="L304" s="95">
        <v>33173.78</v>
      </c>
      <c r="M304" s="96">
        <v>0.27529999999999999</v>
      </c>
      <c r="N304" s="95">
        <v>158.25</v>
      </c>
      <c r="O304" s="95">
        <v>28.12</v>
      </c>
      <c r="P304" s="95">
        <v>186.37</v>
      </c>
      <c r="Q304" s="95">
        <v>35922.75</v>
      </c>
      <c r="R304" s="95">
        <v>6383.24</v>
      </c>
      <c r="S304" s="95">
        <v>42305.99</v>
      </c>
    </row>
    <row r="305" spans="1:19" ht="15" x14ac:dyDescent="0.25">
      <c r="A305" s="90" t="s">
        <v>868</v>
      </c>
      <c r="B305" s="90" t="s">
        <v>45</v>
      </c>
      <c r="C305" s="98" t="s">
        <v>869</v>
      </c>
      <c r="D305" s="92" t="s">
        <v>870</v>
      </c>
      <c r="E305" s="90" t="s">
        <v>93</v>
      </c>
      <c r="F305" s="99">
        <v>935.7</v>
      </c>
      <c r="G305" s="94">
        <v>559.36</v>
      </c>
      <c r="H305" s="94">
        <v>0</v>
      </c>
      <c r="I305" s="95">
        <v>559.36</v>
      </c>
      <c r="J305" s="95">
        <v>523393.15</v>
      </c>
      <c r="K305" s="95">
        <v>0</v>
      </c>
      <c r="L305" s="95">
        <v>523393.15</v>
      </c>
      <c r="M305" s="96">
        <v>0.27529999999999999</v>
      </c>
      <c r="N305" s="95">
        <v>713.35</v>
      </c>
      <c r="O305" s="95">
        <v>0</v>
      </c>
      <c r="P305" s="95">
        <v>713.35</v>
      </c>
      <c r="Q305" s="95">
        <v>667481.59999999998</v>
      </c>
      <c r="R305" s="95">
        <v>0</v>
      </c>
      <c r="S305" s="95">
        <v>667481.59999999998</v>
      </c>
    </row>
    <row r="306" spans="1:19" ht="15" x14ac:dyDescent="0.25">
      <c r="A306" s="90" t="s">
        <v>871</v>
      </c>
      <c r="B306" s="90" t="s">
        <v>31</v>
      </c>
      <c r="C306" s="98" t="s">
        <v>872</v>
      </c>
      <c r="D306" s="92" t="s">
        <v>873</v>
      </c>
      <c r="E306" s="90" t="s">
        <v>16</v>
      </c>
      <c r="F306" s="99">
        <v>204</v>
      </c>
      <c r="G306" s="94">
        <v>433.8</v>
      </c>
      <c r="H306" s="94">
        <v>25.64</v>
      </c>
      <c r="I306" s="95">
        <v>459.44</v>
      </c>
      <c r="J306" s="95">
        <v>88495.2</v>
      </c>
      <c r="K306" s="95">
        <v>5230.5599999999977</v>
      </c>
      <c r="L306" s="95">
        <v>93725.759999999995</v>
      </c>
      <c r="M306" s="96">
        <v>0.27529999999999999</v>
      </c>
      <c r="N306" s="95">
        <v>553.23</v>
      </c>
      <c r="O306" s="95">
        <v>32.700000000000003</v>
      </c>
      <c r="P306" s="95">
        <v>585.93000000000006</v>
      </c>
      <c r="Q306" s="95">
        <v>112858.92</v>
      </c>
      <c r="R306" s="95">
        <v>6670.8</v>
      </c>
      <c r="S306" s="95">
        <v>119529.72</v>
      </c>
    </row>
    <row r="307" spans="1:19" ht="15" x14ac:dyDescent="0.25">
      <c r="A307" s="90" t="s">
        <v>874</v>
      </c>
      <c r="B307" s="90" t="s">
        <v>31</v>
      </c>
      <c r="C307" s="98" t="s">
        <v>875</v>
      </c>
      <c r="D307" s="92" t="s">
        <v>876</v>
      </c>
      <c r="E307" s="90" t="s">
        <v>16</v>
      </c>
      <c r="F307" s="99">
        <v>106</v>
      </c>
      <c r="G307" s="94">
        <v>824.57</v>
      </c>
      <c r="H307" s="94">
        <v>57.69</v>
      </c>
      <c r="I307" s="95">
        <v>882.26</v>
      </c>
      <c r="J307" s="95">
        <v>87404.42</v>
      </c>
      <c r="K307" s="95">
        <v>6115.1399999999994</v>
      </c>
      <c r="L307" s="95">
        <v>93519.56</v>
      </c>
      <c r="M307" s="96">
        <v>0.27529999999999999</v>
      </c>
      <c r="N307" s="95">
        <v>1051.57</v>
      </c>
      <c r="O307" s="95">
        <v>73.569999999999993</v>
      </c>
      <c r="P307" s="95">
        <v>1125.1399999999999</v>
      </c>
      <c r="Q307" s="95">
        <v>111466.42</v>
      </c>
      <c r="R307" s="95">
        <v>7798.42</v>
      </c>
      <c r="S307" s="95">
        <v>119264.84</v>
      </c>
    </row>
    <row r="308" spans="1:19" ht="15" x14ac:dyDescent="0.25">
      <c r="A308" s="90" t="s">
        <v>877</v>
      </c>
      <c r="B308" s="90" t="s">
        <v>31</v>
      </c>
      <c r="C308" s="98" t="s">
        <v>878</v>
      </c>
      <c r="D308" s="92" t="s">
        <v>879</v>
      </c>
      <c r="E308" s="90" t="s">
        <v>16</v>
      </c>
      <c r="F308" s="99">
        <v>12</v>
      </c>
      <c r="G308" s="94">
        <v>148.69999999999999</v>
      </c>
      <c r="H308" s="94">
        <v>0</v>
      </c>
      <c r="I308" s="95">
        <v>148.69999999999999</v>
      </c>
      <c r="J308" s="95">
        <v>1784.4</v>
      </c>
      <c r="K308" s="95">
        <v>0</v>
      </c>
      <c r="L308" s="95">
        <v>1784.4</v>
      </c>
      <c r="M308" s="96">
        <v>0.27529999999999999</v>
      </c>
      <c r="N308" s="95">
        <v>189.64</v>
      </c>
      <c r="O308" s="95">
        <v>0</v>
      </c>
      <c r="P308" s="95">
        <v>189.64</v>
      </c>
      <c r="Q308" s="95">
        <v>2275.6799999999998</v>
      </c>
      <c r="R308" s="95">
        <v>0</v>
      </c>
      <c r="S308" s="95">
        <v>2275.6799999999998</v>
      </c>
    </row>
    <row r="309" spans="1:19" ht="15" x14ac:dyDescent="0.25">
      <c r="A309" s="90" t="s">
        <v>880</v>
      </c>
      <c r="B309" s="90"/>
      <c r="C309" s="91" t="s">
        <v>881</v>
      </c>
      <c r="D309" s="92"/>
      <c r="E309" s="90"/>
      <c r="F309" s="99"/>
      <c r="G309" s="94"/>
      <c r="H309" s="94"/>
      <c r="I309" s="95"/>
      <c r="J309" s="95"/>
      <c r="K309" s="95"/>
      <c r="L309" s="95"/>
      <c r="M309" s="96"/>
      <c r="N309" s="95"/>
      <c r="O309" s="95"/>
      <c r="P309" s="95"/>
      <c r="Q309" s="95">
        <v>0</v>
      </c>
      <c r="R309" s="95">
        <v>0</v>
      </c>
      <c r="S309" s="95">
        <v>0</v>
      </c>
    </row>
    <row r="310" spans="1:19" ht="25.5" x14ac:dyDescent="0.25">
      <c r="A310" s="90" t="s">
        <v>882</v>
      </c>
      <c r="B310" s="90" t="s">
        <v>184</v>
      </c>
      <c r="C310" s="98" t="s">
        <v>883</v>
      </c>
      <c r="D310" s="92" t="s">
        <v>884</v>
      </c>
      <c r="E310" s="90" t="s">
        <v>34</v>
      </c>
      <c r="F310" s="99">
        <v>1900</v>
      </c>
      <c r="G310" s="94">
        <v>417.72</v>
      </c>
      <c r="H310" s="94">
        <v>95.51</v>
      </c>
      <c r="I310" s="95">
        <v>513.23</v>
      </c>
      <c r="J310" s="95">
        <v>793668</v>
      </c>
      <c r="K310" s="95">
        <v>181469</v>
      </c>
      <c r="L310" s="95">
        <v>975137</v>
      </c>
      <c r="M310" s="96">
        <v>0.27529999999999999</v>
      </c>
      <c r="N310" s="95">
        <v>532.72</v>
      </c>
      <c r="O310" s="95">
        <v>121.8</v>
      </c>
      <c r="P310" s="95">
        <v>654.52</v>
      </c>
      <c r="Q310" s="95">
        <v>1012168</v>
      </c>
      <c r="R310" s="95">
        <v>231420</v>
      </c>
      <c r="S310" s="95">
        <v>1243588</v>
      </c>
    </row>
    <row r="311" spans="1:19" ht="15" x14ac:dyDescent="0.25">
      <c r="A311" s="90" t="s">
        <v>885</v>
      </c>
      <c r="B311" s="90" t="s">
        <v>45</v>
      </c>
      <c r="C311" s="98" t="s">
        <v>886</v>
      </c>
      <c r="D311" s="92" t="s">
        <v>887</v>
      </c>
      <c r="E311" s="90" t="s">
        <v>16</v>
      </c>
      <c r="F311" s="99">
        <v>6</v>
      </c>
      <c r="G311" s="94">
        <v>4566.2700000000004</v>
      </c>
      <c r="H311" s="94">
        <v>42.69</v>
      </c>
      <c r="I311" s="95">
        <v>4608.96</v>
      </c>
      <c r="J311" s="95">
        <v>27397.62</v>
      </c>
      <c r="K311" s="95">
        <v>256.13999999999942</v>
      </c>
      <c r="L311" s="95">
        <v>27653.759999999998</v>
      </c>
      <c r="M311" s="96">
        <v>0.27529999999999999</v>
      </c>
      <c r="N311" s="95">
        <v>5823.36</v>
      </c>
      <c r="O311" s="95">
        <v>54.44</v>
      </c>
      <c r="P311" s="95">
        <v>5877.7999999999993</v>
      </c>
      <c r="Q311" s="95">
        <v>34940.160000000003</v>
      </c>
      <c r="R311" s="95">
        <v>326.64</v>
      </c>
      <c r="S311" s="95">
        <v>35266.800000000003</v>
      </c>
    </row>
    <row r="312" spans="1:19" ht="25.5" x14ac:dyDescent="0.25">
      <c r="A312" s="90" t="s">
        <v>888</v>
      </c>
      <c r="B312" s="90" t="s">
        <v>184</v>
      </c>
      <c r="C312" s="98" t="s">
        <v>889</v>
      </c>
      <c r="D312" s="92" t="s">
        <v>890</v>
      </c>
      <c r="E312" s="90" t="s">
        <v>34</v>
      </c>
      <c r="F312" s="99">
        <v>33.340000000000003</v>
      </c>
      <c r="G312" s="94">
        <v>736.42</v>
      </c>
      <c r="H312" s="94">
        <v>103.78</v>
      </c>
      <c r="I312" s="95">
        <v>840.19999999999993</v>
      </c>
      <c r="J312" s="95">
        <v>24552.240000000002</v>
      </c>
      <c r="K312" s="95">
        <v>3460.0299999999988</v>
      </c>
      <c r="L312" s="95">
        <v>28012.27</v>
      </c>
      <c r="M312" s="96">
        <v>0.27529999999999999</v>
      </c>
      <c r="N312" s="95">
        <v>939.16</v>
      </c>
      <c r="O312" s="95">
        <v>132.35</v>
      </c>
      <c r="P312" s="95">
        <v>1071.51</v>
      </c>
      <c r="Q312" s="95">
        <v>31311.59</v>
      </c>
      <c r="R312" s="95">
        <v>4412.55</v>
      </c>
      <c r="S312" s="95">
        <v>35724.14</v>
      </c>
    </row>
    <row r="313" spans="1:19" ht="15" x14ac:dyDescent="0.25">
      <c r="A313" s="90" t="s">
        <v>891</v>
      </c>
      <c r="B313" s="90"/>
      <c r="C313" s="91" t="s">
        <v>892</v>
      </c>
      <c r="D313" s="92"/>
      <c r="E313" s="90"/>
      <c r="F313" s="99"/>
      <c r="G313" s="94"/>
      <c r="H313" s="94"/>
      <c r="I313" s="95"/>
      <c r="J313" s="95"/>
      <c r="K313" s="95"/>
      <c r="L313" s="95"/>
      <c r="M313" s="96"/>
      <c r="N313" s="95"/>
      <c r="O313" s="95"/>
      <c r="P313" s="95"/>
      <c r="Q313" s="95">
        <v>0</v>
      </c>
      <c r="R313" s="95">
        <v>0</v>
      </c>
      <c r="S313" s="95">
        <v>0</v>
      </c>
    </row>
    <row r="314" spans="1:19" ht="15" x14ac:dyDescent="0.25">
      <c r="A314" s="90" t="s">
        <v>893</v>
      </c>
      <c r="B314" s="90" t="s">
        <v>31</v>
      </c>
      <c r="C314" s="98" t="s">
        <v>894</v>
      </c>
      <c r="D314" s="92" t="s">
        <v>895</v>
      </c>
      <c r="E314" s="90" t="s">
        <v>93</v>
      </c>
      <c r="F314" s="99">
        <v>51</v>
      </c>
      <c r="G314" s="94">
        <v>2846.6</v>
      </c>
      <c r="H314" s="94">
        <v>333.08</v>
      </c>
      <c r="I314" s="95">
        <v>3179.68</v>
      </c>
      <c r="J314" s="95">
        <v>145176.6</v>
      </c>
      <c r="K314" s="95">
        <v>16987.079999999987</v>
      </c>
      <c r="L314" s="95">
        <v>162163.68</v>
      </c>
      <c r="M314" s="96">
        <v>0.27529999999999999</v>
      </c>
      <c r="N314" s="95">
        <v>3630.27</v>
      </c>
      <c r="O314" s="95">
        <v>424.78</v>
      </c>
      <c r="P314" s="95">
        <v>4055.05</v>
      </c>
      <c r="Q314" s="95">
        <v>185143.77</v>
      </c>
      <c r="R314" s="95">
        <v>21663.78</v>
      </c>
      <c r="S314" s="95">
        <v>206807.55</v>
      </c>
    </row>
    <row r="315" spans="1:19" ht="15" x14ac:dyDescent="0.25">
      <c r="A315" s="90" t="s">
        <v>896</v>
      </c>
      <c r="B315" s="90" t="s">
        <v>382</v>
      </c>
      <c r="C315" s="98" t="s">
        <v>897</v>
      </c>
      <c r="D315" s="92" t="s">
        <v>898</v>
      </c>
      <c r="E315" s="90" t="s">
        <v>93</v>
      </c>
      <c r="F315" s="99">
        <v>1069.19</v>
      </c>
      <c r="G315" s="94">
        <v>818.66</v>
      </c>
      <c r="H315" s="94">
        <v>0</v>
      </c>
      <c r="I315" s="95">
        <v>818.66</v>
      </c>
      <c r="J315" s="95">
        <v>875303.08</v>
      </c>
      <c r="K315" s="95">
        <v>1.0000000009313226E-2</v>
      </c>
      <c r="L315" s="95">
        <v>875303.09</v>
      </c>
      <c r="M315" s="96">
        <v>0.27529999999999999</v>
      </c>
      <c r="N315" s="95">
        <v>1044.04</v>
      </c>
      <c r="O315" s="95">
        <v>0</v>
      </c>
      <c r="P315" s="95">
        <v>1044.04</v>
      </c>
      <c r="Q315" s="95">
        <v>1116277.1299999999</v>
      </c>
      <c r="R315" s="95">
        <v>0</v>
      </c>
      <c r="S315" s="95">
        <v>1116277.1299999999</v>
      </c>
    </row>
    <row r="316" spans="1:19" ht="25.5" x14ac:dyDescent="0.25">
      <c r="A316" s="90" t="s">
        <v>899</v>
      </c>
      <c r="B316" s="90" t="s">
        <v>184</v>
      </c>
      <c r="C316" s="98" t="s">
        <v>900</v>
      </c>
      <c r="D316" s="92" t="s">
        <v>901</v>
      </c>
      <c r="E316" s="90" t="s">
        <v>93</v>
      </c>
      <c r="F316" s="99">
        <v>18.5</v>
      </c>
      <c r="G316" s="94">
        <v>880.55</v>
      </c>
      <c r="H316" s="94">
        <v>37.619999999999997</v>
      </c>
      <c r="I316" s="95">
        <v>918.17</v>
      </c>
      <c r="J316" s="95">
        <v>16290.17</v>
      </c>
      <c r="K316" s="95">
        <v>695.98000000000138</v>
      </c>
      <c r="L316" s="95">
        <v>16986.150000000001</v>
      </c>
      <c r="M316" s="96">
        <v>0.27529999999999999</v>
      </c>
      <c r="N316" s="95">
        <v>1122.97</v>
      </c>
      <c r="O316" s="95">
        <v>47.98</v>
      </c>
      <c r="P316" s="95">
        <v>1170.95</v>
      </c>
      <c r="Q316" s="95">
        <v>20774.95</v>
      </c>
      <c r="R316" s="95">
        <v>887.63</v>
      </c>
      <c r="S316" s="95">
        <v>21662.58</v>
      </c>
    </row>
    <row r="317" spans="1:19" ht="15" x14ac:dyDescent="0.25">
      <c r="A317" s="90" t="s">
        <v>902</v>
      </c>
      <c r="B317" s="90"/>
      <c r="C317" s="91" t="s">
        <v>903</v>
      </c>
      <c r="D317" s="92"/>
      <c r="E317" s="90"/>
      <c r="F317" s="99"/>
      <c r="G317" s="94"/>
      <c r="H317" s="94"/>
      <c r="I317" s="95"/>
      <c r="J317" s="95"/>
      <c r="K317" s="95"/>
      <c r="L317" s="95"/>
      <c r="M317" s="96"/>
      <c r="N317" s="95"/>
      <c r="O317" s="95"/>
      <c r="P317" s="95"/>
      <c r="Q317" s="95">
        <v>0</v>
      </c>
      <c r="R317" s="95">
        <v>0</v>
      </c>
      <c r="S317" s="95">
        <v>0</v>
      </c>
    </row>
    <row r="318" spans="1:19" ht="15" x14ac:dyDescent="0.25">
      <c r="A318" s="90" t="s">
        <v>904</v>
      </c>
      <c r="B318" s="90" t="s">
        <v>382</v>
      </c>
      <c r="C318" s="98" t="s">
        <v>905</v>
      </c>
      <c r="D318" s="92" t="s">
        <v>906</v>
      </c>
      <c r="E318" s="90" t="s">
        <v>93</v>
      </c>
      <c r="F318" s="99">
        <v>28.04</v>
      </c>
      <c r="G318" s="94">
        <v>1438.87</v>
      </c>
      <c r="H318" s="94">
        <v>84.18</v>
      </c>
      <c r="I318" s="95">
        <v>1523.05</v>
      </c>
      <c r="J318" s="95">
        <v>40345.910000000003</v>
      </c>
      <c r="K318" s="95">
        <v>2360.4099999999962</v>
      </c>
      <c r="L318" s="95">
        <v>42706.32</v>
      </c>
      <c r="M318" s="96">
        <v>0.27529999999999999</v>
      </c>
      <c r="N318" s="95">
        <v>1834.99</v>
      </c>
      <c r="O318" s="95">
        <v>107.35</v>
      </c>
      <c r="P318" s="95">
        <v>1942.34</v>
      </c>
      <c r="Q318" s="95">
        <v>51453.120000000003</v>
      </c>
      <c r="R318" s="95">
        <v>3010.09</v>
      </c>
      <c r="S318" s="95">
        <v>54463.210000000006</v>
      </c>
    </row>
    <row r="319" spans="1:19" ht="15" x14ac:dyDescent="0.25">
      <c r="A319" s="90" t="s">
        <v>907</v>
      </c>
      <c r="B319" s="90" t="s">
        <v>184</v>
      </c>
      <c r="C319" s="98" t="s">
        <v>908</v>
      </c>
      <c r="D319" s="92" t="s">
        <v>909</v>
      </c>
      <c r="E319" s="90" t="s">
        <v>16</v>
      </c>
      <c r="F319" s="99">
        <v>12</v>
      </c>
      <c r="G319" s="94">
        <v>232.32</v>
      </c>
      <c r="H319" s="94">
        <v>44.71</v>
      </c>
      <c r="I319" s="95">
        <v>277.02999999999997</v>
      </c>
      <c r="J319" s="95">
        <v>2787.84</v>
      </c>
      <c r="K319" s="95">
        <v>536.52</v>
      </c>
      <c r="L319" s="95">
        <v>3324.36</v>
      </c>
      <c r="M319" s="96">
        <v>0.27529999999999999</v>
      </c>
      <c r="N319" s="95">
        <v>296.27999999999997</v>
      </c>
      <c r="O319" s="95">
        <v>57.02</v>
      </c>
      <c r="P319" s="95">
        <v>353.29999999999995</v>
      </c>
      <c r="Q319" s="95">
        <v>3555.36</v>
      </c>
      <c r="R319" s="95">
        <v>684.24</v>
      </c>
      <c r="S319" s="95">
        <v>4239.6000000000004</v>
      </c>
    </row>
    <row r="320" spans="1:19" ht="15" x14ac:dyDescent="0.25">
      <c r="A320" s="90" t="s">
        <v>910</v>
      </c>
      <c r="B320" s="90"/>
      <c r="C320" s="91" t="s">
        <v>911</v>
      </c>
      <c r="D320" s="92"/>
      <c r="E320" s="90"/>
      <c r="F320" s="99"/>
      <c r="G320" s="94"/>
      <c r="H320" s="94"/>
      <c r="I320" s="95"/>
      <c r="J320" s="95"/>
      <c r="K320" s="95"/>
      <c r="L320" s="95"/>
      <c r="M320" s="96"/>
      <c r="N320" s="95"/>
      <c r="O320" s="95"/>
      <c r="P320" s="95"/>
      <c r="Q320" s="95">
        <v>0</v>
      </c>
      <c r="R320" s="95">
        <v>0</v>
      </c>
      <c r="S320" s="95">
        <v>0</v>
      </c>
    </row>
    <row r="321" spans="1:19" ht="15" x14ac:dyDescent="0.25">
      <c r="A321" s="90" t="s">
        <v>912</v>
      </c>
      <c r="B321" s="90" t="s">
        <v>184</v>
      </c>
      <c r="C321" s="98" t="s">
        <v>913</v>
      </c>
      <c r="D321" s="92" t="s">
        <v>914</v>
      </c>
      <c r="E321" s="90" t="s">
        <v>93</v>
      </c>
      <c r="F321" s="99">
        <v>170.17</v>
      </c>
      <c r="G321" s="94">
        <v>32.369999999999997</v>
      </c>
      <c r="H321" s="94">
        <v>34.57</v>
      </c>
      <c r="I321" s="95">
        <v>66.94</v>
      </c>
      <c r="J321" s="95">
        <v>5508.4</v>
      </c>
      <c r="K321" s="95">
        <v>5882.7800000000007</v>
      </c>
      <c r="L321" s="95">
        <v>11391.18</v>
      </c>
      <c r="M321" s="96">
        <v>0.27529999999999999</v>
      </c>
      <c r="N321" s="95">
        <v>41.28</v>
      </c>
      <c r="O321" s="95">
        <v>44.09</v>
      </c>
      <c r="P321" s="95">
        <v>85.37</v>
      </c>
      <c r="Q321" s="95">
        <v>7024.62</v>
      </c>
      <c r="R321" s="95">
        <v>7502.8</v>
      </c>
      <c r="S321" s="95">
        <v>14527.42</v>
      </c>
    </row>
    <row r="322" spans="1:19" ht="15" x14ac:dyDescent="0.25">
      <c r="A322" s="90" t="s">
        <v>915</v>
      </c>
      <c r="B322" s="90" t="s">
        <v>95</v>
      </c>
      <c r="C322" s="98" t="s">
        <v>916</v>
      </c>
      <c r="D322" s="92" t="s">
        <v>917</v>
      </c>
      <c r="E322" s="90" t="s">
        <v>34</v>
      </c>
      <c r="F322" s="99">
        <v>31.1</v>
      </c>
      <c r="G322" s="94">
        <v>122.17</v>
      </c>
      <c r="H322" s="94">
        <v>74.010000000000005</v>
      </c>
      <c r="I322" s="95">
        <v>196.18</v>
      </c>
      <c r="J322" s="95">
        <v>3799.48</v>
      </c>
      <c r="K322" s="95">
        <v>2301.7199999999998</v>
      </c>
      <c r="L322" s="95">
        <v>6101.2</v>
      </c>
      <c r="M322" s="96">
        <v>0.27529999999999999</v>
      </c>
      <c r="N322" s="95">
        <v>155.80000000000001</v>
      </c>
      <c r="O322" s="95">
        <v>94.38</v>
      </c>
      <c r="P322" s="95">
        <v>250.18</v>
      </c>
      <c r="Q322" s="95">
        <v>4845.38</v>
      </c>
      <c r="R322" s="95">
        <v>2935.22</v>
      </c>
      <c r="S322" s="95">
        <v>7780.6</v>
      </c>
    </row>
    <row r="323" spans="1:19" s="89" customFormat="1" x14ac:dyDescent="0.25">
      <c r="A323" s="82" t="s">
        <v>918</v>
      </c>
      <c r="B323" s="82"/>
      <c r="C323" s="83" t="s">
        <v>919</v>
      </c>
      <c r="D323" s="84"/>
      <c r="E323" s="85"/>
      <c r="F323" s="101"/>
      <c r="G323" s="87"/>
      <c r="H323" s="87"/>
      <c r="I323" s="88"/>
      <c r="J323" s="87">
        <v>1788815.48</v>
      </c>
      <c r="K323" s="87">
        <v>233983.92</v>
      </c>
      <c r="L323" s="87">
        <v>2022799.4</v>
      </c>
      <c r="M323" s="87"/>
      <c r="N323" s="87">
        <v>0</v>
      </c>
      <c r="O323" s="87">
        <v>0</v>
      </c>
      <c r="P323" s="87">
        <v>0</v>
      </c>
      <c r="Q323" s="87">
        <v>2281186.48</v>
      </c>
      <c r="R323" s="87">
        <v>298418.78999999998</v>
      </c>
      <c r="S323" s="87">
        <v>2579605.27</v>
      </c>
    </row>
    <row r="324" spans="1:19" ht="15" x14ac:dyDescent="0.25">
      <c r="A324" s="90" t="s">
        <v>920</v>
      </c>
      <c r="B324" s="90" t="s">
        <v>31</v>
      </c>
      <c r="C324" s="98" t="s">
        <v>921</v>
      </c>
      <c r="D324" s="92" t="s">
        <v>922</v>
      </c>
      <c r="E324" s="90" t="s">
        <v>34</v>
      </c>
      <c r="F324" s="99">
        <v>2714</v>
      </c>
      <c r="G324" s="94">
        <v>194.67</v>
      </c>
      <c r="H324" s="94">
        <v>2.21</v>
      </c>
      <c r="I324" s="95">
        <v>196.88</v>
      </c>
      <c r="J324" s="95">
        <v>528334.38</v>
      </c>
      <c r="K324" s="95">
        <v>5997.9399999999441</v>
      </c>
      <c r="L324" s="95">
        <v>534332.31999999995</v>
      </c>
      <c r="M324" s="96">
        <v>0.27529999999999999</v>
      </c>
      <c r="N324" s="95">
        <v>248.26</v>
      </c>
      <c r="O324" s="95">
        <v>2.82</v>
      </c>
      <c r="P324" s="95">
        <v>251.07999999999998</v>
      </c>
      <c r="Q324" s="95">
        <v>673777.64</v>
      </c>
      <c r="R324" s="95">
        <v>7653.48</v>
      </c>
      <c r="S324" s="95">
        <v>681431.12</v>
      </c>
    </row>
    <row r="325" spans="1:19" ht="15" x14ac:dyDescent="0.25">
      <c r="A325" s="90" t="s">
        <v>923</v>
      </c>
      <c r="B325" s="90" t="s">
        <v>31</v>
      </c>
      <c r="C325" s="98" t="s">
        <v>924</v>
      </c>
      <c r="D325" s="92" t="s">
        <v>925</v>
      </c>
      <c r="E325" s="90" t="s">
        <v>93</v>
      </c>
      <c r="F325" s="99">
        <v>12</v>
      </c>
      <c r="G325" s="94">
        <v>28.47</v>
      </c>
      <c r="H325" s="94">
        <v>0</v>
      </c>
      <c r="I325" s="95">
        <v>28.47</v>
      </c>
      <c r="J325" s="95">
        <v>341.64</v>
      </c>
      <c r="K325" s="95">
        <v>0</v>
      </c>
      <c r="L325" s="95">
        <v>341.64</v>
      </c>
      <c r="M325" s="96">
        <v>0.27529999999999999</v>
      </c>
      <c r="N325" s="95">
        <v>36.31</v>
      </c>
      <c r="O325" s="95">
        <v>0</v>
      </c>
      <c r="P325" s="95">
        <v>36.31</v>
      </c>
      <c r="Q325" s="95">
        <v>435.72</v>
      </c>
      <c r="R325" s="95">
        <v>0</v>
      </c>
      <c r="S325" s="95">
        <v>435.72</v>
      </c>
    </row>
    <row r="326" spans="1:19" ht="15" x14ac:dyDescent="0.25">
      <c r="A326" s="90" t="s">
        <v>926</v>
      </c>
      <c r="B326" s="90" t="s">
        <v>31</v>
      </c>
      <c r="C326" s="98" t="s">
        <v>927</v>
      </c>
      <c r="D326" s="92" t="s">
        <v>928</v>
      </c>
      <c r="E326" s="90" t="s">
        <v>93</v>
      </c>
      <c r="F326" s="99">
        <v>325</v>
      </c>
      <c r="G326" s="94">
        <v>141.96</v>
      </c>
      <c r="H326" s="94">
        <v>22.15</v>
      </c>
      <c r="I326" s="95">
        <v>164.11</v>
      </c>
      <c r="J326" s="95">
        <v>46137</v>
      </c>
      <c r="K326" s="95">
        <v>7198.75</v>
      </c>
      <c r="L326" s="95">
        <v>53335.75</v>
      </c>
      <c r="M326" s="96">
        <v>0.27529999999999999</v>
      </c>
      <c r="N326" s="95">
        <v>181.04</v>
      </c>
      <c r="O326" s="95">
        <v>28.25</v>
      </c>
      <c r="P326" s="95">
        <v>209.29</v>
      </c>
      <c r="Q326" s="95">
        <v>58838</v>
      </c>
      <c r="R326" s="95">
        <v>9181.25</v>
      </c>
      <c r="S326" s="95">
        <v>68019.25</v>
      </c>
    </row>
    <row r="327" spans="1:19" ht="15" x14ac:dyDescent="0.25">
      <c r="A327" s="90" t="s">
        <v>929</v>
      </c>
      <c r="B327" s="90" t="s">
        <v>233</v>
      </c>
      <c r="C327" s="98" t="s">
        <v>703</v>
      </c>
      <c r="D327" s="92" t="s">
        <v>704</v>
      </c>
      <c r="E327" s="90" t="s">
        <v>385</v>
      </c>
      <c r="F327" s="99">
        <v>26943.06</v>
      </c>
      <c r="G327" s="94">
        <v>13.16</v>
      </c>
      <c r="H327" s="94">
        <v>2.65</v>
      </c>
      <c r="I327" s="95">
        <v>15.81</v>
      </c>
      <c r="J327" s="95">
        <v>354570.66</v>
      </c>
      <c r="K327" s="95">
        <v>71399.120000000054</v>
      </c>
      <c r="L327" s="95">
        <v>425969.78</v>
      </c>
      <c r="M327" s="96">
        <v>0.27529999999999999</v>
      </c>
      <c r="N327" s="95">
        <v>16.78</v>
      </c>
      <c r="O327" s="95">
        <v>3.38</v>
      </c>
      <c r="P327" s="95">
        <v>20.16</v>
      </c>
      <c r="Q327" s="95">
        <v>452104.55</v>
      </c>
      <c r="R327" s="95">
        <v>91067.54</v>
      </c>
      <c r="S327" s="95">
        <v>543172.09</v>
      </c>
    </row>
    <row r="328" spans="1:19" ht="15" x14ac:dyDescent="0.25">
      <c r="A328" s="90" t="s">
        <v>930</v>
      </c>
      <c r="B328" s="90" t="s">
        <v>184</v>
      </c>
      <c r="C328" s="98" t="s">
        <v>931</v>
      </c>
      <c r="D328" s="92" t="s">
        <v>932</v>
      </c>
      <c r="E328" s="90" t="s">
        <v>93</v>
      </c>
      <c r="F328" s="99">
        <v>390</v>
      </c>
      <c r="G328" s="94">
        <v>75.16</v>
      </c>
      <c r="H328" s="94">
        <v>17.2</v>
      </c>
      <c r="I328" s="95">
        <v>92.36</v>
      </c>
      <c r="J328" s="95">
        <v>29312.400000000001</v>
      </c>
      <c r="K328" s="95">
        <v>6708</v>
      </c>
      <c r="L328" s="95">
        <v>36020.400000000001</v>
      </c>
      <c r="M328" s="96">
        <v>0.27529999999999999</v>
      </c>
      <c r="N328" s="95">
        <v>95.85</v>
      </c>
      <c r="O328" s="95">
        <v>21.94</v>
      </c>
      <c r="P328" s="95">
        <v>117.78999999999999</v>
      </c>
      <c r="Q328" s="95">
        <v>37381.5</v>
      </c>
      <c r="R328" s="95">
        <v>8556.6</v>
      </c>
      <c r="S328" s="95">
        <v>45938.1</v>
      </c>
    </row>
    <row r="329" spans="1:19" ht="25.5" x14ac:dyDescent="0.25">
      <c r="A329" s="90" t="s">
        <v>933</v>
      </c>
      <c r="B329" s="90" t="s">
        <v>184</v>
      </c>
      <c r="C329" s="98" t="s">
        <v>934</v>
      </c>
      <c r="D329" s="92" t="s">
        <v>935</v>
      </c>
      <c r="E329" s="90" t="s">
        <v>34</v>
      </c>
      <c r="F329" s="99">
        <v>2292</v>
      </c>
      <c r="G329" s="94">
        <v>157.97999999999999</v>
      </c>
      <c r="H329" s="94">
        <v>51.7</v>
      </c>
      <c r="I329" s="95">
        <v>209.68</v>
      </c>
      <c r="J329" s="95">
        <v>362090.16</v>
      </c>
      <c r="K329" s="95">
        <v>118496.40000000002</v>
      </c>
      <c r="L329" s="95">
        <v>480586.56</v>
      </c>
      <c r="M329" s="96">
        <v>0.27529999999999999</v>
      </c>
      <c r="N329" s="95">
        <v>201.47</v>
      </c>
      <c r="O329" s="95">
        <v>65.930000000000007</v>
      </c>
      <c r="P329" s="95">
        <v>267.39999999999998</v>
      </c>
      <c r="Q329" s="95">
        <v>461769.24</v>
      </c>
      <c r="R329" s="95">
        <v>151111.56</v>
      </c>
      <c r="S329" s="95">
        <v>612880.80000000005</v>
      </c>
    </row>
    <row r="330" spans="1:19" ht="15" x14ac:dyDescent="0.25">
      <c r="A330" s="90" t="s">
        <v>936</v>
      </c>
      <c r="B330" s="90" t="s">
        <v>100</v>
      </c>
      <c r="C330" s="98" t="s">
        <v>937</v>
      </c>
      <c r="D330" s="92" t="s">
        <v>938</v>
      </c>
      <c r="E330" s="90" t="s">
        <v>93</v>
      </c>
      <c r="F330" s="99">
        <v>190.8</v>
      </c>
      <c r="G330" s="94">
        <v>62.2</v>
      </c>
      <c r="H330" s="94">
        <v>3.19</v>
      </c>
      <c r="I330" s="95">
        <v>65.39</v>
      </c>
      <c r="J330" s="95">
        <v>11867.76</v>
      </c>
      <c r="K330" s="95">
        <v>608.64999999999964</v>
      </c>
      <c r="L330" s="95">
        <v>12476.41</v>
      </c>
      <c r="M330" s="96">
        <v>0.27529999999999999</v>
      </c>
      <c r="N330" s="95">
        <v>79.319999999999993</v>
      </c>
      <c r="O330" s="95">
        <v>4.07</v>
      </c>
      <c r="P330" s="95">
        <v>83.389999999999986</v>
      </c>
      <c r="Q330" s="95">
        <v>15134.26</v>
      </c>
      <c r="R330" s="95">
        <v>776.56</v>
      </c>
      <c r="S330" s="95">
        <v>15910.82</v>
      </c>
    </row>
    <row r="331" spans="1:19" ht="15" x14ac:dyDescent="0.25">
      <c r="A331" s="90" t="s">
        <v>939</v>
      </c>
      <c r="B331" s="90" t="s">
        <v>45</v>
      </c>
      <c r="C331" s="98" t="s">
        <v>940</v>
      </c>
      <c r="D331" s="92" t="s">
        <v>941</v>
      </c>
      <c r="E331" s="90" t="s">
        <v>93</v>
      </c>
      <c r="F331" s="99">
        <v>295</v>
      </c>
      <c r="G331" s="94">
        <v>74.34</v>
      </c>
      <c r="H331" s="94">
        <v>42.64</v>
      </c>
      <c r="I331" s="95">
        <v>116.98</v>
      </c>
      <c r="J331" s="95">
        <v>21930.3</v>
      </c>
      <c r="K331" s="95">
        <v>12578.8</v>
      </c>
      <c r="L331" s="95">
        <v>34509.1</v>
      </c>
      <c r="M331" s="96">
        <v>0.27529999999999999</v>
      </c>
      <c r="N331" s="95">
        <v>94.81</v>
      </c>
      <c r="O331" s="95">
        <v>54.38</v>
      </c>
      <c r="P331" s="95">
        <v>149.19</v>
      </c>
      <c r="Q331" s="95">
        <v>27968.95</v>
      </c>
      <c r="R331" s="95">
        <v>16042.1</v>
      </c>
      <c r="S331" s="95">
        <v>44011.05</v>
      </c>
    </row>
    <row r="332" spans="1:19" ht="15" x14ac:dyDescent="0.25">
      <c r="A332" s="90" t="s">
        <v>942</v>
      </c>
      <c r="B332" s="90" t="s">
        <v>95</v>
      </c>
      <c r="C332" s="98" t="s">
        <v>943</v>
      </c>
      <c r="D332" s="92" t="s">
        <v>944</v>
      </c>
      <c r="E332" s="90" t="s">
        <v>34</v>
      </c>
      <c r="F332" s="99">
        <v>1723.55</v>
      </c>
      <c r="G332" s="94">
        <v>251.94</v>
      </c>
      <c r="H332" s="94">
        <v>6.38</v>
      </c>
      <c r="I332" s="95">
        <v>258.32</v>
      </c>
      <c r="J332" s="95">
        <v>434231.18</v>
      </c>
      <c r="K332" s="95">
        <v>10996.260000000009</v>
      </c>
      <c r="L332" s="95">
        <v>445227.44</v>
      </c>
      <c r="M332" s="96">
        <v>0.27529999999999999</v>
      </c>
      <c r="N332" s="95">
        <v>321.3</v>
      </c>
      <c r="O332" s="95">
        <v>8.14</v>
      </c>
      <c r="P332" s="95">
        <v>329.44</v>
      </c>
      <c r="Q332" s="95">
        <v>553776.62</v>
      </c>
      <c r="R332" s="95">
        <v>14029.7</v>
      </c>
      <c r="S332" s="95">
        <v>567806.31999999995</v>
      </c>
    </row>
    <row r="333" spans="1:19" s="89" customFormat="1" x14ac:dyDescent="0.25">
      <c r="A333" s="82" t="s">
        <v>945</v>
      </c>
      <c r="B333" s="82"/>
      <c r="C333" s="83" t="s">
        <v>946</v>
      </c>
      <c r="D333" s="84"/>
      <c r="E333" s="85"/>
      <c r="F333" s="101"/>
      <c r="G333" s="87"/>
      <c r="H333" s="87"/>
      <c r="I333" s="88"/>
      <c r="J333" s="87">
        <v>32157.84</v>
      </c>
      <c r="K333" s="87">
        <v>20767.14</v>
      </c>
      <c r="L333" s="87">
        <v>52924.98</v>
      </c>
      <c r="M333" s="87"/>
      <c r="N333" s="87">
        <v>0</v>
      </c>
      <c r="O333" s="87">
        <v>0</v>
      </c>
      <c r="P333" s="87">
        <v>0</v>
      </c>
      <c r="Q333" s="87">
        <v>41013.56</v>
      </c>
      <c r="R333" s="87">
        <v>26488.1</v>
      </c>
      <c r="S333" s="87">
        <v>67501.66</v>
      </c>
    </row>
    <row r="334" spans="1:19" ht="15" x14ac:dyDescent="0.25">
      <c r="A334" s="90" t="s">
        <v>947</v>
      </c>
      <c r="B334" s="90" t="s">
        <v>31</v>
      </c>
      <c r="C334" s="98" t="s">
        <v>948</v>
      </c>
      <c r="D334" s="92" t="s">
        <v>949</v>
      </c>
      <c r="E334" s="90" t="s">
        <v>34</v>
      </c>
      <c r="F334" s="99">
        <v>213.39</v>
      </c>
      <c r="G334" s="94">
        <v>42.66</v>
      </c>
      <c r="H334" s="94">
        <v>18.7</v>
      </c>
      <c r="I334" s="95">
        <v>61.36</v>
      </c>
      <c r="J334" s="95">
        <v>9103.2099999999991</v>
      </c>
      <c r="K334" s="95">
        <v>3990.4000000000015</v>
      </c>
      <c r="L334" s="95">
        <v>13093.61</v>
      </c>
      <c r="M334" s="96">
        <v>0.27529999999999999</v>
      </c>
      <c r="N334" s="95">
        <v>54.4</v>
      </c>
      <c r="O334" s="95">
        <v>23.85</v>
      </c>
      <c r="P334" s="95">
        <v>78.25</v>
      </c>
      <c r="Q334" s="95">
        <v>11608.42</v>
      </c>
      <c r="R334" s="95">
        <v>5089.3500000000004</v>
      </c>
      <c r="S334" s="95">
        <v>16697.77</v>
      </c>
    </row>
    <row r="335" spans="1:19" ht="25.5" x14ac:dyDescent="0.25">
      <c r="A335" s="90" t="s">
        <v>950</v>
      </c>
      <c r="B335" s="90" t="s">
        <v>31</v>
      </c>
      <c r="C335" s="98" t="s">
        <v>716</v>
      </c>
      <c r="D335" s="92" t="s">
        <v>717</v>
      </c>
      <c r="E335" s="90" t="s">
        <v>34</v>
      </c>
      <c r="F335" s="99">
        <v>426.78</v>
      </c>
      <c r="G335" s="94">
        <v>3.62</v>
      </c>
      <c r="H335" s="94">
        <v>5.07</v>
      </c>
      <c r="I335" s="95">
        <v>8.6900000000000013</v>
      </c>
      <c r="J335" s="95">
        <v>1544.94</v>
      </c>
      <c r="K335" s="95">
        <v>2163.7799999999997</v>
      </c>
      <c r="L335" s="95">
        <v>3708.72</v>
      </c>
      <c r="M335" s="96">
        <v>0.27529999999999999</v>
      </c>
      <c r="N335" s="95">
        <v>4.62</v>
      </c>
      <c r="O335" s="95">
        <v>6.47</v>
      </c>
      <c r="P335" s="95">
        <v>11.09</v>
      </c>
      <c r="Q335" s="95">
        <v>1971.72</v>
      </c>
      <c r="R335" s="95">
        <v>2761.27</v>
      </c>
      <c r="S335" s="95">
        <v>4732.99</v>
      </c>
    </row>
    <row r="336" spans="1:19" ht="25.5" x14ac:dyDescent="0.25">
      <c r="A336" s="90" t="s">
        <v>951</v>
      </c>
      <c r="B336" s="90" t="s">
        <v>31</v>
      </c>
      <c r="C336" s="98" t="s">
        <v>719</v>
      </c>
      <c r="D336" s="92" t="s">
        <v>720</v>
      </c>
      <c r="E336" s="90" t="s">
        <v>34</v>
      </c>
      <c r="F336" s="99">
        <v>426.78</v>
      </c>
      <c r="G336" s="94">
        <v>30.52</v>
      </c>
      <c r="H336" s="94">
        <v>28.69</v>
      </c>
      <c r="I336" s="95">
        <v>59.21</v>
      </c>
      <c r="J336" s="95">
        <v>13025.32</v>
      </c>
      <c r="K336" s="95">
        <v>12244.32</v>
      </c>
      <c r="L336" s="95">
        <v>25269.64</v>
      </c>
      <c r="M336" s="96">
        <v>0.27529999999999999</v>
      </c>
      <c r="N336" s="95">
        <v>38.92</v>
      </c>
      <c r="O336" s="95">
        <v>36.590000000000003</v>
      </c>
      <c r="P336" s="95">
        <v>75.510000000000005</v>
      </c>
      <c r="Q336" s="95">
        <v>16610.28</v>
      </c>
      <c r="R336" s="95">
        <v>15615.88</v>
      </c>
      <c r="S336" s="95">
        <v>32226.159999999996</v>
      </c>
    </row>
    <row r="337" spans="1:19" ht="15" x14ac:dyDescent="0.25">
      <c r="A337" s="90" t="s">
        <v>952</v>
      </c>
      <c r="B337" s="90" t="s">
        <v>31</v>
      </c>
      <c r="C337" s="98" t="s">
        <v>953</v>
      </c>
      <c r="D337" s="92" t="s">
        <v>954</v>
      </c>
      <c r="E337" s="90" t="s">
        <v>34</v>
      </c>
      <c r="F337" s="99">
        <v>426.78</v>
      </c>
      <c r="G337" s="94">
        <v>17.059999999999999</v>
      </c>
      <c r="H337" s="94">
        <v>3.75</v>
      </c>
      <c r="I337" s="95">
        <v>20.81</v>
      </c>
      <c r="J337" s="95">
        <v>7280.86</v>
      </c>
      <c r="K337" s="95">
        <v>1600.4300000000012</v>
      </c>
      <c r="L337" s="95">
        <v>8881.2900000000009</v>
      </c>
      <c r="M337" s="96">
        <v>0.27529999999999999</v>
      </c>
      <c r="N337" s="95">
        <v>21.76</v>
      </c>
      <c r="O337" s="95">
        <v>4.78</v>
      </c>
      <c r="P337" s="95">
        <v>26.540000000000003</v>
      </c>
      <c r="Q337" s="95">
        <v>9286.73</v>
      </c>
      <c r="R337" s="95">
        <v>2040.01</v>
      </c>
      <c r="S337" s="95">
        <v>11326.74</v>
      </c>
    </row>
    <row r="338" spans="1:19" ht="15" x14ac:dyDescent="0.25">
      <c r="A338" s="90" t="s">
        <v>955</v>
      </c>
      <c r="B338" s="90" t="s">
        <v>31</v>
      </c>
      <c r="C338" s="98" t="s">
        <v>689</v>
      </c>
      <c r="D338" s="92" t="s">
        <v>690</v>
      </c>
      <c r="E338" s="90" t="s">
        <v>34</v>
      </c>
      <c r="F338" s="99">
        <v>426.78</v>
      </c>
      <c r="G338" s="94">
        <v>2.82</v>
      </c>
      <c r="H338" s="94">
        <v>1.8</v>
      </c>
      <c r="I338" s="95">
        <v>4.62</v>
      </c>
      <c r="J338" s="95">
        <v>1203.51</v>
      </c>
      <c r="K338" s="95">
        <v>768.21</v>
      </c>
      <c r="L338" s="95">
        <v>1971.72</v>
      </c>
      <c r="M338" s="96">
        <v>0.27529999999999999</v>
      </c>
      <c r="N338" s="95">
        <v>3.6</v>
      </c>
      <c r="O338" s="95">
        <v>2.2999999999999998</v>
      </c>
      <c r="P338" s="95">
        <v>5.9</v>
      </c>
      <c r="Q338" s="95">
        <v>1536.41</v>
      </c>
      <c r="R338" s="95">
        <v>981.59</v>
      </c>
      <c r="S338" s="95">
        <v>2518</v>
      </c>
    </row>
    <row r="339" spans="1:19" s="89" customFormat="1" x14ac:dyDescent="0.25">
      <c r="A339" s="82" t="s">
        <v>956</v>
      </c>
      <c r="B339" s="82"/>
      <c r="C339" s="83" t="s">
        <v>957</v>
      </c>
      <c r="D339" s="84"/>
      <c r="E339" s="85"/>
      <c r="F339" s="101"/>
      <c r="G339" s="87"/>
      <c r="H339" s="87"/>
      <c r="I339" s="88"/>
      <c r="J339" s="87">
        <v>4609845.1700000009</v>
      </c>
      <c r="K339" s="87">
        <v>341387.96000000014</v>
      </c>
      <c r="L339" s="87">
        <v>4951233.1300000008</v>
      </c>
      <c r="M339" s="87"/>
      <c r="N339" s="87">
        <v>0</v>
      </c>
      <c r="O339" s="87">
        <v>0</v>
      </c>
      <c r="P339" s="87">
        <v>0</v>
      </c>
      <c r="Q339" s="87">
        <v>5878924.2599999988</v>
      </c>
      <c r="R339" s="87">
        <v>435388.69000000006</v>
      </c>
      <c r="S339" s="87">
        <v>6314312.9500000002</v>
      </c>
    </row>
    <row r="340" spans="1:19" ht="15" x14ac:dyDescent="0.25">
      <c r="A340" s="90" t="s">
        <v>958</v>
      </c>
      <c r="B340" s="90"/>
      <c r="C340" s="91" t="s">
        <v>959</v>
      </c>
      <c r="D340" s="92"/>
      <c r="E340" s="90"/>
      <c r="F340" s="99"/>
      <c r="G340" s="94"/>
      <c r="H340" s="94"/>
      <c r="I340" s="95"/>
      <c r="J340" s="95"/>
      <c r="K340" s="95"/>
      <c r="L340" s="95"/>
      <c r="M340" s="96"/>
      <c r="N340" s="95"/>
      <c r="O340" s="95"/>
      <c r="P340" s="95"/>
      <c r="Q340" s="95"/>
      <c r="R340" s="95"/>
      <c r="S340" s="95"/>
    </row>
    <row r="341" spans="1:19" ht="15" x14ac:dyDescent="0.25">
      <c r="A341" s="90" t="s">
        <v>960</v>
      </c>
      <c r="B341" s="90" t="s">
        <v>45</v>
      </c>
      <c r="C341" s="98" t="s">
        <v>731</v>
      </c>
      <c r="D341" s="92" t="s">
        <v>961</v>
      </c>
      <c r="E341" s="90" t="s">
        <v>34</v>
      </c>
      <c r="F341" s="99">
        <v>152.56</v>
      </c>
      <c r="G341" s="94">
        <v>850.79</v>
      </c>
      <c r="H341" s="94">
        <v>0</v>
      </c>
      <c r="I341" s="95">
        <v>850.79</v>
      </c>
      <c r="J341" s="95">
        <v>129796.52</v>
      </c>
      <c r="K341" s="95">
        <v>0</v>
      </c>
      <c r="L341" s="95">
        <v>129796.52</v>
      </c>
      <c r="M341" s="96">
        <v>0.27529999999999999</v>
      </c>
      <c r="N341" s="95">
        <v>1085.01</v>
      </c>
      <c r="O341" s="95">
        <v>0</v>
      </c>
      <c r="P341" s="95">
        <v>1085.01</v>
      </c>
      <c r="Q341" s="95">
        <v>165529.13</v>
      </c>
      <c r="R341" s="95">
        <v>0</v>
      </c>
      <c r="S341" s="95">
        <v>165529.13</v>
      </c>
    </row>
    <row r="342" spans="1:19" ht="25.5" x14ac:dyDescent="0.25">
      <c r="A342" s="90" t="s">
        <v>962</v>
      </c>
      <c r="B342" s="90" t="s">
        <v>45</v>
      </c>
      <c r="C342" s="98" t="s">
        <v>963</v>
      </c>
      <c r="D342" s="92" t="s">
        <v>964</v>
      </c>
      <c r="E342" s="90" t="s">
        <v>93</v>
      </c>
      <c r="F342" s="99">
        <v>853.49</v>
      </c>
      <c r="G342" s="94">
        <v>282.89</v>
      </c>
      <c r="H342" s="94">
        <v>69.239999999999995</v>
      </c>
      <c r="I342" s="95">
        <v>352.13</v>
      </c>
      <c r="J342" s="95">
        <v>241443.78</v>
      </c>
      <c r="K342" s="95">
        <v>59095.649999999994</v>
      </c>
      <c r="L342" s="95">
        <v>300539.43</v>
      </c>
      <c r="M342" s="96">
        <v>0.27529999999999999</v>
      </c>
      <c r="N342" s="95">
        <v>360.77</v>
      </c>
      <c r="O342" s="95">
        <v>88.3</v>
      </c>
      <c r="P342" s="95">
        <v>449.07</v>
      </c>
      <c r="Q342" s="95">
        <v>307913.59000000003</v>
      </c>
      <c r="R342" s="95">
        <v>75363.17</v>
      </c>
      <c r="S342" s="95">
        <v>383276.76</v>
      </c>
    </row>
    <row r="343" spans="1:19" ht="15" x14ac:dyDescent="0.25">
      <c r="A343" s="90" t="s">
        <v>965</v>
      </c>
      <c r="B343" s="90" t="s">
        <v>45</v>
      </c>
      <c r="C343" s="98" t="s">
        <v>966</v>
      </c>
      <c r="D343" s="92" t="s">
        <v>967</v>
      </c>
      <c r="E343" s="90" t="s">
        <v>93</v>
      </c>
      <c r="F343" s="99">
        <v>1015.84</v>
      </c>
      <c r="G343" s="94">
        <v>56.98</v>
      </c>
      <c r="H343" s="94">
        <v>2.63</v>
      </c>
      <c r="I343" s="95">
        <v>59.61</v>
      </c>
      <c r="J343" s="95">
        <v>57882.559999999998</v>
      </c>
      <c r="K343" s="95">
        <v>2671.6600000000035</v>
      </c>
      <c r="L343" s="95">
        <v>60554.22</v>
      </c>
      <c r="M343" s="96">
        <v>0.27529999999999999</v>
      </c>
      <c r="N343" s="95">
        <v>72.67</v>
      </c>
      <c r="O343" s="95">
        <v>3.35</v>
      </c>
      <c r="P343" s="95">
        <v>76.02</v>
      </c>
      <c r="Q343" s="95">
        <v>73821.09</v>
      </c>
      <c r="R343" s="95">
        <v>3403.06</v>
      </c>
      <c r="S343" s="95">
        <v>77224.149999999994</v>
      </c>
    </row>
    <row r="344" spans="1:19" ht="15" x14ac:dyDescent="0.25">
      <c r="A344" s="90" t="s">
        <v>968</v>
      </c>
      <c r="B344" s="90" t="s">
        <v>45</v>
      </c>
      <c r="C344" s="98" t="s">
        <v>969</v>
      </c>
      <c r="D344" s="92" t="s">
        <v>970</v>
      </c>
      <c r="E344" s="90" t="s">
        <v>93</v>
      </c>
      <c r="F344" s="99">
        <v>4451.72</v>
      </c>
      <c r="G344" s="94">
        <v>127.44</v>
      </c>
      <c r="H344" s="94">
        <v>30.93</v>
      </c>
      <c r="I344" s="95">
        <v>158.37</v>
      </c>
      <c r="J344" s="95">
        <v>567327.18999999994</v>
      </c>
      <c r="K344" s="95">
        <v>137691.71000000008</v>
      </c>
      <c r="L344" s="95">
        <v>705018.9</v>
      </c>
      <c r="M344" s="96">
        <v>0.27529999999999999</v>
      </c>
      <c r="N344" s="95">
        <v>162.52000000000001</v>
      </c>
      <c r="O344" s="95">
        <v>39.450000000000003</v>
      </c>
      <c r="P344" s="95">
        <v>201.97000000000003</v>
      </c>
      <c r="Q344" s="95">
        <v>723493.53</v>
      </c>
      <c r="R344" s="95">
        <v>175620.35</v>
      </c>
      <c r="S344" s="95">
        <v>899113.88</v>
      </c>
    </row>
    <row r="345" spans="1:19" ht="15" x14ac:dyDescent="0.25">
      <c r="A345" s="90" t="s">
        <v>971</v>
      </c>
      <c r="B345" s="90"/>
      <c r="C345" s="98" t="s">
        <v>972</v>
      </c>
      <c r="D345" s="92"/>
      <c r="E345" s="90"/>
      <c r="F345" s="99"/>
      <c r="G345" s="94"/>
      <c r="H345" s="94"/>
      <c r="I345" s="95"/>
      <c r="J345" s="95"/>
      <c r="K345" s="95"/>
      <c r="L345" s="95"/>
      <c r="M345" s="96"/>
      <c r="N345" s="95"/>
      <c r="O345" s="95"/>
      <c r="P345" s="95"/>
      <c r="Q345" s="95"/>
      <c r="R345" s="95"/>
      <c r="S345" s="95"/>
    </row>
    <row r="346" spans="1:19" ht="25.5" x14ac:dyDescent="0.25">
      <c r="A346" s="90" t="s">
        <v>973</v>
      </c>
      <c r="B346" s="90" t="s">
        <v>184</v>
      </c>
      <c r="C346" s="98" t="s">
        <v>974</v>
      </c>
      <c r="D346" s="92" t="s">
        <v>975</v>
      </c>
      <c r="E346" s="90" t="s">
        <v>16</v>
      </c>
      <c r="F346" s="99">
        <v>545</v>
      </c>
      <c r="G346" s="94">
        <v>800.17</v>
      </c>
      <c r="H346" s="94">
        <v>65.69</v>
      </c>
      <c r="I346" s="95">
        <v>865.8599999999999</v>
      </c>
      <c r="J346" s="95">
        <v>436092.65</v>
      </c>
      <c r="K346" s="95">
        <v>35801.049999999988</v>
      </c>
      <c r="L346" s="95">
        <v>471893.7</v>
      </c>
      <c r="M346" s="96">
        <v>0.27529999999999999</v>
      </c>
      <c r="N346" s="95">
        <v>1020.46</v>
      </c>
      <c r="O346" s="95">
        <v>83.77</v>
      </c>
      <c r="P346" s="95">
        <v>1104.23</v>
      </c>
      <c r="Q346" s="95">
        <v>556150.69999999995</v>
      </c>
      <c r="R346" s="95">
        <v>45654.65</v>
      </c>
      <c r="S346" s="95">
        <v>601805.35</v>
      </c>
    </row>
    <row r="347" spans="1:19" ht="15" x14ac:dyDescent="0.25">
      <c r="A347" s="90" t="s">
        <v>976</v>
      </c>
      <c r="B347" s="90" t="s">
        <v>184</v>
      </c>
      <c r="C347" s="98" t="s">
        <v>977</v>
      </c>
      <c r="D347" s="92" t="s">
        <v>978</v>
      </c>
      <c r="E347" s="90" t="s">
        <v>16</v>
      </c>
      <c r="F347" s="99">
        <v>25</v>
      </c>
      <c r="G347" s="94">
        <v>1341.78</v>
      </c>
      <c r="H347" s="94">
        <v>108.88</v>
      </c>
      <c r="I347" s="95">
        <v>1450.6599999999999</v>
      </c>
      <c r="J347" s="95">
        <v>33544.5</v>
      </c>
      <c r="K347" s="95">
        <v>2722</v>
      </c>
      <c r="L347" s="95">
        <v>36266.5</v>
      </c>
      <c r="M347" s="96">
        <v>0.27529999999999999</v>
      </c>
      <c r="N347" s="95">
        <v>1711.17</v>
      </c>
      <c r="O347" s="95">
        <v>138.85</v>
      </c>
      <c r="P347" s="95">
        <v>1850.02</v>
      </c>
      <c r="Q347" s="95">
        <v>42779.25</v>
      </c>
      <c r="R347" s="95">
        <v>3471.25</v>
      </c>
      <c r="S347" s="95">
        <v>46250.5</v>
      </c>
    </row>
    <row r="348" spans="1:19" ht="15" x14ac:dyDescent="0.25">
      <c r="A348" s="90" t="s">
        <v>979</v>
      </c>
      <c r="B348" s="90" t="s">
        <v>184</v>
      </c>
      <c r="C348" s="98" t="s">
        <v>980</v>
      </c>
      <c r="D348" s="92" t="s">
        <v>981</v>
      </c>
      <c r="E348" s="90" t="s">
        <v>16</v>
      </c>
      <c r="F348" s="99">
        <v>17</v>
      </c>
      <c r="G348" s="94">
        <v>1771.81</v>
      </c>
      <c r="H348" s="94">
        <v>112.65</v>
      </c>
      <c r="I348" s="95">
        <v>1884.46</v>
      </c>
      <c r="J348" s="95">
        <v>30120.77</v>
      </c>
      <c r="K348" s="95">
        <v>1915.0499999999993</v>
      </c>
      <c r="L348" s="95">
        <v>32035.82</v>
      </c>
      <c r="M348" s="96">
        <v>0.27529999999999999</v>
      </c>
      <c r="N348" s="95">
        <v>2259.59</v>
      </c>
      <c r="O348" s="95">
        <v>143.66</v>
      </c>
      <c r="P348" s="95">
        <v>2403.25</v>
      </c>
      <c r="Q348" s="95">
        <v>38413.03</v>
      </c>
      <c r="R348" s="95">
        <v>2442.2199999999998</v>
      </c>
      <c r="S348" s="95">
        <v>40855.25</v>
      </c>
    </row>
    <row r="349" spans="1:19" ht="38.25" x14ac:dyDescent="0.25">
      <c r="A349" s="90" t="s">
        <v>982</v>
      </c>
      <c r="B349" s="90" t="s">
        <v>108</v>
      </c>
      <c r="C349" s="98" t="s">
        <v>983</v>
      </c>
      <c r="D349" s="92" t="s">
        <v>984</v>
      </c>
      <c r="E349" s="90" t="s">
        <v>111</v>
      </c>
      <c r="F349" s="99">
        <v>406</v>
      </c>
      <c r="G349" s="94">
        <v>1469.64</v>
      </c>
      <c r="H349" s="94">
        <v>16.38</v>
      </c>
      <c r="I349" s="95">
        <v>1486.0200000000002</v>
      </c>
      <c r="J349" s="95">
        <v>596673.84</v>
      </c>
      <c r="K349" s="95">
        <v>6650.2800000000279</v>
      </c>
      <c r="L349" s="95">
        <v>603324.12</v>
      </c>
      <c r="M349" s="96">
        <v>0.27529999999999999</v>
      </c>
      <c r="N349" s="95">
        <v>1874.23</v>
      </c>
      <c r="O349" s="95">
        <v>20.89</v>
      </c>
      <c r="P349" s="95">
        <v>1895.1200000000001</v>
      </c>
      <c r="Q349" s="95">
        <v>760937.38</v>
      </c>
      <c r="R349" s="95">
        <v>8481.34</v>
      </c>
      <c r="S349" s="95">
        <v>769418.72</v>
      </c>
    </row>
    <row r="350" spans="1:19" ht="15" x14ac:dyDescent="0.25">
      <c r="A350" s="90" t="s">
        <v>985</v>
      </c>
      <c r="B350" s="90"/>
      <c r="C350" s="91" t="s">
        <v>986</v>
      </c>
      <c r="D350" s="92"/>
      <c r="E350" s="90"/>
      <c r="F350" s="99"/>
      <c r="G350" s="94"/>
      <c r="H350" s="94"/>
      <c r="I350" s="95"/>
      <c r="J350" s="95"/>
      <c r="K350" s="95"/>
      <c r="L350" s="95"/>
      <c r="M350" s="96"/>
      <c r="N350" s="95"/>
      <c r="O350" s="95"/>
      <c r="P350" s="95"/>
      <c r="Q350" s="95"/>
      <c r="R350" s="95"/>
      <c r="S350" s="95"/>
    </row>
    <row r="351" spans="1:19" ht="15" x14ac:dyDescent="0.25">
      <c r="A351" s="90" t="s">
        <v>987</v>
      </c>
      <c r="B351" s="90" t="s">
        <v>45</v>
      </c>
      <c r="C351" s="98" t="s">
        <v>988</v>
      </c>
      <c r="D351" s="92" t="s">
        <v>989</v>
      </c>
      <c r="E351" s="90" t="s">
        <v>34</v>
      </c>
      <c r="F351" s="99">
        <v>181</v>
      </c>
      <c r="G351" s="94">
        <v>1533.83</v>
      </c>
      <c r="H351" s="94">
        <v>152.33000000000001</v>
      </c>
      <c r="I351" s="95">
        <v>1686.1599999999999</v>
      </c>
      <c r="J351" s="95">
        <v>277623.23</v>
      </c>
      <c r="K351" s="95">
        <v>27571.73000000004</v>
      </c>
      <c r="L351" s="95">
        <v>305194.96000000002</v>
      </c>
      <c r="M351" s="96">
        <v>0.27529999999999999</v>
      </c>
      <c r="N351" s="95">
        <v>1956.09</v>
      </c>
      <c r="O351" s="95">
        <v>194.27</v>
      </c>
      <c r="P351" s="95">
        <v>2150.36</v>
      </c>
      <c r="Q351" s="95">
        <v>354052.29</v>
      </c>
      <c r="R351" s="95">
        <v>35162.870000000003</v>
      </c>
      <c r="S351" s="95">
        <v>389215.16</v>
      </c>
    </row>
    <row r="352" spans="1:19" ht="15" x14ac:dyDescent="0.25">
      <c r="A352" s="90" t="s">
        <v>990</v>
      </c>
      <c r="B352" s="90" t="s">
        <v>45</v>
      </c>
      <c r="C352" s="98" t="s">
        <v>991</v>
      </c>
      <c r="D352" s="92" t="s">
        <v>992</v>
      </c>
      <c r="E352" s="90" t="s">
        <v>16</v>
      </c>
      <c r="F352" s="99">
        <v>109</v>
      </c>
      <c r="G352" s="94">
        <v>269.66000000000003</v>
      </c>
      <c r="H352" s="94">
        <v>19.39</v>
      </c>
      <c r="I352" s="95">
        <v>289.05</v>
      </c>
      <c r="J352" s="95">
        <v>29392.94</v>
      </c>
      <c r="K352" s="95">
        <v>2113.510000000002</v>
      </c>
      <c r="L352" s="95">
        <v>31506.45</v>
      </c>
      <c r="M352" s="96">
        <v>0.27529999999999999</v>
      </c>
      <c r="N352" s="95">
        <v>343.9</v>
      </c>
      <c r="O352" s="95">
        <v>24.73</v>
      </c>
      <c r="P352" s="95">
        <v>368.63</v>
      </c>
      <c r="Q352" s="95">
        <v>37485.1</v>
      </c>
      <c r="R352" s="95">
        <v>2695.57</v>
      </c>
      <c r="S352" s="95">
        <v>40180.67</v>
      </c>
    </row>
    <row r="353" spans="1:19" ht="15" x14ac:dyDescent="0.25">
      <c r="A353" s="90" t="s">
        <v>993</v>
      </c>
      <c r="B353" s="90" t="s">
        <v>45</v>
      </c>
      <c r="C353" s="98" t="s">
        <v>994</v>
      </c>
      <c r="D353" s="92" t="s">
        <v>995</v>
      </c>
      <c r="E353" s="90" t="s">
        <v>16</v>
      </c>
      <c r="F353" s="99">
        <v>14</v>
      </c>
      <c r="G353" s="94">
        <v>955.19</v>
      </c>
      <c r="H353" s="94">
        <v>19.39</v>
      </c>
      <c r="I353" s="95">
        <v>974.58</v>
      </c>
      <c r="J353" s="95">
        <v>13372.66</v>
      </c>
      <c r="K353" s="95">
        <v>271.46000000000095</v>
      </c>
      <c r="L353" s="95">
        <v>13644.12</v>
      </c>
      <c r="M353" s="96">
        <v>0.27529999999999999</v>
      </c>
      <c r="N353" s="95">
        <v>1218.1500000000001</v>
      </c>
      <c r="O353" s="95">
        <v>24.73</v>
      </c>
      <c r="P353" s="95">
        <v>1242.8800000000001</v>
      </c>
      <c r="Q353" s="95">
        <v>17054.099999999999</v>
      </c>
      <c r="R353" s="95">
        <v>346.22</v>
      </c>
      <c r="S353" s="95">
        <v>17400.32</v>
      </c>
    </row>
    <row r="354" spans="1:19" ht="15" x14ac:dyDescent="0.25">
      <c r="A354" s="90" t="s">
        <v>996</v>
      </c>
      <c r="B354" s="90" t="s">
        <v>45</v>
      </c>
      <c r="C354" s="98" t="s">
        <v>997</v>
      </c>
      <c r="D354" s="92" t="s">
        <v>998</v>
      </c>
      <c r="E354" s="90" t="s">
        <v>16</v>
      </c>
      <c r="F354" s="99">
        <v>8</v>
      </c>
      <c r="G354" s="94">
        <v>1489.86</v>
      </c>
      <c r="H354" s="94">
        <v>19.39</v>
      </c>
      <c r="I354" s="95">
        <v>1509.25</v>
      </c>
      <c r="J354" s="95">
        <v>11918.88</v>
      </c>
      <c r="K354" s="95">
        <v>155.1200000000008</v>
      </c>
      <c r="L354" s="95">
        <v>12074</v>
      </c>
      <c r="M354" s="96">
        <v>0.27529999999999999</v>
      </c>
      <c r="N354" s="95">
        <v>1900.02</v>
      </c>
      <c r="O354" s="95">
        <v>24.73</v>
      </c>
      <c r="P354" s="95">
        <v>1924.75</v>
      </c>
      <c r="Q354" s="95">
        <v>15200.16</v>
      </c>
      <c r="R354" s="95">
        <v>197.84</v>
      </c>
      <c r="S354" s="95">
        <v>15398</v>
      </c>
    </row>
    <row r="355" spans="1:19" ht="15" x14ac:dyDescent="0.25">
      <c r="A355" s="90" t="s">
        <v>999</v>
      </c>
      <c r="B355" s="90" t="s">
        <v>184</v>
      </c>
      <c r="C355" s="98" t="s">
        <v>1000</v>
      </c>
      <c r="D355" s="92" t="s">
        <v>1001</v>
      </c>
      <c r="E355" s="90" t="s">
        <v>16</v>
      </c>
      <c r="F355" s="99">
        <v>20</v>
      </c>
      <c r="G355" s="94">
        <v>2422.25</v>
      </c>
      <c r="H355" s="94">
        <v>7.75</v>
      </c>
      <c r="I355" s="95">
        <v>2430</v>
      </c>
      <c r="J355" s="95">
        <v>48445</v>
      </c>
      <c r="K355" s="95">
        <v>155</v>
      </c>
      <c r="L355" s="95">
        <v>48600</v>
      </c>
      <c r="M355" s="96">
        <v>0.27529999999999999</v>
      </c>
      <c r="N355" s="95">
        <v>3089.1</v>
      </c>
      <c r="O355" s="95">
        <v>9.8800000000000008</v>
      </c>
      <c r="P355" s="95">
        <v>3098.98</v>
      </c>
      <c r="Q355" s="95">
        <v>61782</v>
      </c>
      <c r="R355" s="95">
        <v>197.6</v>
      </c>
      <c r="S355" s="95">
        <v>61979.6</v>
      </c>
    </row>
    <row r="356" spans="1:19" ht="15" x14ac:dyDescent="0.25">
      <c r="A356" s="90" t="s">
        <v>1002</v>
      </c>
      <c r="B356" s="90" t="s">
        <v>184</v>
      </c>
      <c r="C356" s="98" t="s">
        <v>1003</v>
      </c>
      <c r="D356" s="92" t="s">
        <v>1004</v>
      </c>
      <c r="E356" s="90" t="s">
        <v>34</v>
      </c>
      <c r="F356" s="99">
        <v>1</v>
      </c>
      <c r="G356" s="94">
        <v>2520.6999999999998</v>
      </c>
      <c r="H356" s="94">
        <v>31.98</v>
      </c>
      <c r="I356" s="95">
        <v>2552.6799999999998</v>
      </c>
      <c r="J356" s="95">
        <v>2520.6999999999998</v>
      </c>
      <c r="K356" s="95">
        <v>31.980000000000018</v>
      </c>
      <c r="L356" s="95">
        <v>2552.6799999999998</v>
      </c>
      <c r="M356" s="96">
        <v>0.27529999999999999</v>
      </c>
      <c r="N356" s="95">
        <v>3214.65</v>
      </c>
      <c r="O356" s="95">
        <v>40.78</v>
      </c>
      <c r="P356" s="95">
        <v>3255.4300000000003</v>
      </c>
      <c r="Q356" s="95">
        <v>3214.65</v>
      </c>
      <c r="R356" s="95">
        <v>40.78</v>
      </c>
      <c r="S356" s="95">
        <v>3255.4300000000003</v>
      </c>
    </row>
    <row r="357" spans="1:19" ht="15" x14ac:dyDescent="0.25">
      <c r="A357" s="90" t="s">
        <v>1005</v>
      </c>
      <c r="B357" s="90" t="s">
        <v>184</v>
      </c>
      <c r="C357" s="98" t="s">
        <v>1006</v>
      </c>
      <c r="D357" s="92" t="s">
        <v>1007</v>
      </c>
      <c r="E357" s="90" t="s">
        <v>93</v>
      </c>
      <c r="F357" s="99">
        <v>1</v>
      </c>
      <c r="G357" s="94">
        <v>804.49</v>
      </c>
      <c r="H357" s="94">
        <v>8.9600000000000009</v>
      </c>
      <c r="I357" s="95">
        <v>813.45</v>
      </c>
      <c r="J357" s="95">
        <v>804.49</v>
      </c>
      <c r="K357" s="95">
        <v>8.9600000000000364</v>
      </c>
      <c r="L357" s="95">
        <v>813.45</v>
      </c>
      <c r="M357" s="96">
        <v>0.27529999999999999</v>
      </c>
      <c r="N357" s="95">
        <v>1025.97</v>
      </c>
      <c r="O357" s="95">
        <v>11.43</v>
      </c>
      <c r="P357" s="95">
        <v>1037.4000000000001</v>
      </c>
      <c r="Q357" s="95">
        <v>1025.97</v>
      </c>
      <c r="R357" s="95">
        <v>11.43</v>
      </c>
      <c r="S357" s="95">
        <v>1037.4000000000001</v>
      </c>
    </row>
    <row r="358" spans="1:19" ht="15" x14ac:dyDescent="0.25">
      <c r="A358" s="90" t="s">
        <v>1008</v>
      </c>
      <c r="B358" s="90" t="s">
        <v>45</v>
      </c>
      <c r="C358" s="98" t="s">
        <v>1009</v>
      </c>
      <c r="D358" s="92" t="s">
        <v>1010</v>
      </c>
      <c r="E358" s="90" t="s">
        <v>34</v>
      </c>
      <c r="F358" s="99">
        <v>1</v>
      </c>
      <c r="G358" s="94">
        <v>1098.57</v>
      </c>
      <c r="H358" s="94">
        <v>0</v>
      </c>
      <c r="I358" s="95">
        <v>1098.57</v>
      </c>
      <c r="J358" s="95">
        <v>1098.57</v>
      </c>
      <c r="K358" s="95">
        <v>0</v>
      </c>
      <c r="L358" s="95">
        <v>1098.57</v>
      </c>
      <c r="M358" s="96">
        <v>0.27529999999999999</v>
      </c>
      <c r="N358" s="95">
        <v>1401.01</v>
      </c>
      <c r="O358" s="95">
        <v>0</v>
      </c>
      <c r="P358" s="95">
        <v>1401.01</v>
      </c>
      <c r="Q358" s="95">
        <v>1401.01</v>
      </c>
      <c r="R358" s="95">
        <v>0</v>
      </c>
      <c r="S358" s="95">
        <v>1401.01</v>
      </c>
    </row>
    <row r="359" spans="1:19" ht="15" x14ac:dyDescent="0.25">
      <c r="A359" s="90" t="s">
        <v>1011</v>
      </c>
      <c r="B359" s="90"/>
      <c r="C359" s="91" t="s">
        <v>1012</v>
      </c>
      <c r="D359" s="92"/>
      <c r="E359" s="90"/>
      <c r="F359" s="99"/>
      <c r="G359" s="94"/>
      <c r="H359" s="94"/>
      <c r="I359" s="95"/>
      <c r="J359" s="95"/>
      <c r="K359" s="95"/>
      <c r="L359" s="95"/>
      <c r="M359" s="96"/>
      <c r="N359" s="95"/>
      <c r="O359" s="95"/>
      <c r="P359" s="95"/>
      <c r="Q359" s="95"/>
      <c r="R359" s="95"/>
      <c r="S359" s="95"/>
    </row>
    <row r="360" spans="1:19" ht="15" x14ac:dyDescent="0.25">
      <c r="A360" s="90" t="s">
        <v>1013</v>
      </c>
      <c r="B360" s="90" t="s">
        <v>31</v>
      </c>
      <c r="C360" s="98" t="s">
        <v>1014</v>
      </c>
      <c r="D360" s="92" t="s">
        <v>1015</v>
      </c>
      <c r="E360" s="90" t="s">
        <v>16</v>
      </c>
      <c r="F360" s="99">
        <v>683</v>
      </c>
      <c r="G360" s="94">
        <v>486.37</v>
      </c>
      <c r="H360" s="94">
        <v>25.64</v>
      </c>
      <c r="I360" s="95">
        <v>512.01</v>
      </c>
      <c r="J360" s="95">
        <v>332190.71000000002</v>
      </c>
      <c r="K360" s="95">
        <v>17512.119999999995</v>
      </c>
      <c r="L360" s="95">
        <v>349702.83</v>
      </c>
      <c r="M360" s="96">
        <v>0.27529999999999999</v>
      </c>
      <c r="N360" s="95">
        <v>620.27</v>
      </c>
      <c r="O360" s="95">
        <v>32.700000000000003</v>
      </c>
      <c r="P360" s="95">
        <v>652.97</v>
      </c>
      <c r="Q360" s="95">
        <v>423644.41</v>
      </c>
      <c r="R360" s="95">
        <v>22334.1</v>
      </c>
      <c r="S360" s="95">
        <v>445978.50999999995</v>
      </c>
    </row>
    <row r="361" spans="1:19" ht="15" x14ac:dyDescent="0.25">
      <c r="A361" s="90" t="s">
        <v>1016</v>
      </c>
      <c r="B361" s="90" t="s">
        <v>31</v>
      </c>
      <c r="C361" s="98" t="s">
        <v>1017</v>
      </c>
      <c r="D361" s="92" t="s">
        <v>1018</v>
      </c>
      <c r="E361" s="90" t="s">
        <v>16</v>
      </c>
      <c r="F361" s="99">
        <v>115</v>
      </c>
      <c r="G361" s="94">
        <v>465.37</v>
      </c>
      <c r="H361" s="94">
        <v>25.64</v>
      </c>
      <c r="I361" s="95">
        <v>491.01</v>
      </c>
      <c r="J361" s="95">
        <v>53517.55</v>
      </c>
      <c r="K361" s="95">
        <v>2948.5999999999985</v>
      </c>
      <c r="L361" s="95">
        <v>56466.15</v>
      </c>
      <c r="M361" s="96">
        <v>0.27529999999999999</v>
      </c>
      <c r="N361" s="95">
        <v>593.49</v>
      </c>
      <c r="O361" s="95">
        <v>32.700000000000003</v>
      </c>
      <c r="P361" s="95">
        <v>626.19000000000005</v>
      </c>
      <c r="Q361" s="95">
        <v>68251.350000000006</v>
      </c>
      <c r="R361" s="95">
        <v>3760.5</v>
      </c>
      <c r="S361" s="95">
        <v>72011.850000000006</v>
      </c>
    </row>
    <row r="362" spans="1:19" ht="15" x14ac:dyDescent="0.25">
      <c r="A362" s="90" t="s">
        <v>1019</v>
      </c>
      <c r="B362" s="90" t="s">
        <v>95</v>
      </c>
      <c r="C362" s="98" t="s">
        <v>1020</v>
      </c>
      <c r="D362" s="92" t="s">
        <v>1021</v>
      </c>
      <c r="E362" s="90" t="s">
        <v>16</v>
      </c>
      <c r="F362" s="99">
        <v>31</v>
      </c>
      <c r="G362" s="94">
        <v>465.78</v>
      </c>
      <c r="H362" s="94">
        <v>25.49</v>
      </c>
      <c r="I362" s="95">
        <v>491.27</v>
      </c>
      <c r="J362" s="95">
        <v>14439.18</v>
      </c>
      <c r="K362" s="95">
        <v>790.19000000000051</v>
      </c>
      <c r="L362" s="95">
        <v>15229.37</v>
      </c>
      <c r="M362" s="96">
        <v>0.27529999999999999</v>
      </c>
      <c r="N362" s="95">
        <v>594.01</v>
      </c>
      <c r="O362" s="95">
        <v>32.51</v>
      </c>
      <c r="P362" s="95">
        <v>626.52</v>
      </c>
      <c r="Q362" s="95">
        <v>18414.310000000001</v>
      </c>
      <c r="R362" s="95">
        <v>1007.81</v>
      </c>
      <c r="S362" s="95">
        <v>19422.120000000003</v>
      </c>
    </row>
    <row r="363" spans="1:19" ht="15" x14ac:dyDescent="0.25">
      <c r="A363" s="90" t="s">
        <v>1022</v>
      </c>
      <c r="B363" s="90" t="s">
        <v>95</v>
      </c>
      <c r="C363" s="98" t="s">
        <v>1023</v>
      </c>
      <c r="D363" s="92" t="s">
        <v>1024</v>
      </c>
      <c r="E363" s="90" t="s">
        <v>16</v>
      </c>
      <c r="F363" s="99">
        <v>419</v>
      </c>
      <c r="G363" s="94">
        <v>317.06</v>
      </c>
      <c r="H363" s="94">
        <v>25.49</v>
      </c>
      <c r="I363" s="95">
        <v>342.55</v>
      </c>
      <c r="J363" s="95">
        <v>132848.14000000001</v>
      </c>
      <c r="K363" s="95">
        <v>10680.309999999998</v>
      </c>
      <c r="L363" s="95">
        <v>143528.45000000001</v>
      </c>
      <c r="M363" s="96">
        <v>0.27529999999999999</v>
      </c>
      <c r="N363" s="95">
        <v>404.35</v>
      </c>
      <c r="O363" s="95">
        <v>32.51</v>
      </c>
      <c r="P363" s="95">
        <v>436.86</v>
      </c>
      <c r="Q363" s="95">
        <v>169422.65</v>
      </c>
      <c r="R363" s="95">
        <v>13621.69</v>
      </c>
      <c r="S363" s="95">
        <v>183044.34</v>
      </c>
    </row>
    <row r="364" spans="1:19" ht="15" x14ac:dyDescent="0.25">
      <c r="A364" s="90" t="s">
        <v>1025</v>
      </c>
      <c r="B364" s="90" t="s">
        <v>31</v>
      </c>
      <c r="C364" s="98" t="s">
        <v>1026</v>
      </c>
      <c r="D364" s="92" t="s">
        <v>1027</v>
      </c>
      <c r="E364" s="90" t="s">
        <v>16</v>
      </c>
      <c r="F364" s="99">
        <v>184</v>
      </c>
      <c r="G364" s="94">
        <v>966.61</v>
      </c>
      <c r="H364" s="94">
        <v>38.46</v>
      </c>
      <c r="I364" s="95">
        <v>1005.07</v>
      </c>
      <c r="J364" s="95">
        <v>177856.24</v>
      </c>
      <c r="K364" s="95">
        <v>7076.640000000014</v>
      </c>
      <c r="L364" s="95">
        <v>184932.88</v>
      </c>
      <c r="M364" s="96">
        <v>0.27529999999999999</v>
      </c>
      <c r="N364" s="95">
        <v>1232.72</v>
      </c>
      <c r="O364" s="95">
        <v>49.05</v>
      </c>
      <c r="P364" s="95">
        <v>1281.77</v>
      </c>
      <c r="Q364" s="95">
        <v>226820.48000000001</v>
      </c>
      <c r="R364" s="95">
        <v>9025.2000000000007</v>
      </c>
      <c r="S364" s="95">
        <v>235845.68000000002</v>
      </c>
    </row>
    <row r="365" spans="1:19" ht="15" x14ac:dyDescent="0.25">
      <c r="A365" s="90" t="s">
        <v>1028</v>
      </c>
      <c r="B365" s="90" t="s">
        <v>31</v>
      </c>
      <c r="C365" s="98" t="s">
        <v>1029</v>
      </c>
      <c r="D365" s="92" t="s">
        <v>1030</v>
      </c>
      <c r="E365" s="90" t="s">
        <v>16</v>
      </c>
      <c r="F365" s="99">
        <v>491</v>
      </c>
      <c r="G365" s="94">
        <v>143.66</v>
      </c>
      <c r="H365" s="94">
        <v>0</v>
      </c>
      <c r="I365" s="95">
        <v>143.66</v>
      </c>
      <c r="J365" s="95">
        <v>70537.06</v>
      </c>
      <c r="K365" s="95">
        <v>0</v>
      </c>
      <c r="L365" s="95">
        <v>70537.06</v>
      </c>
      <c r="M365" s="96">
        <v>0.27529999999999999</v>
      </c>
      <c r="N365" s="95">
        <v>183.21</v>
      </c>
      <c r="O365" s="95">
        <v>0</v>
      </c>
      <c r="P365" s="95">
        <v>183.21</v>
      </c>
      <c r="Q365" s="95">
        <v>89956.11</v>
      </c>
      <c r="R365" s="95">
        <v>0</v>
      </c>
      <c r="S365" s="95">
        <v>89956.11</v>
      </c>
    </row>
    <row r="366" spans="1:19" ht="15" x14ac:dyDescent="0.25">
      <c r="A366" s="90" t="s">
        <v>1031</v>
      </c>
      <c r="B366" s="90" t="s">
        <v>31</v>
      </c>
      <c r="C366" s="98" t="s">
        <v>1032</v>
      </c>
      <c r="D366" s="92" t="s">
        <v>1033</v>
      </c>
      <c r="E366" s="90" t="s">
        <v>16</v>
      </c>
      <c r="F366" s="99">
        <v>44</v>
      </c>
      <c r="G366" s="94">
        <v>465.56</v>
      </c>
      <c r="H366" s="94">
        <v>0</v>
      </c>
      <c r="I366" s="95">
        <v>465.56</v>
      </c>
      <c r="J366" s="95">
        <v>20484.64</v>
      </c>
      <c r="K366" s="95">
        <v>0</v>
      </c>
      <c r="L366" s="95">
        <v>20484.64</v>
      </c>
      <c r="M366" s="96">
        <v>0.27529999999999999</v>
      </c>
      <c r="N366" s="95">
        <v>593.73</v>
      </c>
      <c r="O366" s="95">
        <v>0</v>
      </c>
      <c r="P366" s="95">
        <v>593.73</v>
      </c>
      <c r="Q366" s="95">
        <v>26124.12</v>
      </c>
      <c r="R366" s="95">
        <v>0</v>
      </c>
      <c r="S366" s="95">
        <v>26124.12</v>
      </c>
    </row>
    <row r="367" spans="1:19" ht="15" x14ac:dyDescent="0.25">
      <c r="A367" s="90" t="s">
        <v>1034</v>
      </c>
      <c r="B367" s="90" t="s">
        <v>184</v>
      </c>
      <c r="C367" s="98" t="s">
        <v>1035</v>
      </c>
      <c r="D367" s="92" t="s">
        <v>1036</v>
      </c>
      <c r="E367" s="90" t="s">
        <v>16</v>
      </c>
      <c r="F367" s="99">
        <v>180</v>
      </c>
      <c r="G367" s="94">
        <v>777.05</v>
      </c>
      <c r="H367" s="94">
        <v>18.75</v>
      </c>
      <c r="I367" s="95">
        <v>795.8</v>
      </c>
      <c r="J367" s="95">
        <v>139869</v>
      </c>
      <c r="K367" s="95">
        <v>3375</v>
      </c>
      <c r="L367" s="95">
        <v>143244</v>
      </c>
      <c r="M367" s="96">
        <v>0.27529999999999999</v>
      </c>
      <c r="N367" s="95">
        <v>990.97</v>
      </c>
      <c r="O367" s="95">
        <v>23.91</v>
      </c>
      <c r="P367" s="95">
        <v>1014.88</v>
      </c>
      <c r="Q367" s="95">
        <v>178374.6</v>
      </c>
      <c r="R367" s="95">
        <v>4303.8</v>
      </c>
      <c r="S367" s="95">
        <v>182678.39999999999</v>
      </c>
    </row>
    <row r="368" spans="1:19" ht="15" x14ac:dyDescent="0.25">
      <c r="A368" s="90" t="s">
        <v>1037</v>
      </c>
      <c r="B368" s="90" t="s">
        <v>31</v>
      </c>
      <c r="C368" s="98" t="s">
        <v>1038</v>
      </c>
      <c r="D368" s="92" t="s">
        <v>1039</v>
      </c>
      <c r="E368" s="90" t="s">
        <v>16</v>
      </c>
      <c r="F368" s="99">
        <v>133</v>
      </c>
      <c r="G368" s="94">
        <v>121.52</v>
      </c>
      <c r="H368" s="94">
        <v>0</v>
      </c>
      <c r="I368" s="95">
        <v>121.52</v>
      </c>
      <c r="J368" s="95">
        <v>16162.16</v>
      </c>
      <c r="K368" s="95">
        <v>0</v>
      </c>
      <c r="L368" s="95">
        <v>16162.16</v>
      </c>
      <c r="M368" s="96">
        <v>0.27529999999999999</v>
      </c>
      <c r="N368" s="95">
        <v>154.97</v>
      </c>
      <c r="O368" s="95">
        <v>0</v>
      </c>
      <c r="P368" s="95">
        <v>154.97</v>
      </c>
      <c r="Q368" s="95">
        <v>20611.009999999998</v>
      </c>
      <c r="R368" s="95">
        <v>0</v>
      </c>
      <c r="S368" s="95">
        <v>20611.009999999998</v>
      </c>
    </row>
    <row r="369" spans="1:19" ht="15" x14ac:dyDescent="0.25">
      <c r="A369" s="90" t="s">
        <v>1040</v>
      </c>
      <c r="B369" s="90" t="s">
        <v>184</v>
      </c>
      <c r="C369" s="98" t="s">
        <v>1041</v>
      </c>
      <c r="D369" s="92" t="s">
        <v>1042</v>
      </c>
      <c r="E369" s="90" t="s">
        <v>16</v>
      </c>
      <c r="F369" s="99">
        <v>133</v>
      </c>
      <c r="G369" s="94">
        <v>671.2</v>
      </c>
      <c r="H369" s="94">
        <v>18.75</v>
      </c>
      <c r="I369" s="95">
        <v>689.95</v>
      </c>
      <c r="J369" s="95">
        <v>89269.6</v>
      </c>
      <c r="K369" s="95">
        <v>2493.75</v>
      </c>
      <c r="L369" s="95">
        <v>91763.35</v>
      </c>
      <c r="M369" s="96">
        <v>0.27529999999999999</v>
      </c>
      <c r="N369" s="95">
        <v>855.98</v>
      </c>
      <c r="O369" s="95">
        <v>23.91</v>
      </c>
      <c r="P369" s="95">
        <v>879.89</v>
      </c>
      <c r="Q369" s="95">
        <v>113845.34</v>
      </c>
      <c r="R369" s="95">
        <v>3180.03</v>
      </c>
      <c r="S369" s="95">
        <v>117025.37</v>
      </c>
    </row>
    <row r="370" spans="1:19" ht="15" x14ac:dyDescent="0.25">
      <c r="A370" s="90" t="s">
        <v>1043</v>
      </c>
      <c r="B370" s="90" t="s">
        <v>184</v>
      </c>
      <c r="C370" s="98" t="s">
        <v>1044</v>
      </c>
      <c r="D370" s="92" t="s">
        <v>1045</v>
      </c>
      <c r="E370" s="90" t="s">
        <v>16</v>
      </c>
      <c r="F370" s="99">
        <v>149</v>
      </c>
      <c r="G370" s="94">
        <v>1005.61</v>
      </c>
      <c r="H370" s="94">
        <v>18.75</v>
      </c>
      <c r="I370" s="95">
        <v>1024.3600000000001</v>
      </c>
      <c r="J370" s="95">
        <v>149835.89000000001</v>
      </c>
      <c r="K370" s="95">
        <v>2793.75</v>
      </c>
      <c r="L370" s="95">
        <v>152629.64000000001</v>
      </c>
      <c r="M370" s="96">
        <v>0.27529999999999999</v>
      </c>
      <c r="N370" s="95">
        <v>1282.45</v>
      </c>
      <c r="O370" s="95">
        <v>23.91</v>
      </c>
      <c r="P370" s="95">
        <v>1306.3600000000001</v>
      </c>
      <c r="Q370" s="95">
        <v>191085.05</v>
      </c>
      <c r="R370" s="95">
        <v>3562.59</v>
      </c>
      <c r="S370" s="95">
        <v>194647.63999999998</v>
      </c>
    </row>
    <row r="371" spans="1:19" ht="15" x14ac:dyDescent="0.25">
      <c r="A371" s="90" t="s">
        <v>1046</v>
      </c>
      <c r="B371" s="90" t="s">
        <v>184</v>
      </c>
      <c r="C371" s="98" t="s">
        <v>1047</v>
      </c>
      <c r="D371" s="92" t="s">
        <v>1048</v>
      </c>
      <c r="E371" s="90" t="s">
        <v>16</v>
      </c>
      <c r="F371" s="99">
        <v>427</v>
      </c>
      <c r="G371" s="94">
        <v>207.9</v>
      </c>
      <c r="H371" s="94">
        <v>18.75</v>
      </c>
      <c r="I371" s="95">
        <v>226.65</v>
      </c>
      <c r="J371" s="95">
        <v>88773.3</v>
      </c>
      <c r="K371" s="95">
        <v>8006.25</v>
      </c>
      <c r="L371" s="95">
        <v>96779.55</v>
      </c>
      <c r="M371" s="96">
        <v>0.27529999999999999</v>
      </c>
      <c r="N371" s="95">
        <v>265.13</v>
      </c>
      <c r="O371" s="95">
        <v>23.91</v>
      </c>
      <c r="P371" s="95">
        <v>289.04000000000002</v>
      </c>
      <c r="Q371" s="95">
        <v>113210.51</v>
      </c>
      <c r="R371" s="95">
        <v>10209.57</v>
      </c>
      <c r="S371" s="95">
        <v>123420.07999999999</v>
      </c>
    </row>
    <row r="372" spans="1:19" ht="15" x14ac:dyDescent="0.25">
      <c r="A372" s="90" t="s">
        <v>1049</v>
      </c>
      <c r="B372" s="90" t="s">
        <v>184</v>
      </c>
      <c r="C372" s="98" t="s">
        <v>1050</v>
      </c>
      <c r="D372" s="92" t="s">
        <v>1051</v>
      </c>
      <c r="E372" s="90" t="s">
        <v>16</v>
      </c>
      <c r="F372" s="99">
        <v>184</v>
      </c>
      <c r="G372" s="94">
        <v>211.68</v>
      </c>
      <c r="H372" s="94">
        <v>22.19</v>
      </c>
      <c r="I372" s="95">
        <v>233.87</v>
      </c>
      <c r="J372" s="95">
        <v>38949.120000000003</v>
      </c>
      <c r="K372" s="95">
        <v>4082.9599999999991</v>
      </c>
      <c r="L372" s="95">
        <v>43032.08</v>
      </c>
      <c r="M372" s="96">
        <v>0.27529999999999999</v>
      </c>
      <c r="N372" s="95">
        <v>269.95999999999998</v>
      </c>
      <c r="O372" s="95">
        <v>28.3</v>
      </c>
      <c r="P372" s="95">
        <v>298.26</v>
      </c>
      <c r="Q372" s="95">
        <v>49672.639999999999</v>
      </c>
      <c r="R372" s="95">
        <v>5207.2</v>
      </c>
      <c r="S372" s="95">
        <v>54879.839999999997</v>
      </c>
    </row>
    <row r="373" spans="1:19" ht="15" x14ac:dyDescent="0.25">
      <c r="A373" s="90" t="s">
        <v>1052</v>
      </c>
      <c r="B373" s="90"/>
      <c r="C373" s="91" t="s">
        <v>1053</v>
      </c>
      <c r="D373" s="92"/>
      <c r="E373" s="90"/>
      <c r="F373" s="99"/>
      <c r="G373" s="94"/>
      <c r="H373" s="94"/>
      <c r="I373" s="95"/>
      <c r="J373" s="95"/>
      <c r="K373" s="95"/>
      <c r="L373" s="95"/>
      <c r="M373" s="96"/>
      <c r="N373" s="95"/>
      <c r="O373" s="95"/>
      <c r="P373" s="95"/>
      <c r="Q373" s="95"/>
      <c r="R373" s="95"/>
      <c r="S373" s="95"/>
    </row>
    <row r="374" spans="1:19" ht="15" x14ac:dyDescent="0.25">
      <c r="A374" s="90" t="s">
        <v>1054</v>
      </c>
      <c r="B374" s="90" t="s">
        <v>1055</v>
      </c>
      <c r="C374" s="98" t="s">
        <v>1056</v>
      </c>
      <c r="D374" s="92" t="s">
        <v>1057</v>
      </c>
      <c r="E374" s="90" t="s">
        <v>34</v>
      </c>
      <c r="F374" s="99">
        <v>70.08</v>
      </c>
      <c r="G374" s="94">
        <v>400</v>
      </c>
      <c r="H374" s="94">
        <v>0</v>
      </c>
      <c r="I374" s="95">
        <v>400</v>
      </c>
      <c r="J374" s="95">
        <v>28032</v>
      </c>
      <c r="K374" s="95">
        <v>0</v>
      </c>
      <c r="L374" s="95">
        <v>28032</v>
      </c>
      <c r="M374" s="96">
        <v>0.27529999999999999</v>
      </c>
      <c r="N374" s="95">
        <v>510.12</v>
      </c>
      <c r="O374" s="95">
        <v>0</v>
      </c>
      <c r="P374" s="95">
        <v>510.12</v>
      </c>
      <c r="Q374" s="95">
        <v>35749.21</v>
      </c>
      <c r="R374" s="95">
        <v>0</v>
      </c>
      <c r="S374" s="95">
        <v>35749.21</v>
      </c>
    </row>
    <row r="375" spans="1:19" ht="15" x14ac:dyDescent="0.25">
      <c r="A375" s="90" t="s">
        <v>1058</v>
      </c>
      <c r="B375" s="90" t="s">
        <v>820</v>
      </c>
      <c r="C375" s="98" t="s">
        <v>1059</v>
      </c>
      <c r="D375" s="92" t="s">
        <v>1060</v>
      </c>
      <c r="E375" s="90" t="s">
        <v>249</v>
      </c>
      <c r="F375" s="99">
        <v>266.66000000000003</v>
      </c>
      <c r="G375" s="94">
        <v>1624.43</v>
      </c>
      <c r="H375" s="94">
        <v>17.899999999999999</v>
      </c>
      <c r="I375" s="95">
        <v>1642.3300000000002</v>
      </c>
      <c r="J375" s="95">
        <v>433170.5</v>
      </c>
      <c r="K375" s="95">
        <v>4773.2199999999721</v>
      </c>
      <c r="L375" s="95">
        <v>437943.72</v>
      </c>
      <c r="M375" s="96">
        <v>0.27529999999999999</v>
      </c>
      <c r="N375" s="95">
        <v>2071.64</v>
      </c>
      <c r="O375" s="95">
        <v>22.83</v>
      </c>
      <c r="P375" s="95">
        <v>2094.4699999999998</v>
      </c>
      <c r="Q375" s="95">
        <v>552423.52</v>
      </c>
      <c r="R375" s="95">
        <v>6087.85</v>
      </c>
      <c r="S375" s="95">
        <v>558511.37</v>
      </c>
    </row>
    <row r="376" spans="1:19" ht="15" x14ac:dyDescent="0.25">
      <c r="A376" s="90" t="s">
        <v>1061</v>
      </c>
      <c r="B376" s="90" t="s">
        <v>382</v>
      </c>
      <c r="C376" s="98" t="s">
        <v>1062</v>
      </c>
      <c r="D376" s="92" t="s">
        <v>1063</v>
      </c>
      <c r="E376" s="90" t="s">
        <v>34</v>
      </c>
      <c r="F376" s="99">
        <v>314.82</v>
      </c>
      <c r="G376" s="94">
        <v>1098.57</v>
      </c>
      <c r="H376" s="94">
        <v>0</v>
      </c>
      <c r="I376" s="95">
        <v>1098.57</v>
      </c>
      <c r="J376" s="95">
        <v>345851.8</v>
      </c>
      <c r="K376" s="95">
        <v>1.0000000009313226E-2</v>
      </c>
      <c r="L376" s="95">
        <v>345851.81</v>
      </c>
      <c r="M376" s="96">
        <v>0.27529999999999999</v>
      </c>
      <c r="N376" s="95">
        <v>1401.01</v>
      </c>
      <c r="O376" s="95">
        <v>0</v>
      </c>
      <c r="P376" s="95">
        <v>1401.01</v>
      </c>
      <c r="Q376" s="95">
        <v>441065.97</v>
      </c>
      <c r="R376" s="95">
        <v>0</v>
      </c>
      <c r="S376" s="95">
        <v>441065.97</v>
      </c>
    </row>
    <row r="377" spans="1:19" s="89" customFormat="1" x14ac:dyDescent="0.25">
      <c r="A377" s="82" t="s">
        <v>1064</v>
      </c>
      <c r="B377" s="82"/>
      <c r="C377" s="83" t="s">
        <v>1065</v>
      </c>
      <c r="D377" s="84"/>
      <c r="E377" s="85"/>
      <c r="F377" s="101"/>
      <c r="G377" s="87"/>
      <c r="H377" s="87"/>
      <c r="I377" s="88"/>
      <c r="J377" s="87">
        <v>1683043.64</v>
      </c>
      <c r="K377" s="87">
        <v>109759.82000000005</v>
      </c>
      <c r="L377" s="87">
        <v>1792803.46</v>
      </c>
      <c r="M377" s="87">
        <v>0</v>
      </c>
      <c r="N377" s="87">
        <v>0</v>
      </c>
      <c r="O377" s="87">
        <v>0</v>
      </c>
      <c r="P377" s="87">
        <v>0</v>
      </c>
      <c r="Q377" s="87">
        <v>2146367.0900000003</v>
      </c>
      <c r="R377" s="87">
        <v>139966.92999999996</v>
      </c>
      <c r="S377" s="87">
        <v>2286334.0199999991</v>
      </c>
    </row>
    <row r="378" spans="1:19" ht="25.5" x14ac:dyDescent="0.25">
      <c r="A378" s="90" t="s">
        <v>1066</v>
      </c>
      <c r="B378" s="90" t="s">
        <v>108</v>
      </c>
      <c r="C378" s="98" t="s">
        <v>1067</v>
      </c>
      <c r="D378" s="92" t="s">
        <v>1068</v>
      </c>
      <c r="E378" s="90" t="s">
        <v>16</v>
      </c>
      <c r="F378" s="99">
        <v>25</v>
      </c>
      <c r="G378" s="94">
        <v>86.9</v>
      </c>
      <c r="H378" s="94">
        <v>12.89</v>
      </c>
      <c r="I378" s="95">
        <v>99.79</v>
      </c>
      <c r="J378" s="95">
        <v>2172.5</v>
      </c>
      <c r="K378" s="95">
        <v>322.25</v>
      </c>
      <c r="L378" s="95">
        <v>2494.75</v>
      </c>
      <c r="M378" s="96">
        <v>0.27529999999999999</v>
      </c>
      <c r="N378" s="95">
        <v>110.82</v>
      </c>
      <c r="O378" s="95">
        <v>16.440000000000001</v>
      </c>
      <c r="P378" s="95">
        <v>127.25999999999999</v>
      </c>
      <c r="Q378" s="95">
        <v>2770.5</v>
      </c>
      <c r="R378" s="95">
        <v>411</v>
      </c>
      <c r="S378" s="95">
        <v>3181.5</v>
      </c>
    </row>
    <row r="379" spans="1:19" ht="25.5" x14ac:dyDescent="0.25">
      <c r="A379" s="90" t="s">
        <v>1069</v>
      </c>
      <c r="B379" s="90" t="s">
        <v>108</v>
      </c>
      <c r="C379" s="98" t="s">
        <v>1070</v>
      </c>
      <c r="D379" s="92" t="s">
        <v>1071</v>
      </c>
      <c r="E379" s="90" t="s">
        <v>16</v>
      </c>
      <c r="F379" s="99">
        <v>16</v>
      </c>
      <c r="G379" s="94">
        <v>302.83999999999997</v>
      </c>
      <c r="H379" s="94">
        <v>28.2</v>
      </c>
      <c r="I379" s="95">
        <v>331.03999999999996</v>
      </c>
      <c r="J379" s="95">
        <v>4845.4399999999996</v>
      </c>
      <c r="K379" s="95">
        <v>451.20000000000073</v>
      </c>
      <c r="L379" s="95">
        <v>5296.64</v>
      </c>
      <c r="M379" s="96">
        <v>0.27529999999999999</v>
      </c>
      <c r="N379" s="95">
        <v>386.21</v>
      </c>
      <c r="O379" s="95">
        <v>35.96</v>
      </c>
      <c r="P379" s="95">
        <v>422.16999999999996</v>
      </c>
      <c r="Q379" s="95">
        <v>6179.36</v>
      </c>
      <c r="R379" s="95">
        <v>575.36</v>
      </c>
      <c r="S379" s="95">
        <v>6754.7199999999993</v>
      </c>
    </row>
    <row r="380" spans="1:19" ht="15" x14ac:dyDescent="0.25">
      <c r="A380" s="90" t="s">
        <v>1072</v>
      </c>
      <c r="B380" s="90" t="s">
        <v>108</v>
      </c>
      <c r="C380" s="98" t="s">
        <v>1073</v>
      </c>
      <c r="D380" s="92" t="s">
        <v>1074</v>
      </c>
      <c r="E380" s="90" t="s">
        <v>16</v>
      </c>
      <c r="F380" s="99">
        <v>5</v>
      </c>
      <c r="G380" s="94">
        <v>300.04000000000002</v>
      </c>
      <c r="H380" s="94">
        <v>150.46</v>
      </c>
      <c r="I380" s="95">
        <v>450.5</v>
      </c>
      <c r="J380" s="95">
        <v>1500.2</v>
      </c>
      <c r="K380" s="95">
        <v>752.3</v>
      </c>
      <c r="L380" s="95">
        <v>2252.5</v>
      </c>
      <c r="M380" s="96">
        <v>0.27529999999999999</v>
      </c>
      <c r="N380" s="95">
        <v>382.64</v>
      </c>
      <c r="O380" s="95">
        <v>191.88</v>
      </c>
      <c r="P380" s="95">
        <v>574.52</v>
      </c>
      <c r="Q380" s="95">
        <v>1913.2</v>
      </c>
      <c r="R380" s="95">
        <v>959.4</v>
      </c>
      <c r="S380" s="95">
        <v>2872.6</v>
      </c>
    </row>
    <row r="381" spans="1:19" ht="15" x14ac:dyDescent="0.25">
      <c r="A381" s="90" t="s">
        <v>1075</v>
      </c>
      <c r="B381" s="90" t="s">
        <v>108</v>
      </c>
      <c r="C381" s="98" t="s">
        <v>1076</v>
      </c>
      <c r="D381" s="92" t="s">
        <v>1077</v>
      </c>
      <c r="E381" s="90" t="s">
        <v>16</v>
      </c>
      <c r="F381" s="99">
        <v>6</v>
      </c>
      <c r="G381" s="94">
        <v>22592.47</v>
      </c>
      <c r="H381" s="94">
        <v>5374.72</v>
      </c>
      <c r="I381" s="95">
        <v>27967.190000000002</v>
      </c>
      <c r="J381" s="95">
        <v>135554.82</v>
      </c>
      <c r="K381" s="95">
        <v>32248.320000000007</v>
      </c>
      <c r="L381" s="95">
        <v>167803.14</v>
      </c>
      <c r="M381" s="96">
        <v>0.27529999999999999</v>
      </c>
      <c r="N381" s="95">
        <v>28812.18</v>
      </c>
      <c r="O381" s="95">
        <v>6854.38</v>
      </c>
      <c r="P381" s="95">
        <v>35666.559999999998</v>
      </c>
      <c r="Q381" s="95">
        <v>172873.08</v>
      </c>
      <c r="R381" s="95">
        <v>41126.28</v>
      </c>
      <c r="S381" s="95">
        <v>213999.35999999999</v>
      </c>
    </row>
    <row r="382" spans="1:19" ht="15" x14ac:dyDescent="0.25">
      <c r="A382" s="90" t="s">
        <v>1078</v>
      </c>
      <c r="B382" s="90" t="s">
        <v>108</v>
      </c>
      <c r="C382" s="98" t="s">
        <v>1079</v>
      </c>
      <c r="D382" s="92" t="s">
        <v>1080</v>
      </c>
      <c r="E382" s="90" t="s">
        <v>16</v>
      </c>
      <c r="F382" s="99">
        <v>18</v>
      </c>
      <c r="G382" s="94">
        <v>5560.17</v>
      </c>
      <c r="H382" s="94">
        <v>105.05</v>
      </c>
      <c r="I382" s="95">
        <v>5665.22</v>
      </c>
      <c r="J382" s="95">
        <v>100083.06</v>
      </c>
      <c r="K382" s="95">
        <v>1890.9000000000087</v>
      </c>
      <c r="L382" s="95">
        <v>101973.96</v>
      </c>
      <c r="M382" s="96">
        <v>0.27529999999999999</v>
      </c>
      <c r="N382" s="95">
        <v>7090.88</v>
      </c>
      <c r="O382" s="95">
        <v>133.97</v>
      </c>
      <c r="P382" s="95">
        <v>7224.85</v>
      </c>
      <c r="Q382" s="95">
        <v>127635.84</v>
      </c>
      <c r="R382" s="95">
        <v>2411.46</v>
      </c>
      <c r="S382" s="95">
        <v>130047.3</v>
      </c>
    </row>
    <row r="383" spans="1:19" ht="25.5" x14ac:dyDescent="0.25">
      <c r="A383" s="90" t="s">
        <v>1081</v>
      </c>
      <c r="B383" s="90" t="s">
        <v>108</v>
      </c>
      <c r="C383" s="98" t="s">
        <v>1082</v>
      </c>
      <c r="D383" s="92" t="s">
        <v>1083</v>
      </c>
      <c r="E383" s="90" t="s">
        <v>16</v>
      </c>
      <c r="F383" s="99">
        <v>34</v>
      </c>
      <c r="G383" s="94">
        <v>357.4</v>
      </c>
      <c r="H383" s="94">
        <v>5.81</v>
      </c>
      <c r="I383" s="95">
        <v>363.21</v>
      </c>
      <c r="J383" s="95">
        <v>12151.6</v>
      </c>
      <c r="K383" s="95">
        <v>197.53999999999905</v>
      </c>
      <c r="L383" s="95">
        <v>12349.14</v>
      </c>
      <c r="M383" s="96">
        <v>0.27529999999999999</v>
      </c>
      <c r="N383" s="95">
        <v>455.79</v>
      </c>
      <c r="O383" s="95">
        <v>7.41</v>
      </c>
      <c r="P383" s="95">
        <v>463.20000000000005</v>
      </c>
      <c r="Q383" s="95">
        <v>15496.86</v>
      </c>
      <c r="R383" s="95">
        <v>251.94</v>
      </c>
      <c r="S383" s="95">
        <v>15748.800000000001</v>
      </c>
    </row>
    <row r="384" spans="1:19" ht="25.5" x14ac:dyDescent="0.25">
      <c r="A384" s="90" t="s">
        <v>1084</v>
      </c>
      <c r="B384" s="90" t="s">
        <v>108</v>
      </c>
      <c r="C384" s="98" t="s">
        <v>1085</v>
      </c>
      <c r="D384" s="92" t="s">
        <v>1086</v>
      </c>
      <c r="E384" s="90" t="s">
        <v>16</v>
      </c>
      <c r="F384" s="99">
        <v>59</v>
      </c>
      <c r="G384" s="94">
        <v>527.05999999999995</v>
      </c>
      <c r="H384" s="94">
        <v>30.68</v>
      </c>
      <c r="I384" s="95">
        <v>557.7399999999999</v>
      </c>
      <c r="J384" s="95">
        <v>31096.54</v>
      </c>
      <c r="K384" s="95">
        <v>1810.1200000000026</v>
      </c>
      <c r="L384" s="95">
        <v>32906.660000000003</v>
      </c>
      <c r="M384" s="96">
        <v>0.27529999999999999</v>
      </c>
      <c r="N384" s="95">
        <v>672.16</v>
      </c>
      <c r="O384" s="95">
        <v>39.130000000000003</v>
      </c>
      <c r="P384" s="95">
        <v>711.29</v>
      </c>
      <c r="Q384" s="95">
        <v>39657.440000000002</v>
      </c>
      <c r="R384" s="95">
        <v>2308.67</v>
      </c>
      <c r="S384" s="95">
        <v>41966.11</v>
      </c>
    </row>
    <row r="385" spans="1:19" ht="25.5" x14ac:dyDescent="0.25">
      <c r="A385" s="90" t="s">
        <v>1087</v>
      </c>
      <c r="B385" s="90" t="s">
        <v>108</v>
      </c>
      <c r="C385" s="98" t="s">
        <v>1088</v>
      </c>
      <c r="D385" s="92" t="s">
        <v>1089</v>
      </c>
      <c r="E385" s="90" t="s">
        <v>16</v>
      </c>
      <c r="F385" s="99">
        <v>6</v>
      </c>
      <c r="G385" s="94">
        <v>1485.76</v>
      </c>
      <c r="H385" s="94">
        <v>94.28</v>
      </c>
      <c r="I385" s="95">
        <v>1580.04</v>
      </c>
      <c r="J385" s="95">
        <v>8914.56</v>
      </c>
      <c r="K385" s="95">
        <v>565.68000000000029</v>
      </c>
      <c r="L385" s="95">
        <v>9480.24</v>
      </c>
      <c r="M385" s="96">
        <v>0.27529999999999999</v>
      </c>
      <c r="N385" s="95">
        <v>1894.79</v>
      </c>
      <c r="O385" s="95">
        <v>120.24</v>
      </c>
      <c r="P385" s="95">
        <v>2015.03</v>
      </c>
      <c r="Q385" s="95">
        <v>11368.74</v>
      </c>
      <c r="R385" s="95">
        <v>721.44</v>
      </c>
      <c r="S385" s="95">
        <v>12090.18</v>
      </c>
    </row>
    <row r="386" spans="1:19" ht="25.5" x14ac:dyDescent="0.25">
      <c r="A386" s="90" t="s">
        <v>1090</v>
      </c>
      <c r="B386" s="90" t="s">
        <v>108</v>
      </c>
      <c r="C386" s="98" t="s">
        <v>1091</v>
      </c>
      <c r="D386" s="92" t="s">
        <v>1092</v>
      </c>
      <c r="E386" s="90" t="s">
        <v>16</v>
      </c>
      <c r="F386" s="99">
        <v>99</v>
      </c>
      <c r="G386" s="94">
        <v>3115.76</v>
      </c>
      <c r="H386" s="94">
        <v>46.31</v>
      </c>
      <c r="I386" s="95">
        <v>3162.07</v>
      </c>
      <c r="J386" s="95">
        <v>308460.24</v>
      </c>
      <c r="K386" s="95">
        <v>4584.6900000000023</v>
      </c>
      <c r="L386" s="95">
        <v>313044.93</v>
      </c>
      <c r="M386" s="96">
        <v>0.27529999999999999</v>
      </c>
      <c r="N386" s="95">
        <v>3973.53</v>
      </c>
      <c r="O386" s="95">
        <v>59.06</v>
      </c>
      <c r="P386" s="95">
        <v>4032.59</v>
      </c>
      <c r="Q386" s="95">
        <v>393379.47</v>
      </c>
      <c r="R386" s="95">
        <v>5846.94</v>
      </c>
      <c r="S386" s="95">
        <v>399226.41</v>
      </c>
    </row>
    <row r="387" spans="1:19" ht="15" x14ac:dyDescent="0.25">
      <c r="A387" s="90" t="s">
        <v>1093</v>
      </c>
      <c r="B387" s="90" t="s">
        <v>108</v>
      </c>
      <c r="C387" s="98" t="s">
        <v>1094</v>
      </c>
      <c r="D387" s="92" t="s">
        <v>1095</v>
      </c>
      <c r="E387" s="90" t="s">
        <v>16</v>
      </c>
      <c r="F387" s="99">
        <v>9</v>
      </c>
      <c r="G387" s="94">
        <v>184.57</v>
      </c>
      <c r="H387" s="94">
        <v>30.69</v>
      </c>
      <c r="I387" s="95">
        <v>215.26</v>
      </c>
      <c r="J387" s="95">
        <v>1661.13</v>
      </c>
      <c r="K387" s="95">
        <v>276.20999999999981</v>
      </c>
      <c r="L387" s="95">
        <v>1937.34</v>
      </c>
      <c r="M387" s="96">
        <v>0.27529999999999999</v>
      </c>
      <c r="N387" s="95">
        <v>235.38</v>
      </c>
      <c r="O387" s="95">
        <v>39.14</v>
      </c>
      <c r="P387" s="95">
        <v>274.52</v>
      </c>
      <c r="Q387" s="95">
        <v>2118.42</v>
      </c>
      <c r="R387" s="95">
        <v>352.26</v>
      </c>
      <c r="S387" s="95">
        <v>2470.6800000000003</v>
      </c>
    </row>
    <row r="388" spans="1:19" ht="15" x14ac:dyDescent="0.25">
      <c r="A388" s="90" t="s">
        <v>1096</v>
      </c>
      <c r="B388" s="90" t="s">
        <v>108</v>
      </c>
      <c r="C388" s="98" t="s">
        <v>1097</v>
      </c>
      <c r="D388" s="92" t="s">
        <v>1098</v>
      </c>
      <c r="E388" s="90" t="s">
        <v>16</v>
      </c>
      <c r="F388" s="99">
        <v>121</v>
      </c>
      <c r="G388" s="94">
        <v>164.22</v>
      </c>
      <c r="H388" s="94">
        <v>22.99</v>
      </c>
      <c r="I388" s="95">
        <v>187.21</v>
      </c>
      <c r="J388" s="95">
        <v>19870.62</v>
      </c>
      <c r="K388" s="95">
        <v>2781.7900000000009</v>
      </c>
      <c r="L388" s="95">
        <v>22652.41</v>
      </c>
      <c r="M388" s="96">
        <v>0.27529999999999999</v>
      </c>
      <c r="N388" s="95">
        <v>209.43</v>
      </c>
      <c r="O388" s="95">
        <v>29.32</v>
      </c>
      <c r="P388" s="95">
        <v>238.75</v>
      </c>
      <c r="Q388" s="95">
        <v>25341.03</v>
      </c>
      <c r="R388" s="95">
        <v>3547.72</v>
      </c>
      <c r="S388" s="95">
        <v>28888.75</v>
      </c>
    </row>
    <row r="389" spans="1:19" ht="25.5" x14ac:dyDescent="0.25">
      <c r="A389" s="90" t="s">
        <v>1099</v>
      </c>
      <c r="B389" s="90" t="s">
        <v>108</v>
      </c>
      <c r="C389" s="98" t="s">
        <v>1100</v>
      </c>
      <c r="D389" s="92" t="s">
        <v>1101</v>
      </c>
      <c r="E389" s="90" t="s">
        <v>16</v>
      </c>
      <c r="F389" s="99">
        <v>264</v>
      </c>
      <c r="G389" s="94">
        <v>532.67999999999995</v>
      </c>
      <c r="H389" s="94">
        <v>51.7</v>
      </c>
      <c r="I389" s="95">
        <v>584.38</v>
      </c>
      <c r="J389" s="95">
        <v>140627.51999999999</v>
      </c>
      <c r="K389" s="95">
        <v>13648.800000000017</v>
      </c>
      <c r="L389" s="95">
        <v>154276.32</v>
      </c>
      <c r="M389" s="96">
        <v>0.27529999999999999</v>
      </c>
      <c r="N389" s="95">
        <v>679.33</v>
      </c>
      <c r="O389" s="95">
        <v>65.930000000000007</v>
      </c>
      <c r="P389" s="95">
        <v>745.26</v>
      </c>
      <c r="Q389" s="95">
        <v>179343.12</v>
      </c>
      <c r="R389" s="95">
        <v>17405.52</v>
      </c>
      <c r="S389" s="95">
        <v>196748.63999999998</v>
      </c>
    </row>
    <row r="390" spans="1:19" ht="25.5" x14ac:dyDescent="0.25">
      <c r="A390" s="90" t="s">
        <v>1102</v>
      </c>
      <c r="B390" s="90" t="s">
        <v>108</v>
      </c>
      <c r="C390" s="98" t="s">
        <v>1103</v>
      </c>
      <c r="D390" s="92" t="s">
        <v>1104</v>
      </c>
      <c r="E390" s="90" t="s">
        <v>16</v>
      </c>
      <c r="F390" s="99">
        <v>62</v>
      </c>
      <c r="G390" s="94">
        <v>423.6</v>
      </c>
      <c r="H390" s="94">
        <v>41.36</v>
      </c>
      <c r="I390" s="95">
        <v>464.96000000000004</v>
      </c>
      <c r="J390" s="95">
        <v>26263.200000000001</v>
      </c>
      <c r="K390" s="95">
        <v>2564.3199999999997</v>
      </c>
      <c r="L390" s="95">
        <v>28827.52</v>
      </c>
      <c r="M390" s="96">
        <v>0.27529999999999999</v>
      </c>
      <c r="N390" s="95">
        <v>540.22</v>
      </c>
      <c r="O390" s="95">
        <v>52.75</v>
      </c>
      <c r="P390" s="95">
        <v>592.97</v>
      </c>
      <c r="Q390" s="95">
        <v>33493.64</v>
      </c>
      <c r="R390" s="95">
        <v>3270.5</v>
      </c>
      <c r="S390" s="95">
        <v>36764.14</v>
      </c>
    </row>
    <row r="391" spans="1:19" ht="25.5" x14ac:dyDescent="0.25">
      <c r="A391" s="90" t="s">
        <v>1105</v>
      </c>
      <c r="B391" s="90" t="s">
        <v>108</v>
      </c>
      <c r="C391" s="98" t="s">
        <v>1106</v>
      </c>
      <c r="D391" s="92" t="s">
        <v>1107</v>
      </c>
      <c r="E391" s="90" t="s">
        <v>16</v>
      </c>
      <c r="F391" s="99">
        <v>38</v>
      </c>
      <c r="G391" s="94">
        <v>104.69</v>
      </c>
      <c r="H391" s="94">
        <v>15.34</v>
      </c>
      <c r="I391" s="95">
        <v>120.03</v>
      </c>
      <c r="J391" s="95">
        <v>3978.22</v>
      </c>
      <c r="K391" s="95">
        <v>582.92000000000053</v>
      </c>
      <c r="L391" s="95">
        <v>4561.1400000000003</v>
      </c>
      <c r="M391" s="96">
        <v>0.27529999999999999</v>
      </c>
      <c r="N391" s="95">
        <v>133.51</v>
      </c>
      <c r="O391" s="95">
        <v>19.559999999999999</v>
      </c>
      <c r="P391" s="95">
        <v>153.07</v>
      </c>
      <c r="Q391" s="95">
        <v>5073.38</v>
      </c>
      <c r="R391" s="95">
        <v>743.28</v>
      </c>
      <c r="S391" s="95">
        <v>5816.66</v>
      </c>
    </row>
    <row r="392" spans="1:19" ht="25.5" x14ac:dyDescent="0.25">
      <c r="A392" s="90" t="s">
        <v>1108</v>
      </c>
      <c r="B392" s="90" t="s">
        <v>108</v>
      </c>
      <c r="C392" s="98" t="s">
        <v>1109</v>
      </c>
      <c r="D392" s="92" t="s">
        <v>1110</v>
      </c>
      <c r="E392" s="90" t="s">
        <v>16</v>
      </c>
      <c r="F392" s="99">
        <v>4</v>
      </c>
      <c r="G392" s="94">
        <v>394.17</v>
      </c>
      <c r="H392" s="94">
        <v>56.59</v>
      </c>
      <c r="I392" s="95">
        <v>450.76</v>
      </c>
      <c r="J392" s="95">
        <v>1576.68</v>
      </c>
      <c r="K392" s="95">
        <v>226.3599999999999</v>
      </c>
      <c r="L392" s="95">
        <v>1803.04</v>
      </c>
      <c r="M392" s="96">
        <v>0.27529999999999999</v>
      </c>
      <c r="N392" s="95">
        <v>502.69</v>
      </c>
      <c r="O392" s="95">
        <v>72.17</v>
      </c>
      <c r="P392" s="95">
        <v>574.86</v>
      </c>
      <c r="Q392" s="95">
        <v>2010.76</v>
      </c>
      <c r="R392" s="95">
        <v>288.68</v>
      </c>
      <c r="S392" s="95">
        <v>2299.44</v>
      </c>
    </row>
    <row r="393" spans="1:19" ht="25.5" x14ac:dyDescent="0.25">
      <c r="A393" s="90" t="s">
        <v>1111</v>
      </c>
      <c r="B393" s="90" t="s">
        <v>108</v>
      </c>
      <c r="C393" s="98" t="s">
        <v>1112</v>
      </c>
      <c r="D393" s="92" t="s">
        <v>1113</v>
      </c>
      <c r="E393" s="90" t="s">
        <v>16</v>
      </c>
      <c r="F393" s="99">
        <v>393</v>
      </c>
      <c r="G393" s="94">
        <v>541.08000000000004</v>
      </c>
      <c r="H393" s="94">
        <v>8.81</v>
      </c>
      <c r="I393" s="95">
        <v>549.89</v>
      </c>
      <c r="J393" s="95">
        <v>212644.44</v>
      </c>
      <c r="K393" s="95">
        <v>3462.3299999999872</v>
      </c>
      <c r="L393" s="95">
        <v>216106.77</v>
      </c>
      <c r="M393" s="96">
        <v>0.27529999999999999</v>
      </c>
      <c r="N393" s="95">
        <v>690.04</v>
      </c>
      <c r="O393" s="95">
        <v>11.24</v>
      </c>
      <c r="P393" s="95">
        <v>701.28</v>
      </c>
      <c r="Q393" s="95">
        <v>271185.71999999997</v>
      </c>
      <c r="R393" s="95">
        <v>4417.32</v>
      </c>
      <c r="S393" s="95">
        <v>275603.03999999998</v>
      </c>
    </row>
    <row r="394" spans="1:19" ht="25.5" x14ac:dyDescent="0.25">
      <c r="A394" s="90" t="s">
        <v>1114</v>
      </c>
      <c r="B394" s="90" t="s">
        <v>108</v>
      </c>
      <c r="C394" s="98" t="s">
        <v>1115</v>
      </c>
      <c r="D394" s="92" t="s">
        <v>1116</v>
      </c>
      <c r="E394" s="90" t="s">
        <v>16</v>
      </c>
      <c r="F394" s="99">
        <v>98</v>
      </c>
      <c r="G394" s="94">
        <v>33.26</v>
      </c>
      <c r="H394" s="94">
        <v>15.34</v>
      </c>
      <c r="I394" s="95">
        <v>48.599999999999994</v>
      </c>
      <c r="J394" s="95">
        <v>3259.48</v>
      </c>
      <c r="K394" s="95">
        <v>1503.3200000000002</v>
      </c>
      <c r="L394" s="95">
        <v>4762.8</v>
      </c>
      <c r="M394" s="96">
        <v>0.27529999999999999</v>
      </c>
      <c r="N394" s="95">
        <v>42.42</v>
      </c>
      <c r="O394" s="95">
        <v>19.559999999999999</v>
      </c>
      <c r="P394" s="95">
        <v>61.980000000000004</v>
      </c>
      <c r="Q394" s="95">
        <v>4157.16</v>
      </c>
      <c r="R394" s="95">
        <v>1916.88</v>
      </c>
      <c r="S394" s="95">
        <v>6074.04</v>
      </c>
    </row>
    <row r="395" spans="1:19" ht="15" x14ac:dyDescent="0.25">
      <c r="A395" s="90" t="s">
        <v>1117</v>
      </c>
      <c r="B395" s="90" t="s">
        <v>108</v>
      </c>
      <c r="C395" s="98" t="s">
        <v>1118</v>
      </c>
      <c r="D395" s="92" t="s">
        <v>1119</v>
      </c>
      <c r="E395" s="90" t="s">
        <v>34</v>
      </c>
      <c r="F395" s="99">
        <v>283.23</v>
      </c>
      <c r="G395" s="94">
        <v>156.32</v>
      </c>
      <c r="H395" s="94">
        <v>3.06</v>
      </c>
      <c r="I395" s="95">
        <v>159.38</v>
      </c>
      <c r="J395" s="95">
        <v>44274.51</v>
      </c>
      <c r="K395" s="95">
        <v>866.68999999999505</v>
      </c>
      <c r="L395" s="95">
        <v>45141.2</v>
      </c>
      <c r="M395" s="96">
        <v>0.27529999999999999</v>
      </c>
      <c r="N395" s="95">
        <v>199.35</v>
      </c>
      <c r="O395" s="95">
        <v>3.9</v>
      </c>
      <c r="P395" s="95">
        <v>203.25</v>
      </c>
      <c r="Q395" s="95">
        <v>56461.9</v>
      </c>
      <c r="R395" s="95">
        <v>1104.5999999999999</v>
      </c>
      <c r="S395" s="95">
        <v>57566.5</v>
      </c>
    </row>
    <row r="396" spans="1:19" ht="15" x14ac:dyDescent="0.25">
      <c r="A396" s="90" t="s">
        <v>1120</v>
      </c>
      <c r="B396" s="90" t="s">
        <v>108</v>
      </c>
      <c r="C396" s="98" t="s">
        <v>1121</v>
      </c>
      <c r="D396" s="92" t="s">
        <v>1122</v>
      </c>
      <c r="E396" s="90" t="s">
        <v>34</v>
      </c>
      <c r="F396" s="99">
        <v>198.97</v>
      </c>
      <c r="G396" s="94">
        <v>156.32</v>
      </c>
      <c r="H396" s="94">
        <v>3.06</v>
      </c>
      <c r="I396" s="95">
        <v>159.38</v>
      </c>
      <c r="J396" s="95">
        <v>31102.99</v>
      </c>
      <c r="K396" s="95">
        <v>608.84999999999854</v>
      </c>
      <c r="L396" s="95">
        <v>31711.84</v>
      </c>
      <c r="M396" s="96">
        <v>0.27529999999999999</v>
      </c>
      <c r="N396" s="95">
        <v>199.35</v>
      </c>
      <c r="O396" s="95">
        <v>3.9</v>
      </c>
      <c r="P396" s="95">
        <v>203.25</v>
      </c>
      <c r="Q396" s="95">
        <v>39664.67</v>
      </c>
      <c r="R396" s="95">
        <v>775.98</v>
      </c>
      <c r="S396" s="95">
        <v>40440.65</v>
      </c>
    </row>
    <row r="397" spans="1:19" ht="15" x14ac:dyDescent="0.25">
      <c r="A397" s="90" t="s">
        <v>1123</v>
      </c>
      <c r="B397" s="90" t="s">
        <v>108</v>
      </c>
      <c r="C397" s="98" t="s">
        <v>1124</v>
      </c>
      <c r="D397" s="92" t="s">
        <v>1125</v>
      </c>
      <c r="E397" s="90" t="s">
        <v>34</v>
      </c>
      <c r="F397" s="99">
        <v>75.5</v>
      </c>
      <c r="G397" s="94">
        <v>156.32</v>
      </c>
      <c r="H397" s="94">
        <v>3.06</v>
      </c>
      <c r="I397" s="95">
        <v>159.38</v>
      </c>
      <c r="J397" s="95">
        <v>11802.16</v>
      </c>
      <c r="K397" s="95">
        <v>231.03000000000065</v>
      </c>
      <c r="L397" s="95">
        <v>12033.19</v>
      </c>
      <c r="M397" s="96">
        <v>0.27529999999999999</v>
      </c>
      <c r="N397" s="95">
        <v>199.35</v>
      </c>
      <c r="O397" s="95">
        <v>3.9</v>
      </c>
      <c r="P397" s="95">
        <v>203.25</v>
      </c>
      <c r="Q397" s="95">
        <v>15050.93</v>
      </c>
      <c r="R397" s="95">
        <v>294.45</v>
      </c>
      <c r="S397" s="95">
        <v>15345.380000000001</v>
      </c>
    </row>
    <row r="398" spans="1:19" ht="15" x14ac:dyDescent="0.25">
      <c r="A398" s="90" t="s">
        <v>1126</v>
      </c>
      <c r="B398" s="90" t="s">
        <v>108</v>
      </c>
      <c r="C398" s="98" t="s">
        <v>1127</v>
      </c>
      <c r="D398" s="92" t="s">
        <v>1128</v>
      </c>
      <c r="E398" s="90" t="s">
        <v>34</v>
      </c>
      <c r="F398" s="99">
        <v>2.13</v>
      </c>
      <c r="G398" s="94">
        <v>156.32</v>
      </c>
      <c r="H398" s="94">
        <v>3.06</v>
      </c>
      <c r="I398" s="95">
        <v>159.38</v>
      </c>
      <c r="J398" s="95">
        <v>332.96</v>
      </c>
      <c r="K398" s="95">
        <v>6.5200000000000387</v>
      </c>
      <c r="L398" s="95">
        <v>339.48</v>
      </c>
      <c r="M398" s="96">
        <v>0.27529999999999999</v>
      </c>
      <c r="N398" s="95">
        <v>199.35</v>
      </c>
      <c r="O398" s="95">
        <v>3.9</v>
      </c>
      <c r="P398" s="95">
        <v>203.25</v>
      </c>
      <c r="Q398" s="95">
        <v>424.62</v>
      </c>
      <c r="R398" s="95">
        <v>8.31</v>
      </c>
      <c r="S398" s="95">
        <v>432.93</v>
      </c>
    </row>
    <row r="399" spans="1:19" ht="15" x14ac:dyDescent="0.25">
      <c r="A399" s="90" t="s">
        <v>1129</v>
      </c>
      <c r="B399" s="90" t="s">
        <v>108</v>
      </c>
      <c r="C399" s="98" t="s">
        <v>1130</v>
      </c>
      <c r="D399" s="92" t="s">
        <v>1131</v>
      </c>
      <c r="E399" s="90" t="s">
        <v>34</v>
      </c>
      <c r="F399" s="99">
        <v>7.23</v>
      </c>
      <c r="G399" s="94">
        <v>156.32</v>
      </c>
      <c r="H399" s="94">
        <v>3.06</v>
      </c>
      <c r="I399" s="95">
        <v>159.38</v>
      </c>
      <c r="J399" s="95">
        <v>1130.19</v>
      </c>
      <c r="K399" s="95">
        <v>22.129999999999882</v>
      </c>
      <c r="L399" s="95">
        <v>1152.32</v>
      </c>
      <c r="M399" s="96">
        <v>0.27529999999999999</v>
      </c>
      <c r="N399" s="95">
        <v>199.35</v>
      </c>
      <c r="O399" s="95">
        <v>3.9</v>
      </c>
      <c r="P399" s="95">
        <v>203.25</v>
      </c>
      <c r="Q399" s="95">
        <v>1441.3</v>
      </c>
      <c r="R399" s="95">
        <v>28.2</v>
      </c>
      <c r="S399" s="95">
        <v>1469.5</v>
      </c>
    </row>
    <row r="400" spans="1:19" ht="15" x14ac:dyDescent="0.25">
      <c r="A400" s="90" t="s">
        <v>1132</v>
      </c>
      <c r="B400" s="90" t="s">
        <v>108</v>
      </c>
      <c r="C400" s="98" t="s">
        <v>1133</v>
      </c>
      <c r="D400" s="92" t="s">
        <v>1134</v>
      </c>
      <c r="E400" s="90" t="s">
        <v>34</v>
      </c>
      <c r="F400" s="99">
        <v>2155.6</v>
      </c>
      <c r="G400" s="94">
        <v>156.32</v>
      </c>
      <c r="H400" s="94">
        <v>3.06</v>
      </c>
      <c r="I400" s="95">
        <v>159.38</v>
      </c>
      <c r="J400" s="95">
        <v>336963.39</v>
      </c>
      <c r="K400" s="95">
        <v>6596.140000000014</v>
      </c>
      <c r="L400" s="95">
        <v>343559.53</v>
      </c>
      <c r="M400" s="96">
        <v>0.27529999999999999</v>
      </c>
      <c r="N400" s="95">
        <v>199.35</v>
      </c>
      <c r="O400" s="95">
        <v>3.9</v>
      </c>
      <c r="P400" s="95">
        <v>203.25</v>
      </c>
      <c r="Q400" s="95">
        <v>429718.86</v>
      </c>
      <c r="R400" s="95">
        <v>8406.84</v>
      </c>
      <c r="S400" s="95">
        <v>438125.7</v>
      </c>
    </row>
    <row r="401" spans="1:19" ht="15" x14ac:dyDescent="0.25">
      <c r="A401" s="90" t="s">
        <v>1135</v>
      </c>
      <c r="B401" s="90" t="s">
        <v>108</v>
      </c>
      <c r="C401" s="98" t="s">
        <v>1136</v>
      </c>
      <c r="D401" s="92" t="s">
        <v>1137</v>
      </c>
      <c r="E401" s="90" t="s">
        <v>34</v>
      </c>
      <c r="F401" s="99">
        <v>263.55</v>
      </c>
      <c r="G401" s="94">
        <v>156.32</v>
      </c>
      <c r="H401" s="94">
        <v>3.06</v>
      </c>
      <c r="I401" s="95">
        <v>159.38</v>
      </c>
      <c r="J401" s="95">
        <v>41198.129999999997</v>
      </c>
      <c r="K401" s="95">
        <v>806.47000000000116</v>
      </c>
      <c r="L401" s="95">
        <v>42004.6</v>
      </c>
      <c r="M401" s="96">
        <v>0.27529999999999999</v>
      </c>
      <c r="N401" s="95">
        <v>199.35</v>
      </c>
      <c r="O401" s="95">
        <v>3.9</v>
      </c>
      <c r="P401" s="95">
        <v>203.25</v>
      </c>
      <c r="Q401" s="95">
        <v>52538.69</v>
      </c>
      <c r="R401" s="95">
        <v>1027.8499999999999</v>
      </c>
      <c r="S401" s="95">
        <v>53566.54</v>
      </c>
    </row>
    <row r="402" spans="1:19" ht="15" x14ac:dyDescent="0.25">
      <c r="A402" s="90" t="s">
        <v>1138</v>
      </c>
      <c r="B402" s="90" t="s">
        <v>108</v>
      </c>
      <c r="C402" s="98" t="s">
        <v>1139</v>
      </c>
      <c r="D402" s="92" t="s">
        <v>1140</v>
      </c>
      <c r="E402" s="90" t="s">
        <v>34</v>
      </c>
      <c r="F402" s="99">
        <v>76.680000000000007</v>
      </c>
      <c r="G402" s="94">
        <v>156.32</v>
      </c>
      <c r="H402" s="94">
        <v>3.06</v>
      </c>
      <c r="I402" s="95">
        <v>159.38</v>
      </c>
      <c r="J402" s="95">
        <v>11986.61</v>
      </c>
      <c r="K402" s="95">
        <v>234.64999999999964</v>
      </c>
      <c r="L402" s="95">
        <v>12221.26</v>
      </c>
      <c r="M402" s="96">
        <v>0.27529999999999999</v>
      </c>
      <c r="N402" s="95">
        <v>199.35</v>
      </c>
      <c r="O402" s="95">
        <v>3.9</v>
      </c>
      <c r="P402" s="95">
        <v>203.25</v>
      </c>
      <c r="Q402" s="95">
        <v>15286.16</v>
      </c>
      <c r="R402" s="95">
        <v>299.05</v>
      </c>
      <c r="S402" s="95">
        <v>15585.21</v>
      </c>
    </row>
    <row r="403" spans="1:19" ht="25.5" x14ac:dyDescent="0.25">
      <c r="A403" s="90" t="s">
        <v>1141</v>
      </c>
      <c r="B403" s="90" t="s">
        <v>108</v>
      </c>
      <c r="C403" s="98" t="s">
        <v>1142</v>
      </c>
      <c r="D403" s="92" t="s">
        <v>1143</v>
      </c>
      <c r="E403" s="90" t="s">
        <v>16</v>
      </c>
      <c r="F403" s="99">
        <v>10</v>
      </c>
      <c r="G403" s="94">
        <v>520.61</v>
      </c>
      <c r="H403" s="94">
        <v>56.58</v>
      </c>
      <c r="I403" s="95">
        <v>577.19000000000005</v>
      </c>
      <c r="J403" s="95">
        <v>5206.1000000000004</v>
      </c>
      <c r="K403" s="95">
        <v>565.79999999999927</v>
      </c>
      <c r="L403" s="95">
        <v>5771.9</v>
      </c>
      <c r="M403" s="96">
        <v>0.27529999999999999</v>
      </c>
      <c r="N403" s="95">
        <v>663.93</v>
      </c>
      <c r="O403" s="95">
        <v>72.16</v>
      </c>
      <c r="P403" s="95">
        <v>736.08999999999992</v>
      </c>
      <c r="Q403" s="95">
        <v>6639.3</v>
      </c>
      <c r="R403" s="95">
        <v>721.6</v>
      </c>
      <c r="S403" s="95">
        <v>7360.9000000000005</v>
      </c>
    </row>
    <row r="404" spans="1:19" ht="25.5" x14ac:dyDescent="0.25">
      <c r="A404" s="90" t="s">
        <v>1144</v>
      </c>
      <c r="B404" s="90" t="s">
        <v>108</v>
      </c>
      <c r="C404" s="98" t="s">
        <v>1145</v>
      </c>
      <c r="D404" s="92" t="s">
        <v>1146</v>
      </c>
      <c r="E404" s="90" t="s">
        <v>16</v>
      </c>
      <c r="F404" s="99">
        <v>40</v>
      </c>
      <c r="G404" s="94">
        <v>47.35</v>
      </c>
      <c r="H404" s="94">
        <v>23</v>
      </c>
      <c r="I404" s="95">
        <v>70.349999999999994</v>
      </c>
      <c r="J404" s="95">
        <v>1894</v>
      </c>
      <c r="K404" s="95">
        <v>920</v>
      </c>
      <c r="L404" s="95">
        <v>2814</v>
      </c>
      <c r="M404" s="96">
        <v>0.27529999999999999</v>
      </c>
      <c r="N404" s="95">
        <v>60.39</v>
      </c>
      <c r="O404" s="95">
        <v>29.33</v>
      </c>
      <c r="P404" s="95">
        <v>89.72</v>
      </c>
      <c r="Q404" s="95">
        <v>2415.6</v>
      </c>
      <c r="R404" s="95">
        <v>1173.2</v>
      </c>
      <c r="S404" s="95">
        <v>3588.8</v>
      </c>
    </row>
    <row r="405" spans="1:19" ht="25.5" x14ac:dyDescent="0.25">
      <c r="A405" s="90" t="s">
        <v>1147</v>
      </c>
      <c r="B405" s="90" t="s">
        <v>108</v>
      </c>
      <c r="C405" s="98" t="s">
        <v>1148</v>
      </c>
      <c r="D405" s="92" t="s">
        <v>1149</v>
      </c>
      <c r="E405" s="90" t="s">
        <v>16</v>
      </c>
      <c r="F405" s="99">
        <v>13</v>
      </c>
      <c r="G405" s="94">
        <v>54.76</v>
      </c>
      <c r="H405" s="94">
        <v>5.15</v>
      </c>
      <c r="I405" s="95">
        <v>59.91</v>
      </c>
      <c r="J405" s="95">
        <v>711.88</v>
      </c>
      <c r="K405" s="95">
        <v>66.950000000000045</v>
      </c>
      <c r="L405" s="95">
        <v>778.83</v>
      </c>
      <c r="M405" s="96">
        <v>0.27529999999999999</v>
      </c>
      <c r="N405" s="95">
        <v>69.84</v>
      </c>
      <c r="O405" s="95">
        <v>6.57</v>
      </c>
      <c r="P405" s="95">
        <v>76.41</v>
      </c>
      <c r="Q405" s="95">
        <v>907.92</v>
      </c>
      <c r="R405" s="95">
        <v>85.41</v>
      </c>
      <c r="S405" s="95">
        <v>993.32999999999993</v>
      </c>
    </row>
    <row r="406" spans="1:19" ht="25.5" x14ac:dyDescent="0.25">
      <c r="A406" s="90" t="s">
        <v>1150</v>
      </c>
      <c r="B406" s="90" t="s">
        <v>108</v>
      </c>
      <c r="C406" s="98" t="s">
        <v>1151</v>
      </c>
      <c r="D406" s="92" t="s">
        <v>1152</v>
      </c>
      <c r="E406" s="90" t="s">
        <v>16</v>
      </c>
      <c r="F406" s="99">
        <v>21</v>
      </c>
      <c r="G406" s="94">
        <v>636.46</v>
      </c>
      <c r="H406" s="94">
        <v>62.06</v>
      </c>
      <c r="I406" s="95">
        <v>698.52</v>
      </c>
      <c r="J406" s="95">
        <v>13365.66</v>
      </c>
      <c r="K406" s="95">
        <v>1303.2600000000002</v>
      </c>
      <c r="L406" s="95">
        <v>14668.92</v>
      </c>
      <c r="M406" s="96">
        <v>0.27529999999999999</v>
      </c>
      <c r="N406" s="95">
        <v>811.68</v>
      </c>
      <c r="O406" s="95">
        <v>79.150000000000006</v>
      </c>
      <c r="P406" s="95">
        <v>890.82999999999993</v>
      </c>
      <c r="Q406" s="95">
        <v>17045.28</v>
      </c>
      <c r="R406" s="95">
        <v>1662.15</v>
      </c>
      <c r="S406" s="95">
        <v>18707.43</v>
      </c>
    </row>
    <row r="407" spans="1:19" ht="15" x14ac:dyDescent="0.25">
      <c r="A407" s="90" t="s">
        <v>1153</v>
      </c>
      <c r="B407" s="90" t="s">
        <v>108</v>
      </c>
      <c r="C407" s="98" t="s">
        <v>1154</v>
      </c>
      <c r="D407" s="92" t="s">
        <v>1155</v>
      </c>
      <c r="E407" s="90" t="s">
        <v>16</v>
      </c>
      <c r="F407" s="99">
        <v>228</v>
      </c>
      <c r="G407" s="94">
        <v>15.76</v>
      </c>
      <c r="H407" s="94">
        <v>15.34</v>
      </c>
      <c r="I407" s="95">
        <v>31.1</v>
      </c>
      <c r="J407" s="95">
        <v>3593.28</v>
      </c>
      <c r="K407" s="95">
        <v>3497.52</v>
      </c>
      <c r="L407" s="95">
        <v>7090.8</v>
      </c>
      <c r="M407" s="96">
        <v>0.27529999999999999</v>
      </c>
      <c r="N407" s="95">
        <v>20.100000000000001</v>
      </c>
      <c r="O407" s="95">
        <v>19.559999999999999</v>
      </c>
      <c r="P407" s="95">
        <v>39.659999999999997</v>
      </c>
      <c r="Q407" s="95">
        <v>4582.8</v>
      </c>
      <c r="R407" s="95">
        <v>4459.68</v>
      </c>
      <c r="S407" s="95">
        <v>9042.48</v>
      </c>
    </row>
    <row r="408" spans="1:19" ht="25.5" x14ac:dyDescent="0.25">
      <c r="A408" s="90" t="s">
        <v>1156</v>
      </c>
      <c r="B408" s="90" t="s">
        <v>108</v>
      </c>
      <c r="C408" s="98" t="s">
        <v>1157</v>
      </c>
      <c r="D408" s="92" t="s">
        <v>1158</v>
      </c>
      <c r="E408" s="90" t="s">
        <v>16</v>
      </c>
      <c r="F408" s="99">
        <v>4</v>
      </c>
      <c r="G408" s="94">
        <v>63.86</v>
      </c>
      <c r="H408" s="94">
        <v>23</v>
      </c>
      <c r="I408" s="95">
        <v>86.86</v>
      </c>
      <c r="J408" s="95">
        <v>255.44</v>
      </c>
      <c r="K408" s="95">
        <v>92</v>
      </c>
      <c r="L408" s="95">
        <v>347.44</v>
      </c>
      <c r="M408" s="96">
        <v>0.27529999999999999</v>
      </c>
      <c r="N408" s="95">
        <v>81.44</v>
      </c>
      <c r="O408" s="95">
        <v>29.33</v>
      </c>
      <c r="P408" s="95">
        <v>110.77</v>
      </c>
      <c r="Q408" s="95">
        <v>325.76</v>
      </c>
      <c r="R408" s="95">
        <v>117.32</v>
      </c>
      <c r="S408" s="95">
        <v>443.08</v>
      </c>
    </row>
    <row r="409" spans="1:19" ht="15" x14ac:dyDescent="0.25">
      <c r="A409" s="90" t="s">
        <v>1159</v>
      </c>
      <c r="B409" s="90" t="s">
        <v>108</v>
      </c>
      <c r="C409" s="98" t="s">
        <v>1160</v>
      </c>
      <c r="D409" s="92" t="s">
        <v>1161</v>
      </c>
      <c r="E409" s="90" t="s">
        <v>16</v>
      </c>
      <c r="F409" s="99">
        <v>255</v>
      </c>
      <c r="G409" s="94">
        <v>30.42</v>
      </c>
      <c r="H409" s="94">
        <v>15.34</v>
      </c>
      <c r="I409" s="95">
        <v>45.760000000000005</v>
      </c>
      <c r="J409" s="95">
        <v>7757.1</v>
      </c>
      <c r="K409" s="95">
        <v>3911.6999999999989</v>
      </c>
      <c r="L409" s="95">
        <v>11668.8</v>
      </c>
      <c r="M409" s="96">
        <v>0.27529999999999999</v>
      </c>
      <c r="N409" s="95">
        <v>38.79</v>
      </c>
      <c r="O409" s="95">
        <v>19.559999999999999</v>
      </c>
      <c r="P409" s="95">
        <v>58.349999999999994</v>
      </c>
      <c r="Q409" s="95">
        <v>9891.4500000000007</v>
      </c>
      <c r="R409" s="95">
        <v>4987.8</v>
      </c>
      <c r="S409" s="95">
        <v>14879.25</v>
      </c>
    </row>
    <row r="410" spans="1:19" ht="15" x14ac:dyDescent="0.25">
      <c r="A410" s="90" t="s">
        <v>1162</v>
      </c>
      <c r="B410" s="90" t="s">
        <v>108</v>
      </c>
      <c r="C410" s="98" t="s">
        <v>1163</v>
      </c>
      <c r="D410" s="92" t="s">
        <v>1164</v>
      </c>
      <c r="E410" s="90" t="s">
        <v>16</v>
      </c>
      <c r="F410" s="99">
        <v>539</v>
      </c>
      <c r="G410" s="94">
        <v>30.42</v>
      </c>
      <c r="H410" s="94">
        <v>15.34</v>
      </c>
      <c r="I410" s="95">
        <v>45.760000000000005</v>
      </c>
      <c r="J410" s="95">
        <v>16396.38</v>
      </c>
      <c r="K410" s="95">
        <v>8268.2599999999984</v>
      </c>
      <c r="L410" s="95">
        <v>24664.639999999999</v>
      </c>
      <c r="M410" s="96">
        <v>0.27529999999999999</v>
      </c>
      <c r="N410" s="95">
        <v>38.79</v>
      </c>
      <c r="O410" s="95">
        <v>19.559999999999999</v>
      </c>
      <c r="P410" s="95">
        <v>58.349999999999994</v>
      </c>
      <c r="Q410" s="95">
        <v>20907.810000000001</v>
      </c>
      <c r="R410" s="95">
        <v>10542.84</v>
      </c>
      <c r="S410" s="95">
        <v>31450.65</v>
      </c>
    </row>
    <row r="411" spans="1:19" ht="15" x14ac:dyDescent="0.25">
      <c r="A411" s="90" t="s">
        <v>1165</v>
      </c>
      <c r="B411" s="90" t="s">
        <v>108</v>
      </c>
      <c r="C411" s="98" t="s">
        <v>1166</v>
      </c>
      <c r="D411" s="92" t="s">
        <v>1167</v>
      </c>
      <c r="E411" s="90" t="s">
        <v>16</v>
      </c>
      <c r="F411" s="99">
        <v>349</v>
      </c>
      <c r="G411" s="94">
        <v>30.42</v>
      </c>
      <c r="H411" s="94">
        <v>15.34</v>
      </c>
      <c r="I411" s="95">
        <v>45.760000000000005</v>
      </c>
      <c r="J411" s="95">
        <v>10616.58</v>
      </c>
      <c r="K411" s="95">
        <v>5353.66</v>
      </c>
      <c r="L411" s="95">
        <v>15970.24</v>
      </c>
      <c r="M411" s="96">
        <v>0.27529999999999999</v>
      </c>
      <c r="N411" s="95">
        <v>38.79</v>
      </c>
      <c r="O411" s="95">
        <v>19.559999999999999</v>
      </c>
      <c r="P411" s="95">
        <v>58.349999999999994</v>
      </c>
      <c r="Q411" s="95">
        <v>13537.71</v>
      </c>
      <c r="R411" s="95">
        <v>6826.44</v>
      </c>
      <c r="S411" s="95">
        <v>20364.149999999998</v>
      </c>
    </row>
    <row r="412" spans="1:19" ht="15" x14ac:dyDescent="0.25">
      <c r="A412" s="90" t="s">
        <v>1168</v>
      </c>
      <c r="B412" s="90" t="s">
        <v>108</v>
      </c>
      <c r="C412" s="98" t="s">
        <v>1169</v>
      </c>
      <c r="D412" s="92" t="s">
        <v>1170</v>
      </c>
      <c r="E412" s="90" t="s">
        <v>16</v>
      </c>
      <c r="F412" s="99">
        <v>149</v>
      </c>
      <c r="G412" s="94">
        <v>11.67</v>
      </c>
      <c r="H412" s="94">
        <v>7.65</v>
      </c>
      <c r="I412" s="95">
        <v>19.32</v>
      </c>
      <c r="J412" s="95">
        <v>1738.83</v>
      </c>
      <c r="K412" s="95">
        <v>1139.8499999999999</v>
      </c>
      <c r="L412" s="95">
        <v>2878.68</v>
      </c>
      <c r="M412" s="96">
        <v>0.27529999999999999</v>
      </c>
      <c r="N412" s="95">
        <v>14.88</v>
      </c>
      <c r="O412" s="95">
        <v>9.76</v>
      </c>
      <c r="P412" s="95">
        <v>24.64</v>
      </c>
      <c r="Q412" s="95">
        <v>2217.12</v>
      </c>
      <c r="R412" s="95">
        <v>1454.24</v>
      </c>
      <c r="S412" s="95">
        <v>3671.3599999999997</v>
      </c>
    </row>
    <row r="413" spans="1:19" ht="15" x14ac:dyDescent="0.25">
      <c r="A413" s="90" t="s">
        <v>1171</v>
      </c>
      <c r="B413" s="90" t="s">
        <v>108</v>
      </c>
      <c r="C413" s="98" t="s">
        <v>1172</v>
      </c>
      <c r="D413" s="92" t="s">
        <v>1173</v>
      </c>
      <c r="E413" s="90" t="s">
        <v>16</v>
      </c>
      <c r="F413" s="99">
        <v>15</v>
      </c>
      <c r="G413" s="94">
        <v>37.31</v>
      </c>
      <c r="H413" s="94">
        <v>7.65</v>
      </c>
      <c r="I413" s="95">
        <v>44.96</v>
      </c>
      <c r="J413" s="95">
        <v>559.65</v>
      </c>
      <c r="K413" s="95">
        <v>114.75</v>
      </c>
      <c r="L413" s="95">
        <v>674.4</v>
      </c>
      <c r="M413" s="96">
        <v>0.27529999999999999</v>
      </c>
      <c r="N413" s="95">
        <v>47.58</v>
      </c>
      <c r="O413" s="95">
        <v>9.76</v>
      </c>
      <c r="P413" s="95">
        <v>57.339999999999996</v>
      </c>
      <c r="Q413" s="95">
        <v>713.7</v>
      </c>
      <c r="R413" s="95">
        <v>146.4</v>
      </c>
      <c r="S413" s="95">
        <v>860.1</v>
      </c>
    </row>
    <row r="414" spans="1:19" ht="15" x14ac:dyDescent="0.25">
      <c r="A414" s="90" t="s">
        <v>1174</v>
      </c>
      <c r="B414" s="90" t="s">
        <v>108</v>
      </c>
      <c r="C414" s="98" t="s">
        <v>1175</v>
      </c>
      <c r="D414" s="92" t="s">
        <v>1176</v>
      </c>
      <c r="E414" s="90" t="s">
        <v>16</v>
      </c>
      <c r="F414" s="99">
        <v>1</v>
      </c>
      <c r="G414" s="94">
        <v>46.55</v>
      </c>
      <c r="H414" s="94">
        <v>37.61</v>
      </c>
      <c r="I414" s="95">
        <v>84.16</v>
      </c>
      <c r="J414" s="95">
        <v>46.55</v>
      </c>
      <c r="K414" s="95">
        <v>37.61</v>
      </c>
      <c r="L414" s="95">
        <v>84.16</v>
      </c>
      <c r="M414" s="96">
        <v>0.27529999999999999</v>
      </c>
      <c r="N414" s="95">
        <v>59.37</v>
      </c>
      <c r="O414" s="95">
        <v>47.96</v>
      </c>
      <c r="P414" s="95">
        <v>107.33</v>
      </c>
      <c r="Q414" s="95">
        <v>59.37</v>
      </c>
      <c r="R414" s="95">
        <v>47.96</v>
      </c>
      <c r="S414" s="95">
        <v>107.33</v>
      </c>
    </row>
    <row r="415" spans="1:19" ht="15" x14ac:dyDescent="0.25">
      <c r="A415" s="90" t="s">
        <v>1177</v>
      </c>
      <c r="B415" s="90" t="s">
        <v>108</v>
      </c>
      <c r="C415" s="98" t="s">
        <v>1178</v>
      </c>
      <c r="D415" s="92" t="s">
        <v>1179</v>
      </c>
      <c r="E415" s="90" t="s">
        <v>16</v>
      </c>
      <c r="F415" s="99">
        <v>2</v>
      </c>
      <c r="G415" s="94">
        <v>46.55</v>
      </c>
      <c r="H415" s="94">
        <v>37.61</v>
      </c>
      <c r="I415" s="95">
        <v>84.16</v>
      </c>
      <c r="J415" s="95">
        <v>93.1</v>
      </c>
      <c r="K415" s="95">
        <v>75.22</v>
      </c>
      <c r="L415" s="95">
        <v>168.32</v>
      </c>
      <c r="M415" s="96">
        <v>0.27529999999999999</v>
      </c>
      <c r="N415" s="95">
        <v>59.37</v>
      </c>
      <c r="O415" s="95">
        <v>47.96</v>
      </c>
      <c r="P415" s="95">
        <v>107.33</v>
      </c>
      <c r="Q415" s="95">
        <v>118.74</v>
      </c>
      <c r="R415" s="95">
        <v>95.92</v>
      </c>
      <c r="S415" s="95">
        <v>214.66</v>
      </c>
    </row>
    <row r="416" spans="1:19" ht="15" x14ac:dyDescent="0.25">
      <c r="A416" s="90" t="s">
        <v>1180</v>
      </c>
      <c r="B416" s="90" t="s">
        <v>108</v>
      </c>
      <c r="C416" s="98" t="s">
        <v>1181</v>
      </c>
      <c r="D416" s="92" t="s">
        <v>1182</v>
      </c>
      <c r="E416" s="90" t="s">
        <v>16</v>
      </c>
      <c r="F416" s="99">
        <v>4</v>
      </c>
      <c r="G416" s="94">
        <v>8990.89</v>
      </c>
      <c r="H416" s="94">
        <v>373.97</v>
      </c>
      <c r="I416" s="95">
        <v>9364.8599999999988</v>
      </c>
      <c r="J416" s="95">
        <v>35963.56</v>
      </c>
      <c r="K416" s="95">
        <v>1495.8800000000047</v>
      </c>
      <c r="L416" s="95">
        <v>37459.440000000002</v>
      </c>
      <c r="M416" s="96">
        <v>0.27529999999999999</v>
      </c>
      <c r="N416" s="95">
        <v>11466.08</v>
      </c>
      <c r="O416" s="95">
        <v>476.92</v>
      </c>
      <c r="P416" s="95">
        <v>11943</v>
      </c>
      <c r="Q416" s="95">
        <v>45864.32</v>
      </c>
      <c r="R416" s="95">
        <v>1907.68</v>
      </c>
      <c r="S416" s="95">
        <v>47772</v>
      </c>
    </row>
    <row r="417" spans="1:19" ht="25.5" x14ac:dyDescent="0.25">
      <c r="A417" s="90" t="s">
        <v>1183</v>
      </c>
      <c r="B417" s="90" t="s">
        <v>108</v>
      </c>
      <c r="C417" s="98" t="s">
        <v>1184</v>
      </c>
      <c r="D417" s="92" t="s">
        <v>1185</v>
      </c>
      <c r="E417" s="90" t="s">
        <v>16</v>
      </c>
      <c r="F417" s="99">
        <v>2</v>
      </c>
      <c r="G417" s="94">
        <v>6123.28</v>
      </c>
      <c r="H417" s="94">
        <v>373.97</v>
      </c>
      <c r="I417" s="95">
        <v>6497.25</v>
      </c>
      <c r="J417" s="95">
        <v>12246.56</v>
      </c>
      <c r="K417" s="95">
        <v>747.94000000000051</v>
      </c>
      <c r="L417" s="95">
        <v>12994.5</v>
      </c>
      <c r="M417" s="96">
        <v>0.27529999999999999</v>
      </c>
      <c r="N417" s="95">
        <v>7809.02</v>
      </c>
      <c r="O417" s="95">
        <v>476.92</v>
      </c>
      <c r="P417" s="95">
        <v>8285.94</v>
      </c>
      <c r="Q417" s="95">
        <v>15618.04</v>
      </c>
      <c r="R417" s="95">
        <v>953.84</v>
      </c>
      <c r="S417" s="95">
        <v>16571.88</v>
      </c>
    </row>
    <row r="418" spans="1:19" ht="25.5" x14ac:dyDescent="0.25">
      <c r="A418" s="90" t="s">
        <v>1186</v>
      </c>
      <c r="B418" s="90" t="s">
        <v>108</v>
      </c>
      <c r="C418" s="98" t="s">
        <v>1187</v>
      </c>
      <c r="D418" s="92" t="s">
        <v>1188</v>
      </c>
      <c r="E418" s="90" t="s">
        <v>16</v>
      </c>
      <c r="F418" s="99">
        <v>12</v>
      </c>
      <c r="G418" s="94">
        <v>1390.98</v>
      </c>
      <c r="H418" s="94">
        <v>198.11</v>
      </c>
      <c r="I418" s="95">
        <v>1589.0900000000001</v>
      </c>
      <c r="J418" s="95">
        <v>16691.759999999998</v>
      </c>
      <c r="K418" s="95">
        <v>2377.3200000000033</v>
      </c>
      <c r="L418" s="95">
        <v>19069.080000000002</v>
      </c>
      <c r="M418" s="96">
        <v>0.27529999999999999</v>
      </c>
      <c r="N418" s="95">
        <v>1773.92</v>
      </c>
      <c r="O418" s="95">
        <v>252.65</v>
      </c>
      <c r="P418" s="95">
        <v>2026.5700000000002</v>
      </c>
      <c r="Q418" s="95">
        <v>21287.040000000001</v>
      </c>
      <c r="R418" s="95">
        <v>3031.8</v>
      </c>
      <c r="S418" s="95">
        <v>24318.84</v>
      </c>
    </row>
    <row r="419" spans="1:19" ht="25.5" x14ac:dyDescent="0.25">
      <c r="A419" s="90" t="s">
        <v>1189</v>
      </c>
      <c r="B419" s="90" t="s">
        <v>108</v>
      </c>
      <c r="C419" s="98" t="s">
        <v>1190</v>
      </c>
      <c r="D419" s="92" t="s">
        <v>1191</v>
      </c>
      <c r="E419" s="90" t="s">
        <v>16</v>
      </c>
      <c r="F419" s="99">
        <v>2</v>
      </c>
      <c r="G419" s="94">
        <v>6123.28</v>
      </c>
      <c r="H419" s="94">
        <v>373.97</v>
      </c>
      <c r="I419" s="95">
        <v>6497.25</v>
      </c>
      <c r="J419" s="95">
        <v>12246.56</v>
      </c>
      <c r="K419" s="95">
        <v>747.94000000000051</v>
      </c>
      <c r="L419" s="95">
        <v>12994.5</v>
      </c>
      <c r="M419" s="96">
        <v>0.27529999999999999</v>
      </c>
      <c r="N419" s="95">
        <v>7809.02</v>
      </c>
      <c r="O419" s="95">
        <v>476.92</v>
      </c>
      <c r="P419" s="95">
        <v>8285.94</v>
      </c>
      <c r="Q419" s="95">
        <v>15618.04</v>
      </c>
      <c r="R419" s="95">
        <v>953.84</v>
      </c>
      <c r="S419" s="95">
        <v>16571.88</v>
      </c>
    </row>
    <row r="420" spans="1:19" ht="15" x14ac:dyDescent="0.25">
      <c r="A420" s="90" t="s">
        <v>1192</v>
      </c>
      <c r="B420" s="90" t="s">
        <v>108</v>
      </c>
      <c r="C420" s="98" t="s">
        <v>1193</v>
      </c>
      <c r="D420" s="92" t="s">
        <v>1194</v>
      </c>
      <c r="E420" s="90" t="s">
        <v>93</v>
      </c>
      <c r="F420" s="99">
        <v>268.98</v>
      </c>
      <c r="G420" s="94">
        <v>18.559999999999999</v>
      </c>
      <c r="H420" s="94">
        <v>0</v>
      </c>
      <c r="I420" s="95">
        <v>18.559999999999999</v>
      </c>
      <c r="J420" s="95">
        <v>4992.26</v>
      </c>
      <c r="K420" s="95">
        <v>1.0000000000218279E-2</v>
      </c>
      <c r="L420" s="95">
        <v>4992.2700000000004</v>
      </c>
      <c r="M420" s="96">
        <v>0.27529999999999999</v>
      </c>
      <c r="N420" s="95">
        <v>23.67</v>
      </c>
      <c r="O420" s="95">
        <v>0</v>
      </c>
      <c r="P420" s="95">
        <v>23.67</v>
      </c>
      <c r="Q420" s="95">
        <v>6366.76</v>
      </c>
      <c r="R420" s="95">
        <v>0</v>
      </c>
      <c r="S420" s="95">
        <v>6366.76</v>
      </c>
    </row>
    <row r="421" spans="1:19" ht="25.5" x14ac:dyDescent="0.25">
      <c r="A421" s="90" t="s">
        <v>1195</v>
      </c>
      <c r="B421" s="90" t="s">
        <v>95</v>
      </c>
      <c r="C421" s="98" t="s">
        <v>1196</v>
      </c>
      <c r="D421" s="92" t="s">
        <v>1197</v>
      </c>
      <c r="E421" s="90" t="s">
        <v>16</v>
      </c>
      <c r="F421" s="99">
        <v>2</v>
      </c>
      <c r="G421" s="94">
        <v>18172.77</v>
      </c>
      <c r="H421" s="94">
        <v>537.14</v>
      </c>
      <c r="I421" s="95">
        <v>18709.91</v>
      </c>
      <c r="J421" s="95">
        <v>36345.54</v>
      </c>
      <c r="K421" s="95">
        <v>1074.2799999999988</v>
      </c>
      <c r="L421" s="95">
        <v>37419.82</v>
      </c>
      <c r="M421" s="96">
        <v>0.27529999999999999</v>
      </c>
      <c r="N421" s="95">
        <v>23175.73</v>
      </c>
      <c r="O421" s="95">
        <v>685.01</v>
      </c>
      <c r="P421" s="95">
        <v>23860.739999999998</v>
      </c>
      <c r="Q421" s="95">
        <v>46351.46</v>
      </c>
      <c r="R421" s="95">
        <v>1370.02</v>
      </c>
      <c r="S421" s="95">
        <v>47721.479999999996</v>
      </c>
    </row>
    <row r="422" spans="1:19" ht="25.5" x14ac:dyDescent="0.25">
      <c r="A422" s="90" t="s">
        <v>1198</v>
      </c>
      <c r="B422" s="90" t="s">
        <v>95</v>
      </c>
      <c r="C422" s="98" t="s">
        <v>1199</v>
      </c>
      <c r="D422" s="92" t="s">
        <v>1200</v>
      </c>
      <c r="E422" s="90" t="s">
        <v>16</v>
      </c>
      <c r="F422" s="99">
        <v>2</v>
      </c>
      <c r="G422" s="94">
        <v>4435.83</v>
      </c>
      <c r="H422" s="94">
        <v>364.17</v>
      </c>
      <c r="I422" s="95">
        <v>4800</v>
      </c>
      <c r="J422" s="95">
        <v>8871.66</v>
      </c>
      <c r="K422" s="95">
        <v>728.34000000000015</v>
      </c>
      <c r="L422" s="95">
        <v>9600</v>
      </c>
      <c r="M422" s="96">
        <v>0.27529999999999999</v>
      </c>
      <c r="N422" s="95">
        <v>5657.01</v>
      </c>
      <c r="O422" s="95">
        <v>464.43</v>
      </c>
      <c r="P422" s="95">
        <v>6121.4400000000005</v>
      </c>
      <c r="Q422" s="95">
        <v>11314.02</v>
      </c>
      <c r="R422" s="95">
        <v>928.86</v>
      </c>
      <c r="S422" s="95">
        <v>12242.880000000001</v>
      </c>
    </row>
    <row r="423" spans="1:19" s="89" customFormat="1" x14ac:dyDescent="0.25">
      <c r="A423" s="82" t="s">
        <v>1201</v>
      </c>
      <c r="B423" s="82"/>
      <c r="C423" s="83" t="s">
        <v>1202</v>
      </c>
      <c r="D423" s="84"/>
      <c r="E423" s="85"/>
      <c r="F423" s="101"/>
      <c r="G423" s="87"/>
      <c r="H423" s="87"/>
      <c r="I423" s="88"/>
      <c r="J423" s="87">
        <v>683105.04999999981</v>
      </c>
      <c r="K423" s="87">
        <v>129559.47000000002</v>
      </c>
      <c r="L423" s="87">
        <v>812664.52</v>
      </c>
      <c r="M423" s="87"/>
      <c r="N423" s="87"/>
      <c r="O423" s="87"/>
      <c r="P423" s="87"/>
      <c r="Q423" s="87">
        <v>871148.44</v>
      </c>
      <c r="R423" s="87">
        <v>165200.57000000007</v>
      </c>
      <c r="S423" s="87">
        <v>1036349.0100000001</v>
      </c>
    </row>
    <row r="424" spans="1:19" ht="15" x14ac:dyDescent="0.25">
      <c r="A424" s="90" t="s">
        <v>1203</v>
      </c>
      <c r="B424" s="90"/>
      <c r="C424" s="91" t="s">
        <v>1204</v>
      </c>
      <c r="D424" s="92"/>
      <c r="E424" s="90"/>
      <c r="F424" s="99"/>
      <c r="G424" s="94"/>
      <c r="H424" s="94"/>
      <c r="I424" s="95"/>
      <c r="J424" s="95"/>
      <c r="K424" s="95"/>
      <c r="L424" s="95"/>
      <c r="M424" s="96">
        <v>0</v>
      </c>
      <c r="N424" s="95"/>
      <c r="O424" s="95"/>
      <c r="P424" s="95"/>
      <c r="Q424" s="95"/>
      <c r="R424" s="95"/>
      <c r="S424" s="95"/>
    </row>
    <row r="425" spans="1:19" ht="15" x14ac:dyDescent="0.25">
      <c r="A425" s="90" t="s">
        <v>1205</v>
      </c>
      <c r="B425" s="90" t="s">
        <v>31</v>
      </c>
      <c r="C425" s="98" t="s">
        <v>1206</v>
      </c>
      <c r="D425" s="92" t="s">
        <v>1207</v>
      </c>
      <c r="E425" s="90" t="s">
        <v>34</v>
      </c>
      <c r="F425" s="99">
        <v>1780</v>
      </c>
      <c r="G425" s="94">
        <v>16.36</v>
      </c>
      <c r="H425" s="94">
        <v>2.56</v>
      </c>
      <c r="I425" s="95">
        <v>18.919999999999998</v>
      </c>
      <c r="J425" s="95">
        <v>29120.799999999999</v>
      </c>
      <c r="K425" s="95">
        <v>4556.7999999999993</v>
      </c>
      <c r="L425" s="95">
        <v>33677.599999999999</v>
      </c>
      <c r="M425" s="96">
        <v>0.27529999999999999</v>
      </c>
      <c r="N425" s="95">
        <v>20.86</v>
      </c>
      <c r="O425" s="95">
        <v>3.26</v>
      </c>
      <c r="P425" s="95">
        <v>24.119999999999997</v>
      </c>
      <c r="Q425" s="95">
        <v>37130.800000000003</v>
      </c>
      <c r="R425" s="95">
        <v>5802.8</v>
      </c>
      <c r="S425" s="95">
        <v>42933.600000000006</v>
      </c>
    </row>
    <row r="426" spans="1:19" ht="15" x14ac:dyDescent="0.25">
      <c r="A426" s="90" t="s">
        <v>1208</v>
      </c>
      <c r="B426" s="90" t="s">
        <v>31</v>
      </c>
      <c r="C426" s="98" t="s">
        <v>1209</v>
      </c>
      <c r="D426" s="92" t="s">
        <v>1210</v>
      </c>
      <c r="E426" s="90" t="s">
        <v>34</v>
      </c>
      <c r="F426" s="99">
        <v>3950</v>
      </c>
      <c r="G426" s="94">
        <v>12.07</v>
      </c>
      <c r="H426" s="94">
        <v>2.56</v>
      </c>
      <c r="I426" s="95">
        <v>14.63</v>
      </c>
      <c r="J426" s="95">
        <v>47676.5</v>
      </c>
      <c r="K426" s="95">
        <v>10112</v>
      </c>
      <c r="L426" s="95">
        <v>57788.5</v>
      </c>
      <c r="M426" s="96">
        <v>0.27529999999999999</v>
      </c>
      <c r="N426" s="95">
        <v>15.39</v>
      </c>
      <c r="O426" s="95">
        <v>3.26</v>
      </c>
      <c r="P426" s="95">
        <v>18.649999999999999</v>
      </c>
      <c r="Q426" s="95">
        <v>60790.5</v>
      </c>
      <c r="R426" s="95">
        <v>12877</v>
      </c>
      <c r="S426" s="95">
        <v>73667.5</v>
      </c>
    </row>
    <row r="427" spans="1:19" ht="15" x14ac:dyDescent="0.25">
      <c r="A427" s="90" t="s">
        <v>1211</v>
      </c>
      <c r="B427" s="90" t="s">
        <v>31</v>
      </c>
      <c r="C427" s="98" t="s">
        <v>1212</v>
      </c>
      <c r="D427" s="92" t="s">
        <v>1213</v>
      </c>
      <c r="E427" s="90" t="s">
        <v>16</v>
      </c>
      <c r="F427" s="99">
        <v>10</v>
      </c>
      <c r="G427" s="94">
        <v>290.77</v>
      </c>
      <c r="H427" s="94">
        <v>91.33</v>
      </c>
      <c r="I427" s="95">
        <v>382.09999999999997</v>
      </c>
      <c r="J427" s="95">
        <v>2907.7</v>
      </c>
      <c r="K427" s="95">
        <v>913.30000000000018</v>
      </c>
      <c r="L427" s="95">
        <v>3821</v>
      </c>
      <c r="M427" s="96">
        <v>0.27529999999999999</v>
      </c>
      <c r="N427" s="95">
        <v>370.82</v>
      </c>
      <c r="O427" s="95">
        <v>116.47</v>
      </c>
      <c r="P427" s="95">
        <v>487.28999999999996</v>
      </c>
      <c r="Q427" s="95">
        <v>3708.2</v>
      </c>
      <c r="R427" s="95">
        <v>1164.7</v>
      </c>
      <c r="S427" s="95">
        <v>4872.8999999999996</v>
      </c>
    </row>
    <row r="428" spans="1:19" ht="15" x14ac:dyDescent="0.25">
      <c r="A428" s="90" t="s">
        <v>1214</v>
      </c>
      <c r="B428" s="90" t="s">
        <v>31</v>
      </c>
      <c r="C428" s="98" t="s">
        <v>1215</v>
      </c>
      <c r="D428" s="92" t="s">
        <v>1216</v>
      </c>
      <c r="E428" s="90" t="s">
        <v>16</v>
      </c>
      <c r="F428" s="99">
        <v>197</v>
      </c>
      <c r="G428" s="94">
        <v>95.51</v>
      </c>
      <c r="H428" s="94">
        <v>19.53</v>
      </c>
      <c r="I428" s="95">
        <v>115.04</v>
      </c>
      <c r="J428" s="95">
        <v>18815.47</v>
      </c>
      <c r="K428" s="95">
        <v>3847.41</v>
      </c>
      <c r="L428" s="95">
        <v>22662.880000000001</v>
      </c>
      <c r="M428" s="96">
        <v>0.27529999999999999</v>
      </c>
      <c r="N428" s="95">
        <v>121.8</v>
      </c>
      <c r="O428" s="95">
        <v>24.91</v>
      </c>
      <c r="P428" s="95">
        <v>146.71</v>
      </c>
      <c r="Q428" s="95">
        <v>23994.6</v>
      </c>
      <c r="R428" s="95">
        <v>4907.2700000000004</v>
      </c>
      <c r="S428" s="95">
        <v>28901.87</v>
      </c>
    </row>
    <row r="429" spans="1:19" ht="15" x14ac:dyDescent="0.25">
      <c r="A429" s="90" t="s">
        <v>1217</v>
      </c>
      <c r="B429" s="90" t="s">
        <v>31</v>
      </c>
      <c r="C429" s="98" t="s">
        <v>1218</v>
      </c>
      <c r="D429" s="92" t="s">
        <v>1219</v>
      </c>
      <c r="E429" s="90" t="s">
        <v>16</v>
      </c>
      <c r="F429" s="99">
        <v>144</v>
      </c>
      <c r="G429" s="94">
        <v>186.66</v>
      </c>
      <c r="H429" s="94">
        <v>22.34</v>
      </c>
      <c r="I429" s="95">
        <v>209</v>
      </c>
      <c r="J429" s="95">
        <v>26879.040000000001</v>
      </c>
      <c r="K429" s="95">
        <v>3216.9599999999991</v>
      </c>
      <c r="L429" s="95">
        <v>30096</v>
      </c>
      <c r="M429" s="96">
        <v>0.27529999999999999</v>
      </c>
      <c r="N429" s="95">
        <v>238.05</v>
      </c>
      <c r="O429" s="95">
        <v>28.49</v>
      </c>
      <c r="P429" s="95">
        <v>266.54000000000002</v>
      </c>
      <c r="Q429" s="95">
        <v>34279.199999999997</v>
      </c>
      <c r="R429" s="95">
        <v>4102.5600000000004</v>
      </c>
      <c r="S429" s="95">
        <v>38381.759999999995</v>
      </c>
    </row>
    <row r="430" spans="1:19" ht="15" x14ac:dyDescent="0.25">
      <c r="A430" s="90" t="s">
        <v>1220</v>
      </c>
      <c r="B430" s="90" t="s">
        <v>1221</v>
      </c>
      <c r="C430" s="98" t="s">
        <v>1222</v>
      </c>
      <c r="D430" s="92" t="s">
        <v>1223</v>
      </c>
      <c r="E430" s="90" t="s">
        <v>1224</v>
      </c>
      <c r="F430" s="99">
        <v>20</v>
      </c>
      <c r="G430" s="94">
        <v>277.61</v>
      </c>
      <c r="H430" s="94">
        <v>183.5</v>
      </c>
      <c r="I430" s="95">
        <v>461.11</v>
      </c>
      <c r="J430" s="95">
        <v>5552.2</v>
      </c>
      <c r="K430" s="95">
        <v>3670.0000000000009</v>
      </c>
      <c r="L430" s="95">
        <v>9222.2000000000007</v>
      </c>
      <c r="M430" s="96">
        <v>0.27529999999999999</v>
      </c>
      <c r="N430" s="95">
        <v>354.04</v>
      </c>
      <c r="O430" s="95">
        <v>234.02</v>
      </c>
      <c r="P430" s="95">
        <v>588.06000000000006</v>
      </c>
      <c r="Q430" s="95">
        <v>7080.8</v>
      </c>
      <c r="R430" s="95">
        <v>4680.3999999999996</v>
      </c>
      <c r="S430" s="95">
        <v>11761.2</v>
      </c>
    </row>
    <row r="431" spans="1:19" ht="15" x14ac:dyDescent="0.25">
      <c r="A431" s="90" t="s">
        <v>1225</v>
      </c>
      <c r="B431" s="90"/>
      <c r="C431" s="91" t="s">
        <v>1226</v>
      </c>
      <c r="D431" s="92"/>
      <c r="E431" s="90"/>
      <c r="F431" s="99"/>
      <c r="G431" s="94"/>
      <c r="H431" s="94"/>
      <c r="I431" s="95"/>
      <c r="J431" s="95"/>
      <c r="K431" s="95"/>
      <c r="L431" s="95"/>
      <c r="M431" s="96">
        <v>0</v>
      </c>
      <c r="N431" s="95"/>
      <c r="O431" s="95"/>
      <c r="P431" s="95"/>
      <c r="Q431" s="95"/>
      <c r="R431" s="95"/>
      <c r="S431" s="95"/>
    </row>
    <row r="432" spans="1:19" ht="15" x14ac:dyDescent="0.25">
      <c r="A432" s="90" t="s">
        <v>1227</v>
      </c>
      <c r="B432" s="90" t="s">
        <v>31</v>
      </c>
      <c r="C432" s="98" t="s">
        <v>1228</v>
      </c>
      <c r="D432" s="92" t="s">
        <v>1229</v>
      </c>
      <c r="E432" s="90" t="s">
        <v>78</v>
      </c>
      <c r="F432" s="99">
        <v>3.82</v>
      </c>
      <c r="G432" s="94">
        <v>54.26</v>
      </c>
      <c r="H432" s="94">
        <v>0</v>
      </c>
      <c r="I432" s="95">
        <v>54.26</v>
      </c>
      <c r="J432" s="95">
        <v>207.27</v>
      </c>
      <c r="K432" s="95">
        <v>0</v>
      </c>
      <c r="L432" s="95">
        <v>207.27</v>
      </c>
      <c r="M432" s="96">
        <v>0.27529999999999999</v>
      </c>
      <c r="N432" s="95">
        <v>69.2</v>
      </c>
      <c r="O432" s="95">
        <v>0</v>
      </c>
      <c r="P432" s="95">
        <v>69.2</v>
      </c>
      <c r="Q432" s="95">
        <v>264.33999999999997</v>
      </c>
      <c r="R432" s="95">
        <v>0</v>
      </c>
      <c r="S432" s="95">
        <v>264.33999999999997</v>
      </c>
    </row>
    <row r="433" spans="1:19" ht="15" x14ac:dyDescent="0.25">
      <c r="A433" s="90" t="s">
        <v>1230</v>
      </c>
      <c r="B433" s="90" t="s">
        <v>31</v>
      </c>
      <c r="C433" s="98" t="s">
        <v>948</v>
      </c>
      <c r="D433" s="92" t="s">
        <v>949</v>
      </c>
      <c r="E433" s="90" t="s">
        <v>34</v>
      </c>
      <c r="F433" s="99">
        <v>17.66</v>
      </c>
      <c r="G433" s="94">
        <v>42.66</v>
      </c>
      <c r="H433" s="94">
        <v>18.7</v>
      </c>
      <c r="I433" s="95">
        <v>61.36</v>
      </c>
      <c r="J433" s="95">
        <v>753.37</v>
      </c>
      <c r="K433" s="95">
        <v>330.24999999999989</v>
      </c>
      <c r="L433" s="95">
        <v>1083.6199999999999</v>
      </c>
      <c r="M433" s="96">
        <v>0.27529999999999999</v>
      </c>
      <c r="N433" s="95">
        <v>54.4</v>
      </c>
      <c r="O433" s="95">
        <v>23.85</v>
      </c>
      <c r="P433" s="95">
        <v>78.25</v>
      </c>
      <c r="Q433" s="95">
        <v>960.7</v>
      </c>
      <c r="R433" s="95">
        <v>421.19</v>
      </c>
      <c r="S433" s="95">
        <v>1381.89</v>
      </c>
    </row>
    <row r="434" spans="1:19" ht="25.5" x14ac:dyDescent="0.25">
      <c r="A434" s="90" t="s">
        <v>1231</v>
      </c>
      <c r="B434" s="90" t="s">
        <v>31</v>
      </c>
      <c r="C434" s="98" t="s">
        <v>1232</v>
      </c>
      <c r="D434" s="92" t="s">
        <v>1233</v>
      </c>
      <c r="E434" s="90" t="s">
        <v>34</v>
      </c>
      <c r="F434" s="99">
        <v>31.96</v>
      </c>
      <c r="G434" s="94">
        <v>26.62</v>
      </c>
      <c r="H434" s="94">
        <v>20.36</v>
      </c>
      <c r="I434" s="95">
        <v>46.980000000000004</v>
      </c>
      <c r="J434" s="95">
        <v>850.77</v>
      </c>
      <c r="K434" s="95">
        <v>650.71</v>
      </c>
      <c r="L434" s="95">
        <v>1501.48</v>
      </c>
      <c r="M434" s="96">
        <v>0.27529999999999999</v>
      </c>
      <c r="N434" s="95">
        <v>33.950000000000003</v>
      </c>
      <c r="O434" s="95">
        <v>25.97</v>
      </c>
      <c r="P434" s="95">
        <v>59.92</v>
      </c>
      <c r="Q434" s="95">
        <v>1085.04</v>
      </c>
      <c r="R434" s="95">
        <v>830</v>
      </c>
      <c r="S434" s="95">
        <v>1915.04</v>
      </c>
    </row>
    <row r="435" spans="1:19" ht="15" x14ac:dyDescent="0.25">
      <c r="A435" s="90" t="s">
        <v>1234</v>
      </c>
      <c r="B435" s="90" t="s">
        <v>31</v>
      </c>
      <c r="C435" s="98" t="s">
        <v>695</v>
      </c>
      <c r="D435" s="92" t="s">
        <v>1235</v>
      </c>
      <c r="E435" s="90" t="s">
        <v>34</v>
      </c>
      <c r="F435" s="99">
        <v>15.21</v>
      </c>
      <c r="G435" s="94">
        <v>8.59</v>
      </c>
      <c r="H435" s="94">
        <v>4.43</v>
      </c>
      <c r="I435" s="95">
        <v>13.02</v>
      </c>
      <c r="J435" s="95">
        <v>130.65</v>
      </c>
      <c r="K435" s="95">
        <v>67.38</v>
      </c>
      <c r="L435" s="95">
        <v>198.03</v>
      </c>
      <c r="M435" s="96">
        <v>0.27529999999999999</v>
      </c>
      <c r="N435" s="95">
        <v>10.95</v>
      </c>
      <c r="O435" s="95">
        <v>5.65</v>
      </c>
      <c r="P435" s="95">
        <v>16.600000000000001</v>
      </c>
      <c r="Q435" s="95">
        <v>166.55</v>
      </c>
      <c r="R435" s="95">
        <v>85.94</v>
      </c>
      <c r="S435" s="95">
        <v>252.49</v>
      </c>
    </row>
    <row r="436" spans="1:19" ht="15" x14ac:dyDescent="0.25">
      <c r="A436" s="90" t="s">
        <v>1236</v>
      </c>
      <c r="B436" s="90" t="s">
        <v>31</v>
      </c>
      <c r="C436" s="98" t="s">
        <v>433</v>
      </c>
      <c r="D436" s="92" t="s">
        <v>434</v>
      </c>
      <c r="E436" s="90" t="s">
        <v>34</v>
      </c>
      <c r="F436" s="99">
        <v>16.75</v>
      </c>
      <c r="G436" s="94">
        <v>31.02</v>
      </c>
      <c r="H436" s="94">
        <v>11.07</v>
      </c>
      <c r="I436" s="95">
        <v>42.09</v>
      </c>
      <c r="J436" s="95">
        <v>519.58000000000004</v>
      </c>
      <c r="K436" s="95">
        <v>185.42999999999995</v>
      </c>
      <c r="L436" s="95">
        <v>705.01</v>
      </c>
      <c r="M436" s="96">
        <v>0.27529999999999999</v>
      </c>
      <c r="N436" s="95">
        <v>39.56</v>
      </c>
      <c r="O436" s="95">
        <v>14.12</v>
      </c>
      <c r="P436" s="95">
        <v>53.68</v>
      </c>
      <c r="Q436" s="95">
        <v>662.63</v>
      </c>
      <c r="R436" s="95">
        <v>236.51</v>
      </c>
      <c r="S436" s="95">
        <v>899.14</v>
      </c>
    </row>
    <row r="437" spans="1:19" ht="15" x14ac:dyDescent="0.25">
      <c r="A437" s="90" t="s">
        <v>1237</v>
      </c>
      <c r="B437" s="90"/>
      <c r="C437" s="91" t="s">
        <v>1238</v>
      </c>
      <c r="D437" s="92"/>
      <c r="E437" s="90"/>
      <c r="F437" s="99"/>
      <c r="G437" s="94"/>
      <c r="H437" s="94"/>
      <c r="I437" s="95"/>
      <c r="J437" s="95"/>
      <c r="K437" s="95"/>
      <c r="L437" s="95"/>
      <c r="M437" s="96">
        <v>0</v>
      </c>
      <c r="N437" s="95"/>
      <c r="O437" s="95"/>
      <c r="P437" s="95"/>
      <c r="Q437" s="95"/>
      <c r="R437" s="95"/>
      <c r="S437" s="95"/>
    </row>
    <row r="438" spans="1:19" ht="25.5" x14ac:dyDescent="0.25">
      <c r="A438" s="90" t="s">
        <v>1239</v>
      </c>
      <c r="B438" s="90" t="s">
        <v>108</v>
      </c>
      <c r="C438" s="98" t="s">
        <v>1240</v>
      </c>
      <c r="D438" s="92" t="s">
        <v>1241</v>
      </c>
      <c r="E438" s="90" t="s">
        <v>16</v>
      </c>
      <c r="F438" s="99">
        <v>12</v>
      </c>
      <c r="G438" s="94">
        <v>1203.1300000000001</v>
      </c>
      <c r="H438" s="94">
        <v>114.43</v>
      </c>
      <c r="I438" s="95">
        <v>1317.5600000000002</v>
      </c>
      <c r="J438" s="95">
        <v>14437.56</v>
      </c>
      <c r="K438" s="95">
        <v>1373.1599999999999</v>
      </c>
      <c r="L438" s="95">
        <v>15810.72</v>
      </c>
      <c r="M438" s="96">
        <v>0.27529999999999999</v>
      </c>
      <c r="N438" s="95">
        <v>1534.35</v>
      </c>
      <c r="O438" s="95">
        <v>145.93</v>
      </c>
      <c r="P438" s="95">
        <v>1680.28</v>
      </c>
      <c r="Q438" s="95">
        <v>18412.2</v>
      </c>
      <c r="R438" s="95">
        <v>1751.16</v>
      </c>
      <c r="S438" s="95">
        <v>20163.36</v>
      </c>
    </row>
    <row r="439" spans="1:19" ht="25.5" x14ac:dyDescent="0.25">
      <c r="A439" s="90" t="s">
        <v>1242</v>
      </c>
      <c r="B439" s="90" t="s">
        <v>108</v>
      </c>
      <c r="C439" s="98" t="s">
        <v>1243</v>
      </c>
      <c r="D439" s="92" t="s">
        <v>1244</v>
      </c>
      <c r="E439" s="90" t="s">
        <v>16</v>
      </c>
      <c r="F439" s="99">
        <v>9</v>
      </c>
      <c r="G439" s="94">
        <v>209.49</v>
      </c>
      <c r="H439" s="94">
        <v>35.67</v>
      </c>
      <c r="I439" s="95">
        <v>245.16000000000003</v>
      </c>
      <c r="J439" s="95">
        <v>1885.41</v>
      </c>
      <c r="K439" s="95">
        <v>321.02999999999997</v>
      </c>
      <c r="L439" s="95">
        <v>2206.44</v>
      </c>
      <c r="M439" s="96">
        <v>0.27529999999999999</v>
      </c>
      <c r="N439" s="95">
        <v>267.16000000000003</v>
      </c>
      <c r="O439" s="95">
        <v>45.49</v>
      </c>
      <c r="P439" s="95">
        <v>312.65000000000003</v>
      </c>
      <c r="Q439" s="95">
        <v>2404.44</v>
      </c>
      <c r="R439" s="95">
        <v>409.41</v>
      </c>
      <c r="S439" s="95">
        <v>2813.85</v>
      </c>
    </row>
    <row r="440" spans="1:19" ht="15" x14ac:dyDescent="0.25">
      <c r="A440" s="90" t="s">
        <v>1245</v>
      </c>
      <c r="B440" s="90" t="s">
        <v>184</v>
      </c>
      <c r="C440" s="98" t="s">
        <v>1246</v>
      </c>
      <c r="D440" s="92" t="s">
        <v>1247</v>
      </c>
      <c r="E440" s="90" t="s">
        <v>16</v>
      </c>
      <c r="F440" s="99">
        <v>28</v>
      </c>
      <c r="G440" s="94">
        <v>2734.4</v>
      </c>
      <c r="H440" s="94">
        <v>225.71</v>
      </c>
      <c r="I440" s="95">
        <v>2960.11</v>
      </c>
      <c r="J440" s="95">
        <v>76563.199999999997</v>
      </c>
      <c r="K440" s="95">
        <v>6319.8800000000047</v>
      </c>
      <c r="L440" s="95">
        <v>82883.08</v>
      </c>
      <c r="M440" s="96">
        <v>0.27529999999999999</v>
      </c>
      <c r="N440" s="95">
        <v>3487.18</v>
      </c>
      <c r="O440" s="95">
        <v>287.85000000000002</v>
      </c>
      <c r="P440" s="95">
        <v>3775.0299999999997</v>
      </c>
      <c r="Q440" s="95">
        <v>97641.04</v>
      </c>
      <c r="R440" s="95">
        <v>8059.8</v>
      </c>
      <c r="S440" s="95">
        <v>105700.84</v>
      </c>
    </row>
    <row r="441" spans="1:19" ht="15" x14ac:dyDescent="0.25">
      <c r="A441" s="90" t="s">
        <v>1248</v>
      </c>
      <c r="B441" s="90" t="s">
        <v>184</v>
      </c>
      <c r="C441" s="98" t="s">
        <v>1246</v>
      </c>
      <c r="D441" s="92" t="s">
        <v>1249</v>
      </c>
      <c r="E441" s="90" t="s">
        <v>16</v>
      </c>
      <c r="F441" s="99">
        <v>13</v>
      </c>
      <c r="G441" s="94">
        <v>3581.3</v>
      </c>
      <c r="H441" s="94">
        <v>225.71</v>
      </c>
      <c r="I441" s="95">
        <v>3807.01</v>
      </c>
      <c r="J441" s="95">
        <v>46556.9</v>
      </c>
      <c r="K441" s="95">
        <v>2934.2299999999959</v>
      </c>
      <c r="L441" s="95">
        <v>49491.13</v>
      </c>
      <c r="M441" s="96">
        <v>0.27529999999999999</v>
      </c>
      <c r="N441" s="95">
        <v>4567.2299999999996</v>
      </c>
      <c r="O441" s="95">
        <v>287.85000000000002</v>
      </c>
      <c r="P441" s="95">
        <v>4855.08</v>
      </c>
      <c r="Q441" s="95">
        <v>59373.99</v>
      </c>
      <c r="R441" s="95">
        <v>3742.05</v>
      </c>
      <c r="S441" s="95">
        <v>63116.04</v>
      </c>
    </row>
    <row r="442" spans="1:19" ht="15" x14ac:dyDescent="0.25">
      <c r="A442" s="90" t="s">
        <v>1250</v>
      </c>
      <c r="B442" s="90" t="s">
        <v>1251</v>
      </c>
      <c r="C442" s="98" t="s">
        <v>1252</v>
      </c>
      <c r="D442" s="92" t="s">
        <v>1253</v>
      </c>
      <c r="E442" s="90" t="s">
        <v>16</v>
      </c>
      <c r="F442" s="99">
        <v>16</v>
      </c>
      <c r="G442" s="94">
        <v>212.67</v>
      </c>
      <c r="H442" s="94">
        <v>13.65</v>
      </c>
      <c r="I442" s="95">
        <v>226.32</v>
      </c>
      <c r="J442" s="95">
        <v>3402.72</v>
      </c>
      <c r="K442" s="95">
        <v>218.40000000000009</v>
      </c>
      <c r="L442" s="95">
        <v>3621.12</v>
      </c>
      <c r="M442" s="96">
        <v>0.27529999999999999</v>
      </c>
      <c r="N442" s="95">
        <v>271.22000000000003</v>
      </c>
      <c r="O442" s="95">
        <v>17.41</v>
      </c>
      <c r="P442" s="95">
        <v>288.63000000000005</v>
      </c>
      <c r="Q442" s="95">
        <v>4339.5200000000004</v>
      </c>
      <c r="R442" s="95">
        <v>278.56</v>
      </c>
      <c r="S442" s="95">
        <v>4618.0800000000008</v>
      </c>
    </row>
    <row r="443" spans="1:19" ht="15" x14ac:dyDescent="0.25">
      <c r="A443" s="90" t="s">
        <v>1254</v>
      </c>
      <c r="B443" s="90"/>
      <c r="C443" s="91" t="s">
        <v>892</v>
      </c>
      <c r="D443" s="92"/>
      <c r="E443" s="90"/>
      <c r="F443" s="99"/>
      <c r="G443" s="94"/>
      <c r="H443" s="94"/>
      <c r="I443" s="95"/>
      <c r="J443" s="95"/>
      <c r="K443" s="95"/>
      <c r="L443" s="95"/>
      <c r="M443" s="96">
        <v>0</v>
      </c>
      <c r="N443" s="95"/>
      <c r="O443" s="95"/>
      <c r="P443" s="95"/>
      <c r="Q443" s="95"/>
      <c r="R443" s="95"/>
      <c r="S443" s="95"/>
    </row>
    <row r="444" spans="1:19" ht="25.5" x14ac:dyDescent="0.25">
      <c r="A444" s="90" t="s">
        <v>1255</v>
      </c>
      <c r="B444" s="90" t="s">
        <v>108</v>
      </c>
      <c r="C444" s="98" t="s">
        <v>1256</v>
      </c>
      <c r="D444" s="92" t="s">
        <v>1257</v>
      </c>
      <c r="E444" s="90" t="s">
        <v>93</v>
      </c>
      <c r="F444" s="99">
        <v>131.94999999999999</v>
      </c>
      <c r="G444" s="94">
        <v>459.53</v>
      </c>
      <c r="H444" s="94">
        <v>18.39</v>
      </c>
      <c r="I444" s="95">
        <v>477.91999999999996</v>
      </c>
      <c r="J444" s="95">
        <v>60634.98</v>
      </c>
      <c r="K444" s="95">
        <v>2426.5599999999977</v>
      </c>
      <c r="L444" s="95">
        <v>63061.54</v>
      </c>
      <c r="M444" s="96">
        <v>0.27529999999999999</v>
      </c>
      <c r="N444" s="95">
        <v>586.04</v>
      </c>
      <c r="O444" s="95">
        <v>23.45</v>
      </c>
      <c r="P444" s="95">
        <v>609.49</v>
      </c>
      <c r="Q444" s="95">
        <v>77327.98</v>
      </c>
      <c r="R444" s="95">
        <v>3094.23</v>
      </c>
      <c r="S444" s="95">
        <v>80422.209999999992</v>
      </c>
    </row>
    <row r="445" spans="1:19" ht="25.5" x14ac:dyDescent="0.25">
      <c r="A445" s="90" t="s">
        <v>1258</v>
      </c>
      <c r="B445" s="90" t="s">
        <v>108</v>
      </c>
      <c r="C445" s="98" t="s">
        <v>1259</v>
      </c>
      <c r="D445" s="92" t="s">
        <v>1260</v>
      </c>
      <c r="E445" s="90" t="s">
        <v>93</v>
      </c>
      <c r="F445" s="99">
        <v>131.94999999999999</v>
      </c>
      <c r="G445" s="94">
        <v>177.21</v>
      </c>
      <c r="H445" s="94">
        <v>28.97</v>
      </c>
      <c r="I445" s="95">
        <v>206.18</v>
      </c>
      <c r="J445" s="95">
        <v>23382.85</v>
      </c>
      <c r="K445" s="95">
        <v>3822.6000000000022</v>
      </c>
      <c r="L445" s="95">
        <v>27205.45</v>
      </c>
      <c r="M445" s="96">
        <v>0.27529999999999999</v>
      </c>
      <c r="N445" s="95">
        <v>226</v>
      </c>
      <c r="O445" s="95">
        <v>36.950000000000003</v>
      </c>
      <c r="P445" s="95">
        <v>262.95</v>
      </c>
      <c r="Q445" s="95">
        <v>29820.7</v>
      </c>
      <c r="R445" s="95">
        <v>4875.55</v>
      </c>
      <c r="S445" s="95">
        <v>34696.25</v>
      </c>
    </row>
    <row r="446" spans="1:19" ht="25.5" x14ac:dyDescent="0.25">
      <c r="A446" s="90" t="s">
        <v>1261</v>
      </c>
      <c r="B446" s="90" t="s">
        <v>108</v>
      </c>
      <c r="C446" s="98" t="s">
        <v>1262</v>
      </c>
      <c r="D446" s="92" t="s">
        <v>1263</v>
      </c>
      <c r="E446" s="90" t="s">
        <v>93</v>
      </c>
      <c r="F446" s="99">
        <v>264.77</v>
      </c>
      <c r="G446" s="94">
        <v>550.33000000000004</v>
      </c>
      <c r="H446" s="94">
        <v>225.98</v>
      </c>
      <c r="I446" s="95">
        <v>776.31000000000006</v>
      </c>
      <c r="J446" s="95">
        <v>145710.87</v>
      </c>
      <c r="K446" s="95">
        <v>59832.73000000001</v>
      </c>
      <c r="L446" s="95">
        <v>205543.6</v>
      </c>
      <c r="M446" s="96">
        <v>0.27529999999999999</v>
      </c>
      <c r="N446" s="95">
        <v>701.84</v>
      </c>
      <c r="O446" s="95">
        <v>288.19</v>
      </c>
      <c r="P446" s="95">
        <v>990.03</v>
      </c>
      <c r="Q446" s="95">
        <v>185826.18</v>
      </c>
      <c r="R446" s="95">
        <v>76304.070000000007</v>
      </c>
      <c r="S446" s="95">
        <v>262130.25</v>
      </c>
    </row>
    <row r="447" spans="1:19" ht="15" x14ac:dyDescent="0.25">
      <c r="A447" s="90" t="s">
        <v>1264</v>
      </c>
      <c r="B447" s="90"/>
      <c r="C447" s="91" t="s">
        <v>1265</v>
      </c>
      <c r="D447" s="92"/>
      <c r="E447" s="90"/>
      <c r="F447" s="99"/>
      <c r="G447" s="94"/>
      <c r="H447" s="94"/>
      <c r="I447" s="95"/>
      <c r="J447" s="95"/>
      <c r="K447" s="95"/>
      <c r="L447" s="95"/>
      <c r="M447" s="96">
        <v>0</v>
      </c>
      <c r="N447" s="95"/>
      <c r="O447" s="95"/>
      <c r="P447" s="95"/>
      <c r="Q447" s="95"/>
      <c r="R447" s="95"/>
      <c r="S447" s="95"/>
    </row>
    <row r="448" spans="1:19" ht="15" x14ac:dyDescent="0.25">
      <c r="A448" s="90" t="s">
        <v>1266</v>
      </c>
      <c r="B448" s="90" t="s">
        <v>108</v>
      </c>
      <c r="C448" s="98" t="s">
        <v>1267</v>
      </c>
      <c r="D448" s="92" t="s">
        <v>1268</v>
      </c>
      <c r="E448" s="90" t="s">
        <v>16</v>
      </c>
      <c r="F448" s="99">
        <v>121</v>
      </c>
      <c r="G448" s="94">
        <v>262.08999999999997</v>
      </c>
      <c r="H448" s="94">
        <v>16.47</v>
      </c>
      <c r="I448" s="95">
        <v>278.55999999999995</v>
      </c>
      <c r="J448" s="95">
        <v>31712.89</v>
      </c>
      <c r="K448" s="95">
        <v>1992.8700000000026</v>
      </c>
      <c r="L448" s="95">
        <v>33705.760000000002</v>
      </c>
      <c r="M448" s="96">
        <v>0.27529999999999999</v>
      </c>
      <c r="N448" s="95">
        <v>334.24</v>
      </c>
      <c r="O448" s="95">
        <v>21</v>
      </c>
      <c r="P448" s="95">
        <v>355.24</v>
      </c>
      <c r="Q448" s="95">
        <v>40443.040000000001</v>
      </c>
      <c r="R448" s="95">
        <v>2541</v>
      </c>
      <c r="S448" s="95">
        <v>42984.04</v>
      </c>
    </row>
    <row r="449" spans="1:19" ht="15" x14ac:dyDescent="0.25">
      <c r="A449" s="90" t="s">
        <v>1269</v>
      </c>
      <c r="B449" s="90" t="s">
        <v>108</v>
      </c>
      <c r="C449" s="98" t="s">
        <v>1270</v>
      </c>
      <c r="D449" s="92" t="s">
        <v>1271</v>
      </c>
      <c r="E449" s="90" t="s">
        <v>16</v>
      </c>
      <c r="F449" s="99">
        <v>10</v>
      </c>
      <c r="G449" s="94">
        <v>302.97000000000003</v>
      </c>
      <c r="H449" s="94">
        <v>16.47</v>
      </c>
      <c r="I449" s="95">
        <v>319.44000000000005</v>
      </c>
      <c r="J449" s="95">
        <v>3029.7</v>
      </c>
      <c r="K449" s="95">
        <v>164.70000000000027</v>
      </c>
      <c r="L449" s="95">
        <v>3194.4</v>
      </c>
      <c r="M449" s="96">
        <v>0.27529999999999999</v>
      </c>
      <c r="N449" s="95">
        <v>386.38</v>
      </c>
      <c r="O449" s="95">
        <v>21</v>
      </c>
      <c r="P449" s="95">
        <v>407.38</v>
      </c>
      <c r="Q449" s="95">
        <v>3863.8</v>
      </c>
      <c r="R449" s="95">
        <v>210</v>
      </c>
      <c r="S449" s="95">
        <v>4073.8</v>
      </c>
    </row>
    <row r="450" spans="1:19" ht="15" x14ac:dyDescent="0.25">
      <c r="A450" s="90" t="s">
        <v>1272</v>
      </c>
      <c r="B450" s="90" t="s">
        <v>108</v>
      </c>
      <c r="C450" s="98" t="s">
        <v>1273</v>
      </c>
      <c r="D450" s="92" t="s">
        <v>1274</v>
      </c>
      <c r="E450" s="90" t="s">
        <v>16</v>
      </c>
      <c r="F450" s="99">
        <v>54</v>
      </c>
      <c r="G450" s="94">
        <v>310.39999999999998</v>
      </c>
      <c r="H450" s="94">
        <v>16.47</v>
      </c>
      <c r="I450" s="95">
        <v>326.87</v>
      </c>
      <c r="J450" s="95">
        <v>16761.599999999999</v>
      </c>
      <c r="K450" s="95">
        <v>889.38000000000102</v>
      </c>
      <c r="L450" s="95">
        <v>17650.98</v>
      </c>
      <c r="M450" s="96">
        <v>0.27529999999999999</v>
      </c>
      <c r="N450" s="95">
        <v>395.85</v>
      </c>
      <c r="O450" s="95">
        <v>21</v>
      </c>
      <c r="P450" s="95">
        <v>416.85</v>
      </c>
      <c r="Q450" s="95">
        <v>21375.9</v>
      </c>
      <c r="R450" s="95">
        <v>1134</v>
      </c>
      <c r="S450" s="95">
        <v>22509.9</v>
      </c>
    </row>
    <row r="451" spans="1:19" ht="15" x14ac:dyDescent="0.25">
      <c r="A451" s="90" t="s">
        <v>1275</v>
      </c>
      <c r="B451" s="90" t="s">
        <v>108</v>
      </c>
      <c r="C451" s="98" t="s">
        <v>1276</v>
      </c>
      <c r="D451" s="92" t="s">
        <v>1277</v>
      </c>
      <c r="E451" s="90" t="s">
        <v>34</v>
      </c>
      <c r="F451" s="99">
        <v>67.510000000000005</v>
      </c>
      <c r="G451" s="94">
        <v>1266.71</v>
      </c>
      <c r="H451" s="94">
        <v>16.79</v>
      </c>
      <c r="I451" s="95">
        <v>1283.5</v>
      </c>
      <c r="J451" s="95">
        <v>85515.59</v>
      </c>
      <c r="K451" s="95">
        <v>1133.5</v>
      </c>
      <c r="L451" s="95">
        <v>86649.09</v>
      </c>
      <c r="M451" s="96">
        <v>0.27529999999999999</v>
      </c>
      <c r="N451" s="95">
        <v>1615.44</v>
      </c>
      <c r="O451" s="95">
        <v>21.41</v>
      </c>
      <c r="P451" s="95">
        <v>1636.8500000000001</v>
      </c>
      <c r="Q451" s="95">
        <v>109058.35</v>
      </c>
      <c r="R451" s="95">
        <v>1445.39</v>
      </c>
      <c r="S451" s="95">
        <v>110503.74</v>
      </c>
    </row>
    <row r="452" spans="1:19" ht="15" x14ac:dyDescent="0.25">
      <c r="A452" s="90" t="s">
        <v>1278</v>
      </c>
      <c r="B452" s="90" t="s">
        <v>31</v>
      </c>
      <c r="C452" s="98" t="s">
        <v>1279</v>
      </c>
      <c r="D452" s="92" t="s">
        <v>1280</v>
      </c>
      <c r="E452" s="90" t="s">
        <v>34</v>
      </c>
      <c r="F452" s="99">
        <v>711.7</v>
      </c>
      <c r="G452" s="94">
        <v>23.42</v>
      </c>
      <c r="H452" s="94">
        <v>27.38</v>
      </c>
      <c r="I452" s="95">
        <v>50.8</v>
      </c>
      <c r="J452" s="95">
        <v>16668.009999999998</v>
      </c>
      <c r="K452" s="95">
        <v>19486.350000000002</v>
      </c>
      <c r="L452" s="95">
        <v>36154.36</v>
      </c>
      <c r="M452" s="96">
        <v>0.27529999999999999</v>
      </c>
      <c r="N452" s="95">
        <v>29.87</v>
      </c>
      <c r="O452" s="95">
        <v>34.92</v>
      </c>
      <c r="P452" s="95">
        <v>64.790000000000006</v>
      </c>
      <c r="Q452" s="95">
        <v>21258.48</v>
      </c>
      <c r="R452" s="95">
        <v>24852.560000000001</v>
      </c>
      <c r="S452" s="95">
        <v>46111.040000000001</v>
      </c>
    </row>
    <row r="453" spans="1:19" ht="15" x14ac:dyDescent="0.25">
      <c r="A453" s="90" t="s">
        <v>1281</v>
      </c>
      <c r="B453" s="90" t="s">
        <v>108</v>
      </c>
      <c r="C453" s="98" t="s">
        <v>1282</v>
      </c>
      <c r="D453" s="92" t="s">
        <v>1283</v>
      </c>
      <c r="E453" s="90" t="s">
        <v>16</v>
      </c>
      <c r="F453" s="99">
        <v>226</v>
      </c>
      <c r="G453" s="94">
        <v>103.67</v>
      </c>
      <c r="H453" s="94">
        <v>4.84</v>
      </c>
      <c r="I453" s="95">
        <v>108.51</v>
      </c>
      <c r="J453" s="95">
        <v>23429.42</v>
      </c>
      <c r="K453" s="95">
        <v>1093.8400000000001</v>
      </c>
      <c r="L453" s="95">
        <v>24523.26</v>
      </c>
      <c r="M453" s="96">
        <v>0.27529999999999999</v>
      </c>
      <c r="N453" s="95">
        <v>132.21</v>
      </c>
      <c r="O453" s="95">
        <v>6.17</v>
      </c>
      <c r="P453" s="95">
        <v>138.38</v>
      </c>
      <c r="Q453" s="95">
        <v>29879.46</v>
      </c>
      <c r="R453" s="95">
        <v>1394.42</v>
      </c>
      <c r="S453" s="95">
        <v>31273.879999999997</v>
      </c>
    </row>
    <row r="454" spans="1:19" s="89" customFormat="1" x14ac:dyDescent="0.25">
      <c r="A454" s="82" t="s">
        <v>1284</v>
      </c>
      <c r="B454" s="82"/>
      <c r="C454" s="84" t="s">
        <v>1285</v>
      </c>
      <c r="D454" s="84"/>
      <c r="E454" s="85"/>
      <c r="F454" s="101"/>
      <c r="G454" s="87"/>
      <c r="H454" s="87"/>
      <c r="I454" s="88"/>
      <c r="J454" s="87">
        <v>32772.600000000006</v>
      </c>
      <c r="K454" s="87">
        <v>61047</v>
      </c>
      <c r="L454" s="87">
        <v>93819.599999999991</v>
      </c>
      <c r="M454" s="87"/>
      <c r="N454" s="87"/>
      <c r="O454" s="87"/>
      <c r="P454" s="87"/>
      <c r="Q454" s="87">
        <v>41792.799999999996</v>
      </c>
      <c r="R454" s="87">
        <v>77861.700000000012</v>
      </c>
      <c r="S454" s="87">
        <v>119654.5</v>
      </c>
    </row>
    <row r="455" spans="1:19" ht="15" x14ac:dyDescent="0.25">
      <c r="A455" s="90" t="s">
        <v>1286</v>
      </c>
      <c r="B455" s="90"/>
      <c r="C455" s="91" t="s">
        <v>1287</v>
      </c>
      <c r="D455" s="92"/>
      <c r="E455" s="90"/>
      <c r="F455" s="99"/>
      <c r="G455" s="94"/>
      <c r="H455" s="94"/>
      <c r="I455" s="95"/>
      <c r="J455" s="95"/>
      <c r="K455" s="95"/>
      <c r="L455" s="95"/>
      <c r="M455" s="96"/>
      <c r="N455" s="95"/>
      <c r="O455" s="95"/>
      <c r="P455" s="95"/>
      <c r="Q455" s="95"/>
      <c r="R455" s="95"/>
      <c r="S455" s="95"/>
    </row>
    <row r="456" spans="1:19" ht="15" x14ac:dyDescent="0.25">
      <c r="A456" s="90" t="s">
        <v>1288</v>
      </c>
      <c r="B456" s="90" t="s">
        <v>622</v>
      </c>
      <c r="C456" s="98" t="s">
        <v>1289</v>
      </c>
      <c r="D456" s="92" t="s">
        <v>1290</v>
      </c>
      <c r="E456" s="90" t="s">
        <v>93</v>
      </c>
      <c r="F456" s="99">
        <v>480</v>
      </c>
      <c r="G456" s="94">
        <v>11.54</v>
      </c>
      <c r="H456" s="94">
        <v>10.01</v>
      </c>
      <c r="I456" s="95">
        <v>21.549999999999997</v>
      </c>
      <c r="J456" s="95">
        <v>5539.2</v>
      </c>
      <c r="K456" s="95">
        <v>4804.8</v>
      </c>
      <c r="L456" s="95">
        <v>10344</v>
      </c>
      <c r="M456" s="96">
        <v>0.27529999999999999</v>
      </c>
      <c r="N456" s="95">
        <v>14.72</v>
      </c>
      <c r="O456" s="95">
        <v>12.77</v>
      </c>
      <c r="P456" s="95">
        <v>27.490000000000002</v>
      </c>
      <c r="Q456" s="95">
        <v>7065.6</v>
      </c>
      <c r="R456" s="95">
        <v>6129.6</v>
      </c>
      <c r="S456" s="95">
        <v>13195.2</v>
      </c>
    </row>
    <row r="457" spans="1:19" ht="15" x14ac:dyDescent="0.25">
      <c r="A457" s="90" t="s">
        <v>1291</v>
      </c>
      <c r="B457" s="90" t="s">
        <v>1055</v>
      </c>
      <c r="C457" s="98" t="s">
        <v>1292</v>
      </c>
      <c r="D457" s="92" t="s">
        <v>1293</v>
      </c>
      <c r="E457" s="90" t="s">
        <v>93</v>
      </c>
      <c r="F457" s="99">
        <v>480</v>
      </c>
      <c r="G457" s="94">
        <v>16</v>
      </c>
      <c r="H457" s="94">
        <v>41.29</v>
      </c>
      <c r="I457" s="95">
        <v>57.29</v>
      </c>
      <c r="J457" s="95">
        <v>7680</v>
      </c>
      <c r="K457" s="95">
        <v>19819.2</v>
      </c>
      <c r="L457" s="95">
        <v>27499.200000000001</v>
      </c>
      <c r="M457" s="96">
        <v>0.27529999999999999</v>
      </c>
      <c r="N457" s="95">
        <v>20.399999999999999</v>
      </c>
      <c r="O457" s="95">
        <v>52.66</v>
      </c>
      <c r="P457" s="95">
        <v>73.06</v>
      </c>
      <c r="Q457" s="95">
        <v>9792</v>
      </c>
      <c r="R457" s="95">
        <v>25276.799999999999</v>
      </c>
      <c r="S457" s="95">
        <v>35068.800000000003</v>
      </c>
    </row>
    <row r="458" spans="1:19" ht="15" x14ac:dyDescent="0.25">
      <c r="A458" s="90" t="s">
        <v>1294</v>
      </c>
      <c r="B458" s="90"/>
      <c r="C458" s="91" t="s">
        <v>1295</v>
      </c>
      <c r="D458" s="92"/>
      <c r="E458" s="90"/>
      <c r="F458" s="99"/>
      <c r="G458" s="94"/>
      <c r="H458" s="94"/>
      <c r="I458" s="95"/>
      <c r="J458" s="95"/>
      <c r="K458" s="95"/>
      <c r="L458" s="95"/>
      <c r="M458" s="96"/>
      <c r="N458" s="95"/>
      <c r="O458" s="95"/>
      <c r="P458" s="95"/>
      <c r="Q458" s="95">
        <v>0</v>
      </c>
      <c r="R458" s="95">
        <v>0</v>
      </c>
      <c r="S458" s="95">
        <v>0</v>
      </c>
    </row>
    <row r="459" spans="1:19" ht="15" x14ac:dyDescent="0.25">
      <c r="A459" s="90" t="s">
        <v>1296</v>
      </c>
      <c r="B459" s="90" t="s">
        <v>622</v>
      </c>
      <c r="C459" s="98" t="s">
        <v>1289</v>
      </c>
      <c r="D459" s="92" t="s">
        <v>1290</v>
      </c>
      <c r="E459" s="90" t="s">
        <v>93</v>
      </c>
      <c r="F459" s="99">
        <v>580</v>
      </c>
      <c r="G459" s="94">
        <v>11.54</v>
      </c>
      <c r="H459" s="94">
        <v>10.01</v>
      </c>
      <c r="I459" s="95">
        <v>21.549999999999997</v>
      </c>
      <c r="J459" s="95">
        <v>6693.2</v>
      </c>
      <c r="K459" s="95">
        <v>5805.8</v>
      </c>
      <c r="L459" s="95">
        <v>12499</v>
      </c>
      <c r="M459" s="96">
        <v>0.27529999999999999</v>
      </c>
      <c r="N459" s="95">
        <v>14.72</v>
      </c>
      <c r="O459" s="95">
        <v>12.77</v>
      </c>
      <c r="P459" s="95">
        <v>27.490000000000002</v>
      </c>
      <c r="Q459" s="95">
        <v>8537.6</v>
      </c>
      <c r="R459" s="95">
        <v>7406.6</v>
      </c>
      <c r="S459" s="95">
        <v>15944.2</v>
      </c>
    </row>
    <row r="460" spans="1:19" ht="15" x14ac:dyDescent="0.25">
      <c r="A460" s="90" t="s">
        <v>1297</v>
      </c>
      <c r="B460" s="90" t="s">
        <v>1055</v>
      </c>
      <c r="C460" s="98" t="s">
        <v>1292</v>
      </c>
      <c r="D460" s="92" t="s">
        <v>1293</v>
      </c>
      <c r="E460" s="90" t="s">
        <v>93</v>
      </c>
      <c r="F460" s="99">
        <v>580</v>
      </c>
      <c r="G460" s="94">
        <v>16</v>
      </c>
      <c r="H460" s="94">
        <v>41.29</v>
      </c>
      <c r="I460" s="95">
        <v>57.29</v>
      </c>
      <c r="J460" s="95">
        <v>9280</v>
      </c>
      <c r="K460" s="95">
        <v>23948.199999999997</v>
      </c>
      <c r="L460" s="95">
        <v>33228.199999999997</v>
      </c>
      <c r="M460" s="96">
        <v>0.27529999999999999</v>
      </c>
      <c r="N460" s="95">
        <v>20.399999999999999</v>
      </c>
      <c r="O460" s="95">
        <v>52.66</v>
      </c>
      <c r="P460" s="95">
        <v>73.06</v>
      </c>
      <c r="Q460" s="95">
        <v>11832</v>
      </c>
      <c r="R460" s="95">
        <v>30542.799999999999</v>
      </c>
      <c r="S460" s="95">
        <v>42374.8</v>
      </c>
    </row>
    <row r="461" spans="1:19" ht="15" x14ac:dyDescent="0.25">
      <c r="A461" s="90" t="s">
        <v>1298</v>
      </c>
      <c r="B461" s="90"/>
      <c r="C461" s="91" t="s">
        <v>1299</v>
      </c>
      <c r="D461" s="92"/>
      <c r="E461" s="90"/>
      <c r="F461" s="99"/>
      <c r="G461" s="94"/>
      <c r="H461" s="94"/>
      <c r="I461" s="95"/>
      <c r="J461" s="95"/>
      <c r="K461" s="95"/>
      <c r="L461" s="95"/>
      <c r="M461" s="96"/>
      <c r="N461" s="95"/>
      <c r="O461" s="95"/>
      <c r="P461" s="95"/>
      <c r="Q461" s="95">
        <v>0</v>
      </c>
      <c r="R461" s="95">
        <v>0</v>
      </c>
      <c r="S461" s="95">
        <v>0</v>
      </c>
    </row>
    <row r="462" spans="1:19" ht="15" x14ac:dyDescent="0.25">
      <c r="A462" s="90" t="s">
        <v>1300</v>
      </c>
      <c r="B462" s="90" t="s">
        <v>622</v>
      </c>
      <c r="C462" s="98" t="s">
        <v>1289</v>
      </c>
      <c r="D462" s="92" t="s">
        <v>1290</v>
      </c>
      <c r="E462" s="90" t="s">
        <v>93</v>
      </c>
      <c r="F462" s="99">
        <v>130</v>
      </c>
      <c r="G462" s="94">
        <v>11.54</v>
      </c>
      <c r="H462" s="94">
        <v>10.01</v>
      </c>
      <c r="I462" s="95">
        <v>21.549999999999997</v>
      </c>
      <c r="J462" s="95">
        <v>1500.2</v>
      </c>
      <c r="K462" s="95">
        <v>1301.3</v>
      </c>
      <c r="L462" s="95">
        <v>2801.5</v>
      </c>
      <c r="M462" s="96">
        <v>0.27529999999999999</v>
      </c>
      <c r="N462" s="95">
        <v>14.72</v>
      </c>
      <c r="O462" s="95">
        <v>12.77</v>
      </c>
      <c r="P462" s="95">
        <v>27.490000000000002</v>
      </c>
      <c r="Q462" s="95">
        <v>1913.6</v>
      </c>
      <c r="R462" s="95">
        <v>1660.1</v>
      </c>
      <c r="S462" s="95">
        <v>3573.7</v>
      </c>
    </row>
    <row r="463" spans="1:19" ht="15" x14ac:dyDescent="0.25">
      <c r="A463" s="90" t="s">
        <v>1301</v>
      </c>
      <c r="B463" s="90" t="s">
        <v>1055</v>
      </c>
      <c r="C463" s="98" t="s">
        <v>1292</v>
      </c>
      <c r="D463" s="92" t="s">
        <v>1293</v>
      </c>
      <c r="E463" s="90" t="s">
        <v>93</v>
      </c>
      <c r="F463" s="99">
        <v>130</v>
      </c>
      <c r="G463" s="94">
        <v>16</v>
      </c>
      <c r="H463" s="94">
        <v>41.29</v>
      </c>
      <c r="I463" s="95">
        <v>57.29</v>
      </c>
      <c r="J463" s="95">
        <v>2080</v>
      </c>
      <c r="K463" s="95">
        <v>5367.7</v>
      </c>
      <c r="L463" s="95">
        <v>7447.7</v>
      </c>
      <c r="M463" s="96">
        <v>0.27529999999999999</v>
      </c>
      <c r="N463" s="95">
        <v>20.399999999999999</v>
      </c>
      <c r="O463" s="95">
        <v>52.66</v>
      </c>
      <c r="P463" s="95">
        <v>73.06</v>
      </c>
      <c r="Q463" s="95">
        <v>2652</v>
      </c>
      <c r="R463" s="95">
        <v>6845.8</v>
      </c>
      <c r="S463" s="95">
        <v>9497.7999999999993</v>
      </c>
    </row>
    <row r="464" spans="1:19" s="89" customFormat="1" x14ac:dyDescent="0.25">
      <c r="A464" s="82" t="s">
        <v>1302</v>
      </c>
      <c r="B464" s="82"/>
      <c r="C464" s="83" t="s">
        <v>1303</v>
      </c>
      <c r="D464" s="84"/>
      <c r="E464" s="85"/>
      <c r="F464" s="101"/>
      <c r="G464" s="87"/>
      <c r="H464" s="87"/>
      <c r="I464" s="88"/>
      <c r="J464" s="87">
        <v>5379993.5500000007</v>
      </c>
      <c r="K464" s="87">
        <v>1040749.9199999998</v>
      </c>
      <c r="L464" s="87">
        <v>6420743.4699999997</v>
      </c>
      <c r="M464" s="87"/>
      <c r="N464" s="87"/>
      <c r="O464" s="87"/>
      <c r="P464" s="87"/>
      <c r="Q464" s="87">
        <v>6697194.2800000012</v>
      </c>
      <c r="R464" s="87">
        <v>1327240.5099999998</v>
      </c>
      <c r="S464" s="87">
        <v>8024434.7899999991</v>
      </c>
    </row>
    <row r="465" spans="1:19" ht="15" x14ac:dyDescent="0.25">
      <c r="A465" s="90" t="s">
        <v>1304</v>
      </c>
      <c r="B465" s="90"/>
      <c r="C465" s="91" t="s">
        <v>1305</v>
      </c>
      <c r="D465" s="92"/>
      <c r="E465" s="90"/>
      <c r="F465" s="99"/>
      <c r="G465" s="94"/>
      <c r="H465" s="94"/>
      <c r="I465" s="95"/>
      <c r="J465" s="95"/>
      <c r="K465" s="95"/>
      <c r="L465" s="95"/>
      <c r="M465" s="96"/>
      <c r="N465" s="95"/>
      <c r="O465" s="95"/>
      <c r="P465" s="95"/>
      <c r="Q465" s="95"/>
      <c r="R465" s="95"/>
      <c r="S465" s="95"/>
    </row>
    <row r="466" spans="1:19" ht="15" x14ac:dyDescent="0.25">
      <c r="A466" s="90" t="s">
        <v>1306</v>
      </c>
      <c r="B466" s="90" t="s">
        <v>31</v>
      </c>
      <c r="C466" s="98" t="s">
        <v>1307</v>
      </c>
      <c r="D466" s="92" t="s">
        <v>1308</v>
      </c>
      <c r="E466" s="90" t="s">
        <v>93</v>
      </c>
      <c r="F466" s="99">
        <v>8.83</v>
      </c>
      <c r="G466" s="94">
        <v>7.45</v>
      </c>
      <c r="H466" s="94">
        <v>4.9800000000000004</v>
      </c>
      <c r="I466" s="95">
        <v>12.43</v>
      </c>
      <c r="J466" s="95">
        <v>65.78</v>
      </c>
      <c r="K466" s="95">
        <v>43.980000000000004</v>
      </c>
      <c r="L466" s="95">
        <v>109.76</v>
      </c>
      <c r="M466" s="96">
        <v>0.27529999999999999</v>
      </c>
      <c r="N466" s="95">
        <v>9.5</v>
      </c>
      <c r="O466" s="95">
        <v>6.35</v>
      </c>
      <c r="P466" s="95">
        <v>15.85</v>
      </c>
      <c r="Q466" s="95">
        <v>83.89</v>
      </c>
      <c r="R466" s="95">
        <v>56.07</v>
      </c>
      <c r="S466" s="95">
        <v>139.96</v>
      </c>
    </row>
    <row r="467" spans="1:19" ht="15" x14ac:dyDescent="0.25">
      <c r="A467" s="90" t="s">
        <v>1309</v>
      </c>
      <c r="B467" s="90" t="s">
        <v>31</v>
      </c>
      <c r="C467" s="98" t="s">
        <v>1310</v>
      </c>
      <c r="D467" s="92" t="s">
        <v>1311</v>
      </c>
      <c r="E467" s="90" t="s">
        <v>93</v>
      </c>
      <c r="F467" s="99">
        <v>33.57</v>
      </c>
      <c r="G467" s="94">
        <v>8.84</v>
      </c>
      <c r="H467" s="94">
        <v>6.03</v>
      </c>
      <c r="I467" s="95">
        <v>14.870000000000001</v>
      </c>
      <c r="J467" s="95">
        <v>296.75</v>
      </c>
      <c r="K467" s="95">
        <v>202.44</v>
      </c>
      <c r="L467" s="95">
        <v>499.19</v>
      </c>
      <c r="M467" s="96">
        <v>0.27529999999999999</v>
      </c>
      <c r="N467" s="95">
        <v>11.27</v>
      </c>
      <c r="O467" s="95">
        <v>7.69</v>
      </c>
      <c r="P467" s="95">
        <v>18.96</v>
      </c>
      <c r="Q467" s="95">
        <v>378.33</v>
      </c>
      <c r="R467" s="95">
        <v>258.14999999999998</v>
      </c>
      <c r="S467" s="95">
        <v>636.48</v>
      </c>
    </row>
    <row r="468" spans="1:19" ht="15" x14ac:dyDescent="0.25">
      <c r="A468" s="90" t="s">
        <v>1312</v>
      </c>
      <c r="B468" s="90" t="s">
        <v>31</v>
      </c>
      <c r="C468" s="98" t="s">
        <v>1313</v>
      </c>
      <c r="D468" s="92" t="s">
        <v>1314</v>
      </c>
      <c r="E468" s="90" t="s">
        <v>93</v>
      </c>
      <c r="F468" s="99">
        <v>1.75</v>
      </c>
      <c r="G468" s="94">
        <v>12.26</v>
      </c>
      <c r="H468" s="94">
        <v>8.65</v>
      </c>
      <c r="I468" s="95">
        <v>20.91</v>
      </c>
      <c r="J468" s="95">
        <v>21.45</v>
      </c>
      <c r="K468" s="95">
        <v>15.140000000000004</v>
      </c>
      <c r="L468" s="95">
        <v>36.590000000000003</v>
      </c>
      <c r="M468" s="96">
        <v>0.27529999999999999</v>
      </c>
      <c r="N468" s="95">
        <v>15.64</v>
      </c>
      <c r="O468" s="95">
        <v>11.03</v>
      </c>
      <c r="P468" s="95">
        <v>26.67</v>
      </c>
      <c r="Q468" s="95">
        <v>27.37</v>
      </c>
      <c r="R468" s="95">
        <v>19.3</v>
      </c>
      <c r="S468" s="95">
        <v>46.67</v>
      </c>
    </row>
    <row r="469" spans="1:19" ht="15" x14ac:dyDescent="0.25">
      <c r="A469" s="90" t="s">
        <v>1315</v>
      </c>
      <c r="B469" s="90"/>
      <c r="C469" s="91" t="s">
        <v>1316</v>
      </c>
      <c r="D469" s="92"/>
      <c r="E469" s="90"/>
      <c r="F469" s="99"/>
      <c r="G469" s="94"/>
      <c r="H469" s="94"/>
      <c r="I469" s="95"/>
      <c r="J469" s="95"/>
      <c r="K469" s="95"/>
      <c r="L469" s="95"/>
      <c r="M469" s="96"/>
      <c r="N469" s="95"/>
      <c r="O469" s="95"/>
      <c r="P469" s="95"/>
      <c r="Q469" s="95">
        <v>0</v>
      </c>
      <c r="R469" s="95">
        <v>0</v>
      </c>
      <c r="S469" s="95">
        <v>0</v>
      </c>
    </row>
    <row r="470" spans="1:19" ht="15" x14ac:dyDescent="0.25">
      <c r="A470" s="90" t="s">
        <v>1317</v>
      </c>
      <c r="B470" s="90" t="s">
        <v>104</v>
      </c>
      <c r="C470" s="98" t="s">
        <v>1318</v>
      </c>
      <c r="D470" s="92" t="s">
        <v>1319</v>
      </c>
      <c r="E470" s="90" t="s">
        <v>93</v>
      </c>
      <c r="F470" s="99">
        <v>9.18</v>
      </c>
      <c r="G470" s="94">
        <v>22.16</v>
      </c>
      <c r="H470" s="94">
        <v>13.1</v>
      </c>
      <c r="I470" s="95">
        <v>35.26</v>
      </c>
      <c r="J470" s="95">
        <v>203.42</v>
      </c>
      <c r="K470" s="95">
        <v>120.27000000000001</v>
      </c>
      <c r="L470" s="95">
        <v>323.69</v>
      </c>
      <c r="M470" s="96">
        <v>0.27529999999999999</v>
      </c>
      <c r="N470" s="95">
        <v>28.26</v>
      </c>
      <c r="O470" s="95">
        <v>16.71</v>
      </c>
      <c r="P470" s="95">
        <v>44.97</v>
      </c>
      <c r="Q470" s="95">
        <v>259.43</v>
      </c>
      <c r="R470" s="95">
        <v>153.4</v>
      </c>
      <c r="S470" s="95">
        <v>412.83000000000004</v>
      </c>
    </row>
    <row r="471" spans="1:19" ht="15" x14ac:dyDescent="0.25">
      <c r="A471" s="90" t="s">
        <v>1320</v>
      </c>
      <c r="B471" s="90" t="s">
        <v>104</v>
      </c>
      <c r="C471" s="98" t="s">
        <v>1321</v>
      </c>
      <c r="D471" s="92" t="s">
        <v>1322</v>
      </c>
      <c r="E471" s="90" t="s">
        <v>93</v>
      </c>
      <c r="F471" s="99">
        <v>121.93</v>
      </c>
      <c r="G471" s="94">
        <v>31.26</v>
      </c>
      <c r="H471" s="94">
        <v>18.34</v>
      </c>
      <c r="I471" s="95">
        <v>49.6</v>
      </c>
      <c r="J471" s="95">
        <v>3811.53</v>
      </c>
      <c r="K471" s="95">
        <v>2236.1999999999994</v>
      </c>
      <c r="L471" s="95">
        <v>6047.73</v>
      </c>
      <c r="M471" s="96">
        <v>0.27529999999999999</v>
      </c>
      <c r="N471" s="95">
        <v>39.869999999999997</v>
      </c>
      <c r="O471" s="95">
        <v>23.39</v>
      </c>
      <c r="P471" s="95">
        <v>63.26</v>
      </c>
      <c r="Q471" s="95">
        <v>4861.3500000000004</v>
      </c>
      <c r="R471" s="95">
        <v>2851.94</v>
      </c>
      <c r="S471" s="95">
        <v>7713.2900000000009</v>
      </c>
    </row>
    <row r="472" spans="1:19" ht="15" x14ac:dyDescent="0.25">
      <c r="A472" s="90" t="s">
        <v>1323</v>
      </c>
      <c r="B472" s="90" t="s">
        <v>104</v>
      </c>
      <c r="C472" s="98" t="s">
        <v>1324</v>
      </c>
      <c r="D472" s="92" t="s">
        <v>1325</v>
      </c>
      <c r="E472" s="90" t="s">
        <v>93</v>
      </c>
      <c r="F472" s="99">
        <v>326.26</v>
      </c>
      <c r="G472" s="94">
        <v>125.18</v>
      </c>
      <c r="H472" s="94">
        <v>13.77</v>
      </c>
      <c r="I472" s="95">
        <v>138.95000000000002</v>
      </c>
      <c r="J472" s="95">
        <v>40841.22</v>
      </c>
      <c r="K472" s="95">
        <v>4492.6100000000006</v>
      </c>
      <c r="L472" s="95">
        <v>45333.83</v>
      </c>
      <c r="M472" s="96">
        <v>0.27529999999999999</v>
      </c>
      <c r="N472" s="95">
        <v>159.63999999999999</v>
      </c>
      <c r="O472" s="95">
        <v>17.559999999999999</v>
      </c>
      <c r="P472" s="95">
        <v>177.2</v>
      </c>
      <c r="Q472" s="95">
        <v>52084.15</v>
      </c>
      <c r="R472" s="95">
        <v>5729.13</v>
      </c>
      <c r="S472" s="95">
        <v>57813.279999999999</v>
      </c>
    </row>
    <row r="473" spans="1:19" ht="15" x14ac:dyDescent="0.25">
      <c r="A473" s="90" t="s">
        <v>1326</v>
      </c>
      <c r="B473" s="90" t="s">
        <v>104</v>
      </c>
      <c r="C473" s="98" t="s">
        <v>1327</v>
      </c>
      <c r="D473" s="92" t="s">
        <v>1328</v>
      </c>
      <c r="E473" s="90" t="s">
        <v>93</v>
      </c>
      <c r="F473" s="99">
        <v>1789.2</v>
      </c>
      <c r="G473" s="94">
        <v>19.989999999999998</v>
      </c>
      <c r="H473" s="94">
        <v>11.47</v>
      </c>
      <c r="I473" s="95">
        <v>31.46</v>
      </c>
      <c r="J473" s="95">
        <v>35766.1</v>
      </c>
      <c r="K473" s="95">
        <v>20522.130000000005</v>
      </c>
      <c r="L473" s="95">
        <v>56288.23</v>
      </c>
      <c r="M473" s="96">
        <v>0.27529999999999999</v>
      </c>
      <c r="N473" s="95">
        <v>25.49</v>
      </c>
      <c r="O473" s="95">
        <v>14.63</v>
      </c>
      <c r="P473" s="95">
        <v>40.119999999999997</v>
      </c>
      <c r="Q473" s="95">
        <v>45606.71</v>
      </c>
      <c r="R473" s="95">
        <v>26176</v>
      </c>
      <c r="S473" s="95">
        <v>71782.709999999992</v>
      </c>
    </row>
    <row r="474" spans="1:19" ht="15" x14ac:dyDescent="0.25">
      <c r="A474" s="90" t="s">
        <v>1329</v>
      </c>
      <c r="B474" s="90" t="s">
        <v>104</v>
      </c>
      <c r="C474" s="98" t="s">
        <v>1330</v>
      </c>
      <c r="D474" s="92" t="s">
        <v>1331</v>
      </c>
      <c r="E474" s="90" t="s">
        <v>93</v>
      </c>
      <c r="F474" s="99">
        <v>4729.09</v>
      </c>
      <c r="G474" s="94">
        <v>24.5</v>
      </c>
      <c r="H474" s="94">
        <v>13.1</v>
      </c>
      <c r="I474" s="95">
        <v>37.6</v>
      </c>
      <c r="J474" s="95">
        <v>115862.7</v>
      </c>
      <c r="K474" s="95">
        <v>61951.08</v>
      </c>
      <c r="L474" s="95">
        <v>177813.78</v>
      </c>
      <c r="M474" s="96">
        <v>0.27529999999999999</v>
      </c>
      <c r="N474" s="95">
        <v>31.24</v>
      </c>
      <c r="O474" s="95">
        <v>16.71</v>
      </c>
      <c r="P474" s="95">
        <v>47.95</v>
      </c>
      <c r="Q474" s="95">
        <v>147736.76999999999</v>
      </c>
      <c r="R474" s="95">
        <v>79023.09</v>
      </c>
      <c r="S474" s="95">
        <v>226759.86</v>
      </c>
    </row>
    <row r="475" spans="1:19" ht="15" x14ac:dyDescent="0.25">
      <c r="A475" s="90" t="s">
        <v>1332</v>
      </c>
      <c r="B475" s="90" t="s">
        <v>104</v>
      </c>
      <c r="C475" s="98" t="s">
        <v>1333</v>
      </c>
      <c r="D475" s="92" t="s">
        <v>1334</v>
      </c>
      <c r="E475" s="90" t="s">
        <v>93</v>
      </c>
      <c r="F475" s="99">
        <v>1476.18</v>
      </c>
      <c r="G475" s="94">
        <v>36.93</v>
      </c>
      <c r="H475" s="94">
        <v>15.28</v>
      </c>
      <c r="I475" s="95">
        <v>52.21</v>
      </c>
      <c r="J475" s="95">
        <v>54515.32</v>
      </c>
      <c r="K475" s="95">
        <v>22556.04</v>
      </c>
      <c r="L475" s="95">
        <v>77071.360000000001</v>
      </c>
      <c r="M475" s="96">
        <v>0.27529999999999999</v>
      </c>
      <c r="N475" s="95">
        <v>47.1</v>
      </c>
      <c r="O475" s="95">
        <v>19.489999999999998</v>
      </c>
      <c r="P475" s="95">
        <v>66.59</v>
      </c>
      <c r="Q475" s="95">
        <v>69528.08</v>
      </c>
      <c r="R475" s="95">
        <v>28770.75</v>
      </c>
      <c r="S475" s="95">
        <v>98298.83</v>
      </c>
    </row>
    <row r="476" spans="1:19" ht="15" x14ac:dyDescent="0.25">
      <c r="A476" s="90" t="s">
        <v>1335</v>
      </c>
      <c r="B476" s="90" t="s">
        <v>104</v>
      </c>
      <c r="C476" s="98" t="s">
        <v>1336</v>
      </c>
      <c r="D476" s="92" t="s">
        <v>1337</v>
      </c>
      <c r="E476" s="90" t="s">
        <v>93</v>
      </c>
      <c r="F476" s="99">
        <v>25501.13</v>
      </c>
      <c r="G476" s="94">
        <v>52.1</v>
      </c>
      <c r="H476" s="94">
        <v>18.350000000000001</v>
      </c>
      <c r="I476" s="95">
        <v>70.45</v>
      </c>
      <c r="J476" s="95">
        <v>1328608.8700000001</v>
      </c>
      <c r="K476" s="95">
        <v>467945.74</v>
      </c>
      <c r="L476" s="95">
        <v>1796554.61</v>
      </c>
      <c r="M476" s="96">
        <v>0.27529999999999999</v>
      </c>
      <c r="N476" s="95">
        <v>66.44</v>
      </c>
      <c r="O476" s="95">
        <v>23.4</v>
      </c>
      <c r="P476" s="95">
        <v>89.84</v>
      </c>
      <c r="Q476" s="95">
        <v>1694295.08</v>
      </c>
      <c r="R476" s="95">
        <v>596726.43999999994</v>
      </c>
      <c r="S476" s="95">
        <v>2291021.52</v>
      </c>
    </row>
    <row r="477" spans="1:19" ht="15" x14ac:dyDescent="0.25">
      <c r="A477" s="90" t="s">
        <v>1338</v>
      </c>
      <c r="B477" s="90" t="s">
        <v>104</v>
      </c>
      <c r="C477" s="98" t="s">
        <v>1339</v>
      </c>
      <c r="D477" s="92" t="s">
        <v>1340</v>
      </c>
      <c r="E477" s="90" t="s">
        <v>93</v>
      </c>
      <c r="F477" s="99">
        <v>3288.73</v>
      </c>
      <c r="G477" s="94">
        <v>88.63</v>
      </c>
      <c r="H477" s="94">
        <v>13.77</v>
      </c>
      <c r="I477" s="95">
        <v>102.39999999999999</v>
      </c>
      <c r="J477" s="95">
        <v>291480.13</v>
      </c>
      <c r="K477" s="95">
        <v>45285.820000000007</v>
      </c>
      <c r="L477" s="95">
        <v>336765.95</v>
      </c>
      <c r="M477" s="96">
        <v>0.27529999999999999</v>
      </c>
      <c r="N477" s="95">
        <v>113.03</v>
      </c>
      <c r="O477" s="95">
        <v>17.559999999999999</v>
      </c>
      <c r="P477" s="95">
        <v>130.59</v>
      </c>
      <c r="Q477" s="95">
        <v>371725.15</v>
      </c>
      <c r="R477" s="95">
        <v>57750.1</v>
      </c>
      <c r="S477" s="95">
        <v>429475.25</v>
      </c>
    </row>
    <row r="478" spans="1:19" ht="15" x14ac:dyDescent="0.25">
      <c r="A478" s="90" t="s">
        <v>1341</v>
      </c>
      <c r="B478" s="90"/>
      <c r="C478" s="98" t="s">
        <v>1342</v>
      </c>
      <c r="D478" s="92"/>
      <c r="E478" s="90"/>
      <c r="F478" s="99"/>
      <c r="G478" s="94"/>
      <c r="H478" s="94"/>
      <c r="I478" s="95"/>
      <c r="J478" s="95"/>
      <c r="K478" s="95"/>
      <c r="L478" s="95"/>
      <c r="M478" s="96"/>
      <c r="N478" s="95"/>
      <c r="O478" s="95"/>
      <c r="P478" s="95"/>
      <c r="Q478" s="95">
        <v>0</v>
      </c>
      <c r="R478" s="95">
        <v>0</v>
      </c>
      <c r="S478" s="95">
        <v>0</v>
      </c>
    </row>
    <row r="479" spans="1:19" ht="15" x14ac:dyDescent="0.25">
      <c r="A479" s="90" t="s">
        <v>1343</v>
      </c>
      <c r="B479" s="90" t="s">
        <v>31</v>
      </c>
      <c r="C479" s="98" t="s">
        <v>1344</v>
      </c>
      <c r="D479" s="92" t="s">
        <v>1345</v>
      </c>
      <c r="E479" s="90" t="s">
        <v>93</v>
      </c>
      <c r="F479" s="99">
        <v>96.47</v>
      </c>
      <c r="G479" s="94">
        <v>15.41</v>
      </c>
      <c r="H479" s="94">
        <v>10.49</v>
      </c>
      <c r="I479" s="95">
        <v>25.9</v>
      </c>
      <c r="J479" s="95">
        <v>1486.6</v>
      </c>
      <c r="K479" s="95">
        <v>1011.9700000000003</v>
      </c>
      <c r="L479" s="95">
        <v>2498.5700000000002</v>
      </c>
      <c r="M479" s="96">
        <v>0.27529999999999999</v>
      </c>
      <c r="N479" s="95">
        <v>19.649999999999999</v>
      </c>
      <c r="O479" s="95">
        <v>13.38</v>
      </c>
      <c r="P479" s="95">
        <v>33.03</v>
      </c>
      <c r="Q479" s="95">
        <v>1895.64</v>
      </c>
      <c r="R479" s="95">
        <v>1290.77</v>
      </c>
      <c r="S479" s="95">
        <v>3186.41</v>
      </c>
    </row>
    <row r="480" spans="1:19" ht="15" x14ac:dyDescent="0.25">
      <c r="A480" s="90" t="s">
        <v>1346</v>
      </c>
      <c r="B480" s="90" t="s">
        <v>31</v>
      </c>
      <c r="C480" s="98" t="s">
        <v>1347</v>
      </c>
      <c r="D480" s="92" t="s">
        <v>1348</v>
      </c>
      <c r="E480" s="90" t="s">
        <v>93</v>
      </c>
      <c r="F480" s="99">
        <v>175.52</v>
      </c>
      <c r="G480" s="94">
        <v>21.53</v>
      </c>
      <c r="H480" s="94">
        <v>14.51</v>
      </c>
      <c r="I480" s="95">
        <v>36.04</v>
      </c>
      <c r="J480" s="95">
        <v>3778.94</v>
      </c>
      <c r="K480" s="95">
        <v>2546.7999999999997</v>
      </c>
      <c r="L480" s="95">
        <v>6325.74</v>
      </c>
      <c r="M480" s="96">
        <v>0.27529999999999999</v>
      </c>
      <c r="N480" s="95">
        <v>27.46</v>
      </c>
      <c r="O480" s="95">
        <v>18.5</v>
      </c>
      <c r="P480" s="95">
        <v>45.96</v>
      </c>
      <c r="Q480" s="95">
        <v>4819.78</v>
      </c>
      <c r="R480" s="95">
        <v>3247.12</v>
      </c>
      <c r="S480" s="95">
        <v>8066.9</v>
      </c>
    </row>
    <row r="481" spans="1:19" ht="15" x14ac:dyDescent="0.25">
      <c r="A481" s="90" t="s">
        <v>1349</v>
      </c>
      <c r="B481" s="90" t="s">
        <v>31</v>
      </c>
      <c r="C481" s="98" t="s">
        <v>1350</v>
      </c>
      <c r="D481" s="92" t="s">
        <v>1351</v>
      </c>
      <c r="E481" s="90" t="s">
        <v>93</v>
      </c>
      <c r="F481" s="99">
        <v>51.5</v>
      </c>
      <c r="G481" s="94">
        <v>27.95</v>
      </c>
      <c r="H481" s="94">
        <v>18.559999999999999</v>
      </c>
      <c r="I481" s="95">
        <v>46.51</v>
      </c>
      <c r="J481" s="95">
        <v>1439.42</v>
      </c>
      <c r="K481" s="95">
        <v>955.84999999999991</v>
      </c>
      <c r="L481" s="95">
        <v>2395.27</v>
      </c>
      <c r="M481" s="96">
        <v>0.27529999999999999</v>
      </c>
      <c r="N481" s="95">
        <v>35.64</v>
      </c>
      <c r="O481" s="95">
        <v>23.67</v>
      </c>
      <c r="P481" s="95">
        <v>59.31</v>
      </c>
      <c r="Q481" s="95">
        <v>1835.46</v>
      </c>
      <c r="R481" s="95">
        <v>1219.01</v>
      </c>
      <c r="S481" s="95">
        <v>3054.4700000000003</v>
      </c>
    </row>
    <row r="482" spans="1:19" ht="15" x14ac:dyDescent="0.25">
      <c r="A482" s="90" t="s">
        <v>1352</v>
      </c>
      <c r="B482" s="90" t="s">
        <v>31</v>
      </c>
      <c r="C482" s="98" t="s">
        <v>1353</v>
      </c>
      <c r="D482" s="92" t="s">
        <v>1354</v>
      </c>
      <c r="E482" s="90" t="s">
        <v>93</v>
      </c>
      <c r="F482" s="99">
        <v>796.56</v>
      </c>
      <c r="G482" s="94">
        <v>11.74</v>
      </c>
      <c r="H482" s="94">
        <v>5.75</v>
      </c>
      <c r="I482" s="95">
        <v>17.490000000000002</v>
      </c>
      <c r="J482" s="95">
        <v>9351.61</v>
      </c>
      <c r="K482" s="95">
        <v>4580.2199999999993</v>
      </c>
      <c r="L482" s="95">
        <v>13931.83</v>
      </c>
      <c r="M482" s="96">
        <v>0.27529999999999999</v>
      </c>
      <c r="N482" s="95">
        <v>14.97</v>
      </c>
      <c r="O482" s="95">
        <v>7.33</v>
      </c>
      <c r="P482" s="95">
        <v>22.3</v>
      </c>
      <c r="Q482" s="95">
        <v>11924.5</v>
      </c>
      <c r="R482" s="95">
        <v>5838.78</v>
      </c>
      <c r="S482" s="95">
        <v>17763.28</v>
      </c>
    </row>
    <row r="483" spans="1:19" ht="15" x14ac:dyDescent="0.25">
      <c r="A483" s="90" t="s">
        <v>1355</v>
      </c>
      <c r="B483" s="90" t="s">
        <v>31</v>
      </c>
      <c r="C483" s="98" t="s">
        <v>1356</v>
      </c>
      <c r="D483" s="92" t="s">
        <v>1357</v>
      </c>
      <c r="E483" s="90" t="s">
        <v>93</v>
      </c>
      <c r="F483" s="99">
        <v>221.73</v>
      </c>
      <c r="G483" s="94">
        <v>16.260000000000002</v>
      </c>
      <c r="H483" s="94">
        <v>7.34</v>
      </c>
      <c r="I483" s="95">
        <v>23.6</v>
      </c>
      <c r="J483" s="95">
        <v>3605.32</v>
      </c>
      <c r="K483" s="95">
        <v>1627.5099999999998</v>
      </c>
      <c r="L483" s="95">
        <v>5232.83</v>
      </c>
      <c r="M483" s="96">
        <v>0.27529999999999999</v>
      </c>
      <c r="N483" s="95">
        <v>20.74</v>
      </c>
      <c r="O483" s="95">
        <v>9.36</v>
      </c>
      <c r="P483" s="95">
        <v>30.099999999999998</v>
      </c>
      <c r="Q483" s="95">
        <v>4598.68</v>
      </c>
      <c r="R483" s="95">
        <v>2075.39</v>
      </c>
      <c r="S483" s="95">
        <v>6674.07</v>
      </c>
    </row>
    <row r="484" spans="1:19" ht="15" x14ac:dyDescent="0.25">
      <c r="A484" s="90" t="s">
        <v>1358</v>
      </c>
      <c r="B484" s="90" t="s">
        <v>31</v>
      </c>
      <c r="C484" s="98" t="s">
        <v>1359</v>
      </c>
      <c r="D484" s="92" t="s">
        <v>1360</v>
      </c>
      <c r="E484" s="90" t="s">
        <v>93</v>
      </c>
      <c r="F484" s="99">
        <v>96.65</v>
      </c>
      <c r="G484" s="94">
        <v>28.72</v>
      </c>
      <c r="H484" s="94">
        <v>11.39</v>
      </c>
      <c r="I484" s="95">
        <v>40.11</v>
      </c>
      <c r="J484" s="95">
        <v>2775.78</v>
      </c>
      <c r="K484" s="95">
        <v>1100.8499999999999</v>
      </c>
      <c r="L484" s="95">
        <v>3876.63</v>
      </c>
      <c r="M484" s="96">
        <v>0.27529999999999999</v>
      </c>
      <c r="N484" s="95">
        <v>36.630000000000003</v>
      </c>
      <c r="O484" s="95">
        <v>14.53</v>
      </c>
      <c r="P484" s="95">
        <v>51.160000000000004</v>
      </c>
      <c r="Q484" s="95">
        <v>3540.29</v>
      </c>
      <c r="R484" s="95">
        <v>1404.32</v>
      </c>
      <c r="S484" s="95">
        <v>4944.6099999999997</v>
      </c>
    </row>
    <row r="485" spans="1:19" ht="15" x14ac:dyDescent="0.25">
      <c r="A485" s="90" t="s">
        <v>1361</v>
      </c>
      <c r="B485" s="90" t="s">
        <v>31</v>
      </c>
      <c r="C485" s="98" t="s">
        <v>1362</v>
      </c>
      <c r="D485" s="92" t="s">
        <v>1363</v>
      </c>
      <c r="E485" s="90" t="s">
        <v>93</v>
      </c>
      <c r="F485" s="99">
        <v>93.91</v>
      </c>
      <c r="G485" s="94">
        <v>35.42</v>
      </c>
      <c r="H485" s="94">
        <v>15.59</v>
      </c>
      <c r="I485" s="95">
        <v>51.010000000000005</v>
      </c>
      <c r="J485" s="95">
        <v>3326.29</v>
      </c>
      <c r="K485" s="95">
        <v>1464.0600000000004</v>
      </c>
      <c r="L485" s="95">
        <v>4790.3500000000004</v>
      </c>
      <c r="M485" s="96">
        <v>0.27529999999999999</v>
      </c>
      <c r="N485" s="95">
        <v>45.17</v>
      </c>
      <c r="O485" s="95">
        <v>19.88</v>
      </c>
      <c r="P485" s="95">
        <v>65.05</v>
      </c>
      <c r="Q485" s="95">
        <v>4241.91</v>
      </c>
      <c r="R485" s="95">
        <v>1866.93</v>
      </c>
      <c r="S485" s="95">
        <v>6108.84</v>
      </c>
    </row>
    <row r="486" spans="1:19" ht="15" x14ac:dyDescent="0.25">
      <c r="A486" s="90" t="s">
        <v>1364</v>
      </c>
      <c r="B486" s="90" t="s">
        <v>31</v>
      </c>
      <c r="C486" s="98" t="s">
        <v>1365</v>
      </c>
      <c r="D486" s="92" t="s">
        <v>1366</v>
      </c>
      <c r="E486" s="90" t="s">
        <v>93</v>
      </c>
      <c r="F486" s="99">
        <v>1518.12</v>
      </c>
      <c r="G486" s="94">
        <v>65.62</v>
      </c>
      <c r="H486" s="94">
        <v>9.82</v>
      </c>
      <c r="I486" s="95">
        <v>75.44</v>
      </c>
      <c r="J486" s="95">
        <v>99619.03</v>
      </c>
      <c r="K486" s="95">
        <v>14907.940000000002</v>
      </c>
      <c r="L486" s="95">
        <v>114526.97</v>
      </c>
      <c r="M486" s="96">
        <v>0.27529999999999999</v>
      </c>
      <c r="N486" s="95">
        <v>83.69</v>
      </c>
      <c r="O486" s="95">
        <v>12.52</v>
      </c>
      <c r="P486" s="95">
        <v>96.21</v>
      </c>
      <c r="Q486" s="95">
        <v>127051.46</v>
      </c>
      <c r="R486" s="95">
        <v>19006.86</v>
      </c>
      <c r="S486" s="95">
        <v>146058.32</v>
      </c>
    </row>
    <row r="487" spans="1:19" ht="15" x14ac:dyDescent="0.25">
      <c r="A487" s="90" t="s">
        <v>1367</v>
      </c>
      <c r="B487" s="90" t="s">
        <v>31</v>
      </c>
      <c r="C487" s="98" t="s">
        <v>1365</v>
      </c>
      <c r="D487" s="92" t="s">
        <v>1368</v>
      </c>
      <c r="E487" s="90" t="s">
        <v>93</v>
      </c>
      <c r="F487" s="99">
        <v>1199.23</v>
      </c>
      <c r="G487" s="94">
        <v>65.62</v>
      </c>
      <c r="H487" s="94">
        <v>9.82</v>
      </c>
      <c r="I487" s="95">
        <v>75.44</v>
      </c>
      <c r="J487" s="95">
        <v>78693.47</v>
      </c>
      <c r="K487" s="95">
        <v>11776.440000000002</v>
      </c>
      <c r="L487" s="95">
        <v>90469.91</v>
      </c>
      <c r="M487" s="96">
        <v>0.27529999999999999</v>
      </c>
      <c r="N487" s="95">
        <v>83.69</v>
      </c>
      <c r="O487" s="95">
        <v>12.52</v>
      </c>
      <c r="P487" s="95">
        <v>96.21</v>
      </c>
      <c r="Q487" s="95">
        <v>100363.56</v>
      </c>
      <c r="R487" s="95">
        <v>15014.36</v>
      </c>
      <c r="S487" s="95">
        <v>115377.92</v>
      </c>
    </row>
    <row r="488" spans="1:19" ht="15" x14ac:dyDescent="0.25">
      <c r="A488" s="90" t="s">
        <v>1369</v>
      </c>
      <c r="B488" s="90"/>
      <c r="C488" s="98" t="s">
        <v>1370</v>
      </c>
      <c r="D488" s="92"/>
      <c r="E488" s="90"/>
      <c r="F488" s="99"/>
      <c r="G488" s="94"/>
      <c r="H488" s="94"/>
      <c r="I488" s="95"/>
      <c r="J488" s="95"/>
      <c r="K488" s="95"/>
      <c r="L488" s="95"/>
      <c r="M488" s="96"/>
      <c r="N488" s="95"/>
      <c r="O488" s="95"/>
      <c r="P488" s="95"/>
      <c r="Q488" s="95">
        <v>0</v>
      </c>
      <c r="R488" s="95">
        <v>0</v>
      </c>
      <c r="S488" s="95">
        <v>0</v>
      </c>
    </row>
    <row r="489" spans="1:19" ht="15" x14ac:dyDescent="0.25">
      <c r="A489" s="90" t="s">
        <v>1371</v>
      </c>
      <c r="B489" s="90" t="s">
        <v>45</v>
      </c>
      <c r="C489" s="98" t="s">
        <v>1372</v>
      </c>
      <c r="D489" s="92" t="s">
        <v>1373</v>
      </c>
      <c r="E489" s="90" t="s">
        <v>93</v>
      </c>
      <c r="F489" s="99">
        <v>6566.76</v>
      </c>
      <c r="G489" s="94">
        <v>13.6</v>
      </c>
      <c r="H489" s="94">
        <v>19.39</v>
      </c>
      <c r="I489" s="95">
        <v>32.99</v>
      </c>
      <c r="J489" s="95">
        <v>89307.93</v>
      </c>
      <c r="K489" s="95">
        <v>127329.48000000001</v>
      </c>
      <c r="L489" s="95">
        <v>216637.41</v>
      </c>
      <c r="M489" s="96">
        <v>0.27529999999999999</v>
      </c>
      <c r="N489" s="95">
        <v>17.34</v>
      </c>
      <c r="O489" s="95">
        <v>24.73</v>
      </c>
      <c r="P489" s="95">
        <v>42.07</v>
      </c>
      <c r="Q489" s="95">
        <v>113867.62</v>
      </c>
      <c r="R489" s="95">
        <v>162395.97</v>
      </c>
      <c r="S489" s="95">
        <v>276263.58999999997</v>
      </c>
    </row>
    <row r="490" spans="1:19" ht="15" x14ac:dyDescent="0.25">
      <c r="A490" s="90" t="s">
        <v>1374</v>
      </c>
      <c r="B490" s="90" t="s">
        <v>45</v>
      </c>
      <c r="C490" s="98" t="s">
        <v>1375</v>
      </c>
      <c r="D490" s="92" t="s">
        <v>1376</v>
      </c>
      <c r="E490" s="90" t="s">
        <v>93</v>
      </c>
      <c r="F490" s="99">
        <v>1647.57</v>
      </c>
      <c r="G490" s="94">
        <v>20.83</v>
      </c>
      <c r="H490" s="94">
        <v>19.39</v>
      </c>
      <c r="I490" s="95">
        <v>40.22</v>
      </c>
      <c r="J490" s="95">
        <v>34318.879999999997</v>
      </c>
      <c r="K490" s="95">
        <v>31946.390000000007</v>
      </c>
      <c r="L490" s="95">
        <v>66265.27</v>
      </c>
      <c r="M490" s="96">
        <v>0.27529999999999999</v>
      </c>
      <c r="N490" s="95">
        <v>26.56</v>
      </c>
      <c r="O490" s="95">
        <v>24.73</v>
      </c>
      <c r="P490" s="95">
        <v>51.29</v>
      </c>
      <c r="Q490" s="95">
        <v>43759.46</v>
      </c>
      <c r="R490" s="95">
        <v>40744.410000000003</v>
      </c>
      <c r="S490" s="95">
        <v>84503.87</v>
      </c>
    </row>
    <row r="491" spans="1:19" ht="15" x14ac:dyDescent="0.25">
      <c r="A491" s="90" t="s">
        <v>1377</v>
      </c>
      <c r="B491" s="90" t="s">
        <v>45</v>
      </c>
      <c r="C491" s="98" t="s">
        <v>1378</v>
      </c>
      <c r="D491" s="92" t="s">
        <v>1379</v>
      </c>
      <c r="E491" s="90" t="s">
        <v>93</v>
      </c>
      <c r="F491" s="99">
        <v>1946.3</v>
      </c>
      <c r="G491" s="94">
        <v>30.37</v>
      </c>
      <c r="H491" s="94">
        <v>19.39</v>
      </c>
      <c r="I491" s="95">
        <v>49.760000000000005</v>
      </c>
      <c r="J491" s="95">
        <v>59109.13</v>
      </c>
      <c r="K491" s="95">
        <v>37738.76</v>
      </c>
      <c r="L491" s="95">
        <v>96847.89</v>
      </c>
      <c r="M491" s="96">
        <v>0.27529999999999999</v>
      </c>
      <c r="N491" s="95">
        <v>38.729999999999997</v>
      </c>
      <c r="O491" s="95">
        <v>24.73</v>
      </c>
      <c r="P491" s="95">
        <v>63.459999999999994</v>
      </c>
      <c r="Q491" s="95">
        <v>75380.2</v>
      </c>
      <c r="R491" s="95">
        <v>48132</v>
      </c>
      <c r="S491" s="95">
        <v>123512.2</v>
      </c>
    </row>
    <row r="492" spans="1:19" ht="15" x14ac:dyDescent="0.25">
      <c r="A492" s="90" t="s">
        <v>1380</v>
      </c>
      <c r="B492" s="90" t="s">
        <v>45</v>
      </c>
      <c r="C492" s="98" t="s">
        <v>1381</v>
      </c>
      <c r="D492" s="92" t="s">
        <v>1382</v>
      </c>
      <c r="E492" s="90" t="s">
        <v>93</v>
      </c>
      <c r="F492" s="99">
        <v>1063.9000000000001</v>
      </c>
      <c r="G492" s="94">
        <v>29.45</v>
      </c>
      <c r="H492" s="94">
        <v>23.26</v>
      </c>
      <c r="I492" s="95">
        <v>52.71</v>
      </c>
      <c r="J492" s="95">
        <v>31331.85</v>
      </c>
      <c r="K492" s="95">
        <v>24746.32</v>
      </c>
      <c r="L492" s="95">
        <v>56078.17</v>
      </c>
      <c r="M492" s="96">
        <v>0.27529999999999999</v>
      </c>
      <c r="N492" s="95">
        <v>37.56</v>
      </c>
      <c r="O492" s="95">
        <v>29.66</v>
      </c>
      <c r="P492" s="95">
        <v>67.22</v>
      </c>
      <c r="Q492" s="95">
        <v>39960.080000000002</v>
      </c>
      <c r="R492" s="95">
        <v>31555.27</v>
      </c>
      <c r="S492" s="95">
        <v>71515.350000000006</v>
      </c>
    </row>
    <row r="493" spans="1:19" ht="15" x14ac:dyDescent="0.25">
      <c r="A493" s="90" t="s">
        <v>1383</v>
      </c>
      <c r="B493" s="90" t="s">
        <v>45</v>
      </c>
      <c r="C493" s="98" t="s">
        <v>1384</v>
      </c>
      <c r="D493" s="92" t="s">
        <v>1385</v>
      </c>
      <c r="E493" s="90" t="s">
        <v>93</v>
      </c>
      <c r="F493" s="99">
        <v>848</v>
      </c>
      <c r="G493" s="94">
        <v>50.87</v>
      </c>
      <c r="H493" s="94">
        <v>27.14</v>
      </c>
      <c r="I493" s="95">
        <v>78.009999999999991</v>
      </c>
      <c r="J493" s="95">
        <v>43137.760000000002</v>
      </c>
      <c r="K493" s="95">
        <v>23014.719999999994</v>
      </c>
      <c r="L493" s="95">
        <v>66152.479999999996</v>
      </c>
      <c r="M493" s="96">
        <v>0.27529999999999999</v>
      </c>
      <c r="N493" s="95">
        <v>64.87</v>
      </c>
      <c r="O493" s="95">
        <v>34.61</v>
      </c>
      <c r="P493" s="95">
        <v>99.48</v>
      </c>
      <c r="Q493" s="95">
        <v>55009.760000000002</v>
      </c>
      <c r="R493" s="95">
        <v>29349.279999999999</v>
      </c>
      <c r="S493" s="95">
        <v>84359.040000000008</v>
      </c>
    </row>
    <row r="494" spans="1:19" ht="15" x14ac:dyDescent="0.25">
      <c r="A494" s="90" t="s">
        <v>1386</v>
      </c>
      <c r="B494" s="90" t="s">
        <v>45</v>
      </c>
      <c r="C494" s="98" t="s">
        <v>1387</v>
      </c>
      <c r="D494" s="92" t="s">
        <v>1388</v>
      </c>
      <c r="E494" s="90" t="s">
        <v>93</v>
      </c>
      <c r="F494" s="99">
        <v>1205</v>
      </c>
      <c r="G494" s="94">
        <v>74.64</v>
      </c>
      <c r="H494" s="94">
        <v>34.9</v>
      </c>
      <c r="I494" s="95">
        <v>109.53999999999999</v>
      </c>
      <c r="J494" s="95">
        <v>89941.2</v>
      </c>
      <c r="K494" s="95">
        <v>42054.500000000015</v>
      </c>
      <c r="L494" s="95">
        <v>131995.70000000001</v>
      </c>
      <c r="M494" s="96">
        <v>0.27529999999999999</v>
      </c>
      <c r="N494" s="95">
        <v>95.19</v>
      </c>
      <c r="O494" s="95">
        <v>44.51</v>
      </c>
      <c r="P494" s="95">
        <v>139.69999999999999</v>
      </c>
      <c r="Q494" s="95">
        <v>114703.95</v>
      </c>
      <c r="R494" s="95">
        <v>53634.55</v>
      </c>
      <c r="S494" s="95">
        <v>168338.5</v>
      </c>
    </row>
    <row r="495" spans="1:19" ht="15" x14ac:dyDescent="0.25">
      <c r="A495" s="90" t="s">
        <v>1389</v>
      </c>
      <c r="B495" s="90" t="s">
        <v>45</v>
      </c>
      <c r="C495" s="98" t="s">
        <v>1390</v>
      </c>
      <c r="D495" s="92" t="s">
        <v>1391</v>
      </c>
      <c r="E495" s="90" t="s">
        <v>93</v>
      </c>
      <c r="F495" s="99">
        <v>407.23</v>
      </c>
      <c r="G495" s="94">
        <v>88.88</v>
      </c>
      <c r="H495" s="94">
        <v>38.770000000000003</v>
      </c>
      <c r="I495" s="95">
        <v>127.65</v>
      </c>
      <c r="J495" s="95">
        <v>36194.6</v>
      </c>
      <c r="K495" s="95">
        <v>15788.310000000005</v>
      </c>
      <c r="L495" s="95">
        <v>51982.91</v>
      </c>
      <c r="M495" s="96">
        <v>0.27529999999999999</v>
      </c>
      <c r="N495" s="95">
        <v>113.35</v>
      </c>
      <c r="O495" s="95">
        <v>49.44</v>
      </c>
      <c r="P495" s="95">
        <v>162.79</v>
      </c>
      <c r="Q495" s="95">
        <v>46159.519999999997</v>
      </c>
      <c r="R495" s="95">
        <v>20133.45</v>
      </c>
      <c r="S495" s="95">
        <v>66292.97</v>
      </c>
    </row>
    <row r="496" spans="1:19" ht="15" x14ac:dyDescent="0.25">
      <c r="A496" s="90" t="s">
        <v>1392</v>
      </c>
      <c r="B496" s="90" t="s">
        <v>45</v>
      </c>
      <c r="C496" s="98" t="s">
        <v>1393</v>
      </c>
      <c r="D496" s="92" t="s">
        <v>1394</v>
      </c>
      <c r="E496" s="90" t="s">
        <v>93</v>
      </c>
      <c r="F496" s="99">
        <v>307.76</v>
      </c>
      <c r="G496" s="94">
        <v>158.19999999999999</v>
      </c>
      <c r="H496" s="94">
        <v>42.64</v>
      </c>
      <c r="I496" s="95">
        <v>200.83999999999997</v>
      </c>
      <c r="J496" s="95">
        <v>48687.63</v>
      </c>
      <c r="K496" s="95">
        <v>13122.89</v>
      </c>
      <c r="L496" s="95">
        <v>61810.52</v>
      </c>
      <c r="M496" s="96">
        <v>0.27529999999999999</v>
      </c>
      <c r="N496" s="95">
        <v>201.75</v>
      </c>
      <c r="O496" s="95">
        <v>54.38</v>
      </c>
      <c r="P496" s="95">
        <v>256.13</v>
      </c>
      <c r="Q496" s="95">
        <v>62090.58</v>
      </c>
      <c r="R496" s="95">
        <v>16735.990000000002</v>
      </c>
      <c r="S496" s="95">
        <v>78826.570000000007</v>
      </c>
    </row>
    <row r="497" spans="1:19" ht="15" x14ac:dyDescent="0.25">
      <c r="A497" s="90" t="s">
        <v>1395</v>
      </c>
      <c r="B497" s="90" t="s">
        <v>45</v>
      </c>
      <c r="C497" s="98" t="s">
        <v>1396</v>
      </c>
      <c r="D497" s="92" t="s">
        <v>1397</v>
      </c>
      <c r="E497" s="90" t="s">
        <v>16</v>
      </c>
      <c r="F497" s="99">
        <v>12</v>
      </c>
      <c r="G497" s="94">
        <v>11404.98</v>
      </c>
      <c r="H497" s="94">
        <v>121.63</v>
      </c>
      <c r="I497" s="95">
        <v>11526.609999999999</v>
      </c>
      <c r="J497" s="95">
        <v>136859.76</v>
      </c>
      <c r="K497" s="95">
        <v>1459.5599999999977</v>
      </c>
      <c r="L497" s="95">
        <v>138319.32</v>
      </c>
      <c r="M497" s="96">
        <v>0.27529999999999999</v>
      </c>
      <c r="N497" s="95">
        <v>14544.77</v>
      </c>
      <c r="O497" s="95">
        <v>155.11000000000001</v>
      </c>
      <c r="P497" s="95">
        <v>14699.880000000001</v>
      </c>
      <c r="Q497" s="95">
        <v>174537.24</v>
      </c>
      <c r="R497" s="95">
        <v>1861.32</v>
      </c>
      <c r="S497" s="95">
        <v>176398.56</v>
      </c>
    </row>
    <row r="498" spans="1:19" ht="15" x14ac:dyDescent="0.25">
      <c r="A498" s="90" t="s">
        <v>1398</v>
      </c>
      <c r="B498" s="90" t="s">
        <v>45</v>
      </c>
      <c r="C498" s="98" t="s">
        <v>1399</v>
      </c>
      <c r="D498" s="92" t="s">
        <v>1400</v>
      </c>
      <c r="E498" s="90" t="s">
        <v>16</v>
      </c>
      <c r="F498" s="99">
        <v>1</v>
      </c>
      <c r="G498" s="94">
        <v>5548.71</v>
      </c>
      <c r="H498" s="94">
        <v>71.91</v>
      </c>
      <c r="I498" s="95">
        <v>5620.62</v>
      </c>
      <c r="J498" s="95">
        <v>5548.71</v>
      </c>
      <c r="K498" s="95">
        <v>71.909999999999854</v>
      </c>
      <c r="L498" s="95">
        <v>5620.62</v>
      </c>
      <c r="M498" s="96">
        <v>0.27529999999999999</v>
      </c>
      <c r="N498" s="95">
        <v>7076.27</v>
      </c>
      <c r="O498" s="95">
        <v>91.71</v>
      </c>
      <c r="P498" s="95">
        <v>7167.9800000000005</v>
      </c>
      <c r="Q498" s="95">
        <v>7076.27</v>
      </c>
      <c r="R498" s="95">
        <v>91.71</v>
      </c>
      <c r="S498" s="95">
        <v>7167.9800000000005</v>
      </c>
    </row>
    <row r="499" spans="1:19" ht="15" x14ac:dyDescent="0.25">
      <c r="A499" s="90" t="s">
        <v>1401</v>
      </c>
      <c r="B499" s="90"/>
      <c r="C499" s="98" t="s">
        <v>1402</v>
      </c>
      <c r="D499" s="92"/>
      <c r="E499" s="90"/>
      <c r="F499" s="99"/>
      <c r="G499" s="94"/>
      <c r="H499" s="94"/>
      <c r="I499" s="95"/>
      <c r="J499" s="95"/>
      <c r="K499" s="95"/>
      <c r="L499" s="95"/>
      <c r="M499" s="96">
        <v>0</v>
      </c>
      <c r="N499" s="95"/>
      <c r="O499" s="95"/>
      <c r="P499" s="95"/>
      <c r="Q499" s="95">
        <v>0</v>
      </c>
      <c r="R499" s="95">
        <v>0</v>
      </c>
      <c r="S499" s="95">
        <v>0</v>
      </c>
    </row>
    <row r="500" spans="1:19" ht="15" x14ac:dyDescent="0.25">
      <c r="A500" s="90" t="s">
        <v>1403</v>
      </c>
      <c r="B500" s="90" t="s">
        <v>622</v>
      </c>
      <c r="C500" s="98" t="s">
        <v>1404</v>
      </c>
      <c r="D500" s="92" t="s">
        <v>1405</v>
      </c>
      <c r="E500" s="90" t="s">
        <v>93</v>
      </c>
      <c r="F500" s="99">
        <v>4092.42</v>
      </c>
      <c r="G500" s="94">
        <v>33.82</v>
      </c>
      <c r="H500" s="94">
        <v>4.6500000000000004</v>
      </c>
      <c r="I500" s="95">
        <v>38.47</v>
      </c>
      <c r="J500" s="95">
        <v>138405.64000000001</v>
      </c>
      <c r="K500" s="95">
        <v>19029.75999999998</v>
      </c>
      <c r="L500" s="95">
        <v>157435.4</v>
      </c>
      <c r="M500" s="96">
        <v>0.27529999999999999</v>
      </c>
      <c r="N500" s="95">
        <v>43.13</v>
      </c>
      <c r="O500" s="95">
        <v>5.93</v>
      </c>
      <c r="P500" s="95">
        <v>49.06</v>
      </c>
      <c r="Q500" s="95">
        <v>176506.07</v>
      </c>
      <c r="R500" s="95">
        <v>24268.05</v>
      </c>
      <c r="S500" s="95">
        <v>200774.12</v>
      </c>
    </row>
    <row r="501" spans="1:19" ht="15" x14ac:dyDescent="0.25">
      <c r="A501" s="90" t="s">
        <v>1406</v>
      </c>
      <c r="B501" s="90" t="s">
        <v>622</v>
      </c>
      <c r="C501" s="98" t="s">
        <v>1407</v>
      </c>
      <c r="D501" s="92" t="s">
        <v>1408</v>
      </c>
      <c r="E501" s="90" t="s">
        <v>93</v>
      </c>
      <c r="F501" s="99">
        <v>1357.98</v>
      </c>
      <c r="G501" s="94">
        <v>53.62</v>
      </c>
      <c r="H501" s="94">
        <v>5.03</v>
      </c>
      <c r="I501" s="95">
        <v>58.65</v>
      </c>
      <c r="J501" s="95">
        <v>72814.880000000005</v>
      </c>
      <c r="K501" s="95">
        <v>6830.6499999999942</v>
      </c>
      <c r="L501" s="95">
        <v>79645.53</v>
      </c>
      <c r="M501" s="96">
        <v>0.27529999999999999</v>
      </c>
      <c r="N501" s="95">
        <v>68.38</v>
      </c>
      <c r="O501" s="95">
        <v>6.41</v>
      </c>
      <c r="P501" s="95">
        <v>74.789999999999992</v>
      </c>
      <c r="Q501" s="95">
        <v>92858.67</v>
      </c>
      <c r="R501" s="95">
        <v>8704.65</v>
      </c>
      <c r="S501" s="95">
        <v>101563.31999999999</v>
      </c>
    </row>
    <row r="502" spans="1:19" ht="15" x14ac:dyDescent="0.25">
      <c r="A502" s="90" t="s">
        <v>1409</v>
      </c>
      <c r="B502" s="90" t="s">
        <v>622</v>
      </c>
      <c r="C502" s="98" t="s">
        <v>1410</v>
      </c>
      <c r="D502" s="92" t="s">
        <v>1411</v>
      </c>
      <c r="E502" s="90" t="s">
        <v>93</v>
      </c>
      <c r="F502" s="99">
        <v>719.61</v>
      </c>
      <c r="G502" s="94">
        <v>69.930000000000007</v>
      </c>
      <c r="H502" s="94">
        <v>6.18</v>
      </c>
      <c r="I502" s="95">
        <v>76.110000000000014</v>
      </c>
      <c r="J502" s="95">
        <v>50322.32</v>
      </c>
      <c r="K502" s="95">
        <v>4447.1999999999971</v>
      </c>
      <c r="L502" s="95">
        <v>54769.52</v>
      </c>
      <c r="M502" s="96">
        <v>0.27529999999999999</v>
      </c>
      <c r="N502" s="95">
        <v>89.18</v>
      </c>
      <c r="O502" s="95">
        <v>7.88</v>
      </c>
      <c r="P502" s="95">
        <v>97.06</v>
      </c>
      <c r="Q502" s="95">
        <v>64174.82</v>
      </c>
      <c r="R502" s="95">
        <v>5670.53</v>
      </c>
      <c r="S502" s="95">
        <v>69845.350000000006</v>
      </c>
    </row>
    <row r="503" spans="1:19" ht="15" x14ac:dyDescent="0.25">
      <c r="A503" s="90" t="s">
        <v>1412</v>
      </c>
      <c r="B503" s="90" t="s">
        <v>622</v>
      </c>
      <c r="C503" s="98" t="s">
        <v>1413</v>
      </c>
      <c r="D503" s="92" t="s">
        <v>1414</v>
      </c>
      <c r="E503" s="90" t="s">
        <v>93</v>
      </c>
      <c r="F503" s="99">
        <v>1537.28</v>
      </c>
      <c r="G503" s="94">
        <v>127.17</v>
      </c>
      <c r="H503" s="94">
        <v>9.68</v>
      </c>
      <c r="I503" s="95">
        <v>136.85</v>
      </c>
      <c r="J503" s="95">
        <v>195495.89</v>
      </c>
      <c r="K503" s="95">
        <v>14880.879999999976</v>
      </c>
      <c r="L503" s="95">
        <v>210376.77</v>
      </c>
      <c r="M503" s="96">
        <v>0.27529999999999999</v>
      </c>
      <c r="N503" s="95">
        <v>162.18</v>
      </c>
      <c r="O503" s="95">
        <v>12.34</v>
      </c>
      <c r="P503" s="95">
        <v>174.52</v>
      </c>
      <c r="Q503" s="95">
        <v>249316.07</v>
      </c>
      <c r="R503" s="95">
        <v>18970.04</v>
      </c>
      <c r="S503" s="95">
        <v>268286.11</v>
      </c>
    </row>
    <row r="504" spans="1:19" ht="15" x14ac:dyDescent="0.25">
      <c r="A504" s="90" t="s">
        <v>1415</v>
      </c>
      <c r="B504" s="90" t="s">
        <v>622</v>
      </c>
      <c r="C504" s="98" t="s">
        <v>1416</v>
      </c>
      <c r="D504" s="92" t="s">
        <v>1417</v>
      </c>
      <c r="E504" s="90" t="s">
        <v>93</v>
      </c>
      <c r="F504" s="99">
        <v>479.99</v>
      </c>
      <c r="G504" s="94">
        <v>87.21</v>
      </c>
      <c r="H504" s="94">
        <v>7.36</v>
      </c>
      <c r="I504" s="95">
        <v>94.57</v>
      </c>
      <c r="J504" s="95">
        <v>41859.919999999998</v>
      </c>
      <c r="K504" s="95">
        <v>3532.7300000000032</v>
      </c>
      <c r="L504" s="95">
        <v>45392.65</v>
      </c>
      <c r="M504" s="96">
        <v>0.27529999999999999</v>
      </c>
      <c r="N504" s="95">
        <v>111.22</v>
      </c>
      <c r="O504" s="95">
        <v>9.39</v>
      </c>
      <c r="P504" s="95">
        <v>120.61</v>
      </c>
      <c r="Q504" s="95">
        <v>53384.49</v>
      </c>
      <c r="R504" s="95">
        <v>4507.1099999999997</v>
      </c>
      <c r="S504" s="95">
        <v>57891.6</v>
      </c>
    </row>
    <row r="505" spans="1:19" ht="15" x14ac:dyDescent="0.25">
      <c r="A505" s="90" t="s">
        <v>1418</v>
      </c>
      <c r="B505" s="90"/>
      <c r="C505" s="91" t="s">
        <v>1419</v>
      </c>
      <c r="D505" s="92"/>
      <c r="E505" s="90"/>
      <c r="F505" s="99"/>
      <c r="G505" s="94"/>
      <c r="H505" s="94"/>
      <c r="I505" s="95"/>
      <c r="J505" s="95"/>
      <c r="K505" s="95"/>
      <c r="L505" s="95"/>
      <c r="M505" s="96"/>
      <c r="N505" s="95"/>
      <c r="O505" s="95"/>
      <c r="P505" s="95"/>
      <c r="Q505" s="95">
        <v>0</v>
      </c>
      <c r="R505" s="95">
        <v>0</v>
      </c>
      <c r="S505" s="95">
        <v>0</v>
      </c>
    </row>
    <row r="506" spans="1:19" ht="15" x14ac:dyDescent="0.25">
      <c r="A506" s="90" t="s">
        <v>1420</v>
      </c>
      <c r="B506" s="90" t="s">
        <v>31</v>
      </c>
      <c r="C506" s="98" t="s">
        <v>1421</v>
      </c>
      <c r="D506" s="92" t="s">
        <v>1422</v>
      </c>
      <c r="E506" s="90" t="s">
        <v>93</v>
      </c>
      <c r="F506" s="99">
        <v>26</v>
      </c>
      <c r="G506" s="94">
        <v>61.77</v>
      </c>
      <c r="H506" s="94">
        <v>0.33</v>
      </c>
      <c r="I506" s="95">
        <v>62.1</v>
      </c>
      <c r="J506" s="95">
        <v>1606.02</v>
      </c>
      <c r="K506" s="95">
        <v>8.5799999999999272</v>
      </c>
      <c r="L506" s="95">
        <v>1614.6</v>
      </c>
      <c r="M506" s="96">
        <v>0.27529999999999999</v>
      </c>
      <c r="N506" s="95">
        <v>78.78</v>
      </c>
      <c r="O506" s="95">
        <v>0.42</v>
      </c>
      <c r="P506" s="95">
        <v>79.2</v>
      </c>
      <c r="Q506" s="95">
        <v>2048.2800000000002</v>
      </c>
      <c r="R506" s="95">
        <v>10.92</v>
      </c>
      <c r="S506" s="95">
        <v>2059.2000000000003</v>
      </c>
    </row>
    <row r="507" spans="1:19" ht="15" x14ac:dyDescent="0.25">
      <c r="A507" s="90" t="s">
        <v>1423</v>
      </c>
      <c r="B507" s="90" t="s">
        <v>31</v>
      </c>
      <c r="C507" s="98" t="s">
        <v>1421</v>
      </c>
      <c r="D507" s="92" t="s">
        <v>1422</v>
      </c>
      <c r="E507" s="90" t="s">
        <v>93</v>
      </c>
      <c r="F507" s="99">
        <v>810</v>
      </c>
      <c r="G507" s="94">
        <v>61.77</v>
      </c>
      <c r="H507" s="94">
        <v>0.33</v>
      </c>
      <c r="I507" s="95">
        <v>62.1</v>
      </c>
      <c r="J507" s="95">
        <v>50033.7</v>
      </c>
      <c r="K507" s="95">
        <v>267.30000000000291</v>
      </c>
      <c r="L507" s="95">
        <v>50301</v>
      </c>
      <c r="M507" s="96">
        <v>0.27529999999999999</v>
      </c>
      <c r="N507" s="95">
        <v>78.78</v>
      </c>
      <c r="O507" s="95">
        <v>0.42</v>
      </c>
      <c r="P507" s="95">
        <v>79.2</v>
      </c>
      <c r="Q507" s="95">
        <v>63811.8</v>
      </c>
      <c r="R507" s="95">
        <v>340.2</v>
      </c>
      <c r="S507" s="95">
        <v>64152</v>
      </c>
    </row>
    <row r="508" spans="1:19" ht="15" x14ac:dyDescent="0.25">
      <c r="A508" s="90" t="s">
        <v>1424</v>
      </c>
      <c r="B508" s="90"/>
      <c r="C508" s="91" t="s">
        <v>1425</v>
      </c>
      <c r="D508" s="92"/>
      <c r="E508" s="90"/>
      <c r="F508" s="99"/>
      <c r="G508" s="94"/>
      <c r="H508" s="94"/>
      <c r="I508" s="95"/>
      <c r="J508" s="95"/>
      <c r="K508" s="95"/>
      <c r="L508" s="95"/>
      <c r="M508" s="96"/>
      <c r="N508" s="95"/>
      <c r="O508" s="95"/>
      <c r="P508" s="95"/>
      <c r="Q508" s="95">
        <v>0</v>
      </c>
      <c r="R508" s="95">
        <v>0</v>
      </c>
      <c r="S508" s="95">
        <v>0</v>
      </c>
    </row>
    <row r="509" spans="1:19" ht="15" x14ac:dyDescent="0.25">
      <c r="A509" s="90" t="s">
        <v>1426</v>
      </c>
      <c r="B509" s="90" t="s">
        <v>31</v>
      </c>
      <c r="C509" s="98" t="s">
        <v>1427</v>
      </c>
      <c r="D509" s="92" t="s">
        <v>1428</v>
      </c>
      <c r="E509" s="90" t="s">
        <v>16</v>
      </c>
      <c r="F509" s="99">
        <v>2</v>
      </c>
      <c r="G509" s="94">
        <v>1000.86</v>
      </c>
      <c r="H509" s="94">
        <v>104.19</v>
      </c>
      <c r="I509" s="95">
        <v>1105.05</v>
      </c>
      <c r="J509" s="95">
        <v>2001.72</v>
      </c>
      <c r="K509" s="95">
        <v>208.37999999999988</v>
      </c>
      <c r="L509" s="95">
        <v>2210.1</v>
      </c>
      <c r="M509" s="96">
        <v>0.27529999999999999</v>
      </c>
      <c r="N509" s="95">
        <v>1276.4000000000001</v>
      </c>
      <c r="O509" s="95">
        <v>132.87</v>
      </c>
      <c r="P509" s="95">
        <v>1409.27</v>
      </c>
      <c r="Q509" s="95">
        <v>2552.8000000000002</v>
      </c>
      <c r="R509" s="95">
        <v>265.74</v>
      </c>
      <c r="S509" s="95">
        <v>2818.54</v>
      </c>
    </row>
    <row r="510" spans="1:19" ht="15" x14ac:dyDescent="0.25">
      <c r="A510" s="90" t="s">
        <v>1429</v>
      </c>
      <c r="B510" s="90" t="s">
        <v>31</v>
      </c>
      <c r="C510" s="98" t="s">
        <v>1430</v>
      </c>
      <c r="D510" s="92" t="s">
        <v>1431</v>
      </c>
      <c r="E510" s="90" t="s">
        <v>16</v>
      </c>
      <c r="F510" s="99">
        <v>2</v>
      </c>
      <c r="G510" s="94">
        <v>2919.91</v>
      </c>
      <c r="H510" s="94">
        <v>152.52000000000001</v>
      </c>
      <c r="I510" s="95">
        <v>3072.43</v>
      </c>
      <c r="J510" s="95">
        <v>5839.82</v>
      </c>
      <c r="K510" s="95">
        <v>305.03999999999996</v>
      </c>
      <c r="L510" s="95">
        <v>6144.86</v>
      </c>
      <c r="M510" s="96">
        <v>0.27529999999999999</v>
      </c>
      <c r="N510" s="95">
        <v>3723.76</v>
      </c>
      <c r="O510" s="95">
        <v>194.51</v>
      </c>
      <c r="P510" s="95">
        <v>3918.2700000000004</v>
      </c>
      <c r="Q510" s="95">
        <v>7447.52</v>
      </c>
      <c r="R510" s="95">
        <v>389.02</v>
      </c>
      <c r="S510" s="95">
        <v>7836.5400000000009</v>
      </c>
    </row>
    <row r="511" spans="1:19" ht="15" x14ac:dyDescent="0.25">
      <c r="A511" s="90" t="s">
        <v>1432</v>
      </c>
      <c r="B511" s="90" t="s">
        <v>31</v>
      </c>
      <c r="C511" s="98" t="s">
        <v>1433</v>
      </c>
      <c r="D511" s="92" t="s">
        <v>1434</v>
      </c>
      <c r="E511" s="90" t="s">
        <v>1435</v>
      </c>
      <c r="F511" s="99">
        <v>2</v>
      </c>
      <c r="G511" s="94">
        <v>0.06</v>
      </c>
      <c r="H511" s="94">
        <v>0</v>
      </c>
      <c r="I511" s="95">
        <v>0.06</v>
      </c>
      <c r="J511" s="95">
        <v>0.12</v>
      </c>
      <c r="K511" s="95">
        <v>0</v>
      </c>
      <c r="L511" s="95">
        <v>0.12</v>
      </c>
      <c r="M511" s="96">
        <v>0.27529999999999999</v>
      </c>
      <c r="N511" s="95">
        <v>0.08</v>
      </c>
      <c r="O511" s="95">
        <v>0</v>
      </c>
      <c r="P511" s="95">
        <v>0.08</v>
      </c>
      <c r="Q511" s="95">
        <v>0.16</v>
      </c>
      <c r="R511" s="95">
        <v>0</v>
      </c>
      <c r="S511" s="95">
        <v>0.16</v>
      </c>
    </row>
    <row r="512" spans="1:19" ht="15" x14ac:dyDescent="0.25">
      <c r="A512" s="90" t="s">
        <v>1436</v>
      </c>
      <c r="B512" s="90" t="s">
        <v>31</v>
      </c>
      <c r="C512" s="98" t="s">
        <v>1437</v>
      </c>
      <c r="D512" s="92" t="s">
        <v>1438</v>
      </c>
      <c r="E512" s="90" t="s">
        <v>1435</v>
      </c>
      <c r="F512" s="99">
        <v>2</v>
      </c>
      <c r="G512" s="94">
        <v>0.4</v>
      </c>
      <c r="H512" s="94">
        <v>0</v>
      </c>
      <c r="I512" s="95">
        <v>0.4</v>
      </c>
      <c r="J512" s="95">
        <v>0.8</v>
      </c>
      <c r="K512" s="95">
        <v>0</v>
      </c>
      <c r="L512" s="95">
        <v>0.8</v>
      </c>
      <c r="M512" s="96">
        <v>0.27529999999999999</v>
      </c>
      <c r="N512" s="95">
        <v>0.51</v>
      </c>
      <c r="O512" s="95">
        <v>0</v>
      </c>
      <c r="P512" s="95">
        <v>0.51</v>
      </c>
      <c r="Q512" s="95">
        <v>1.02</v>
      </c>
      <c r="R512" s="95">
        <v>0</v>
      </c>
      <c r="S512" s="95">
        <v>1.02</v>
      </c>
    </row>
    <row r="513" spans="1:19" ht="15" x14ac:dyDescent="0.25">
      <c r="A513" s="90" t="s">
        <v>1439</v>
      </c>
      <c r="B513" s="90" t="s">
        <v>184</v>
      </c>
      <c r="C513" s="98" t="s">
        <v>1440</v>
      </c>
      <c r="D513" s="92" t="s">
        <v>1441</v>
      </c>
      <c r="E513" s="90" t="s">
        <v>16</v>
      </c>
      <c r="F513" s="99">
        <v>1</v>
      </c>
      <c r="G513" s="94">
        <v>3579</v>
      </c>
      <c r="H513" s="94">
        <v>0</v>
      </c>
      <c r="I513" s="95">
        <v>3579</v>
      </c>
      <c r="J513" s="95">
        <v>3579</v>
      </c>
      <c r="K513" s="95">
        <v>0</v>
      </c>
      <c r="L513" s="95">
        <v>3579</v>
      </c>
      <c r="M513" s="96">
        <v>0.27529999999999999</v>
      </c>
      <c r="N513" s="95">
        <v>4564.3</v>
      </c>
      <c r="O513" s="95">
        <v>0</v>
      </c>
      <c r="P513" s="95">
        <v>4564.3</v>
      </c>
      <c r="Q513" s="95">
        <v>4564.3</v>
      </c>
      <c r="R513" s="95">
        <v>0</v>
      </c>
      <c r="S513" s="95">
        <v>4564.3</v>
      </c>
    </row>
    <row r="514" spans="1:19" ht="15" x14ac:dyDescent="0.25">
      <c r="A514" s="90" t="s">
        <v>1442</v>
      </c>
      <c r="B514" s="90" t="s">
        <v>184</v>
      </c>
      <c r="C514" s="98" t="s">
        <v>1443</v>
      </c>
      <c r="D514" s="92" t="s">
        <v>1444</v>
      </c>
      <c r="E514" s="90" t="s">
        <v>16</v>
      </c>
      <c r="F514" s="99">
        <v>4</v>
      </c>
      <c r="G514" s="94">
        <v>892.76</v>
      </c>
      <c r="H514" s="94">
        <v>30.07</v>
      </c>
      <c r="I514" s="95">
        <v>922.83</v>
      </c>
      <c r="J514" s="95">
        <v>3571.04</v>
      </c>
      <c r="K514" s="95">
        <v>120.2800000000002</v>
      </c>
      <c r="L514" s="95">
        <v>3691.32</v>
      </c>
      <c r="M514" s="96">
        <v>0.27529999999999999</v>
      </c>
      <c r="N514" s="95">
        <v>1138.54</v>
      </c>
      <c r="O514" s="95">
        <v>38.35</v>
      </c>
      <c r="P514" s="95">
        <v>1176.8899999999999</v>
      </c>
      <c r="Q514" s="95">
        <v>4554.16</v>
      </c>
      <c r="R514" s="95">
        <v>153.4</v>
      </c>
      <c r="S514" s="95">
        <v>4707.5599999999995</v>
      </c>
    </row>
    <row r="515" spans="1:19" ht="15" x14ac:dyDescent="0.25">
      <c r="A515" s="90" t="s">
        <v>1445</v>
      </c>
      <c r="B515" s="90" t="s">
        <v>45</v>
      </c>
      <c r="C515" s="98" t="s">
        <v>1446</v>
      </c>
      <c r="D515" s="92" t="s">
        <v>1447</v>
      </c>
      <c r="E515" s="90" t="s">
        <v>16</v>
      </c>
      <c r="F515" s="99">
        <v>1</v>
      </c>
      <c r="G515" s="94">
        <v>243.65</v>
      </c>
      <c r="H515" s="94">
        <v>19.39</v>
      </c>
      <c r="I515" s="95">
        <v>263.04000000000002</v>
      </c>
      <c r="J515" s="95">
        <v>243.65</v>
      </c>
      <c r="K515" s="95">
        <v>19.390000000000015</v>
      </c>
      <c r="L515" s="95">
        <v>263.04000000000002</v>
      </c>
      <c r="M515" s="96">
        <v>0.27529999999999999</v>
      </c>
      <c r="N515" s="95">
        <v>310.73</v>
      </c>
      <c r="O515" s="95">
        <v>24.73</v>
      </c>
      <c r="P515" s="95">
        <v>335.46000000000004</v>
      </c>
      <c r="Q515" s="95">
        <v>310.73</v>
      </c>
      <c r="R515" s="95">
        <v>24.73</v>
      </c>
      <c r="S515" s="95">
        <v>335.46000000000004</v>
      </c>
    </row>
    <row r="516" spans="1:19" ht="15" x14ac:dyDescent="0.25">
      <c r="A516" s="90" t="s">
        <v>1448</v>
      </c>
      <c r="B516" s="90" t="s">
        <v>31</v>
      </c>
      <c r="C516" s="98" t="s">
        <v>1449</v>
      </c>
      <c r="D516" s="92" t="s">
        <v>1450</v>
      </c>
      <c r="E516" s="90" t="s">
        <v>16</v>
      </c>
      <c r="F516" s="99">
        <v>6</v>
      </c>
      <c r="G516" s="94">
        <v>146.6</v>
      </c>
      <c r="H516" s="94">
        <v>32.68</v>
      </c>
      <c r="I516" s="95">
        <v>179.28</v>
      </c>
      <c r="J516" s="95">
        <v>879.6</v>
      </c>
      <c r="K516" s="95">
        <v>196.08000000000004</v>
      </c>
      <c r="L516" s="95">
        <v>1075.68</v>
      </c>
      <c r="M516" s="96">
        <v>0.27529999999999999</v>
      </c>
      <c r="N516" s="95">
        <v>186.96</v>
      </c>
      <c r="O516" s="95">
        <v>41.68</v>
      </c>
      <c r="P516" s="95">
        <v>228.64000000000001</v>
      </c>
      <c r="Q516" s="95">
        <v>1121.76</v>
      </c>
      <c r="R516" s="95">
        <v>250.08</v>
      </c>
      <c r="S516" s="95">
        <v>1371.84</v>
      </c>
    </row>
    <row r="517" spans="1:19" ht="15" x14ac:dyDescent="0.25">
      <c r="A517" s="90" t="s">
        <v>1451</v>
      </c>
      <c r="B517" s="90" t="s">
        <v>31</v>
      </c>
      <c r="C517" s="98" t="s">
        <v>1452</v>
      </c>
      <c r="D517" s="92" t="s">
        <v>1453</v>
      </c>
      <c r="E517" s="90" t="s">
        <v>16</v>
      </c>
      <c r="F517" s="99">
        <v>2</v>
      </c>
      <c r="G517" s="94">
        <v>60.98</v>
      </c>
      <c r="H517" s="94">
        <v>4.12</v>
      </c>
      <c r="I517" s="95">
        <v>65.099999999999994</v>
      </c>
      <c r="J517" s="95">
        <v>121.96</v>
      </c>
      <c r="K517" s="95">
        <v>8.2399999999999949</v>
      </c>
      <c r="L517" s="95">
        <v>130.19999999999999</v>
      </c>
      <c r="M517" s="96">
        <v>0.27529999999999999</v>
      </c>
      <c r="N517" s="95">
        <v>77.77</v>
      </c>
      <c r="O517" s="95">
        <v>5.25</v>
      </c>
      <c r="P517" s="95">
        <v>83.02</v>
      </c>
      <c r="Q517" s="95">
        <v>155.54</v>
      </c>
      <c r="R517" s="95">
        <v>10.5</v>
      </c>
      <c r="S517" s="95">
        <v>166.04</v>
      </c>
    </row>
    <row r="518" spans="1:19" ht="15" x14ac:dyDescent="0.25">
      <c r="A518" s="90" t="s">
        <v>1454</v>
      </c>
      <c r="B518" s="90" t="s">
        <v>31</v>
      </c>
      <c r="C518" s="98" t="s">
        <v>1455</v>
      </c>
      <c r="D518" s="92" t="s">
        <v>1456</v>
      </c>
      <c r="E518" s="90" t="s">
        <v>16</v>
      </c>
      <c r="F518" s="99">
        <v>18</v>
      </c>
      <c r="G518" s="94">
        <v>59.72</v>
      </c>
      <c r="H518" s="94">
        <v>5.75</v>
      </c>
      <c r="I518" s="95">
        <v>65.47</v>
      </c>
      <c r="J518" s="95">
        <v>1074.96</v>
      </c>
      <c r="K518" s="95">
        <v>103.5</v>
      </c>
      <c r="L518" s="95">
        <v>1178.46</v>
      </c>
      <c r="M518" s="96">
        <v>0.27529999999999999</v>
      </c>
      <c r="N518" s="95">
        <v>76.16</v>
      </c>
      <c r="O518" s="95">
        <v>7.33</v>
      </c>
      <c r="P518" s="95">
        <v>83.49</v>
      </c>
      <c r="Q518" s="95">
        <v>1370.88</v>
      </c>
      <c r="R518" s="95">
        <v>131.94</v>
      </c>
      <c r="S518" s="95">
        <v>1502.8200000000002</v>
      </c>
    </row>
    <row r="519" spans="1:19" ht="15" x14ac:dyDescent="0.25">
      <c r="A519" s="90" t="s">
        <v>1457</v>
      </c>
      <c r="B519" s="90" t="s">
        <v>31</v>
      </c>
      <c r="C519" s="98" t="s">
        <v>1458</v>
      </c>
      <c r="D519" s="92" t="s">
        <v>1459</v>
      </c>
      <c r="E519" s="90" t="s">
        <v>16</v>
      </c>
      <c r="F519" s="99">
        <v>1031</v>
      </c>
      <c r="G519" s="94">
        <v>38.11</v>
      </c>
      <c r="H519" s="94">
        <v>4.2699999999999996</v>
      </c>
      <c r="I519" s="95">
        <v>42.379999999999995</v>
      </c>
      <c r="J519" s="95">
        <v>39291.410000000003</v>
      </c>
      <c r="K519" s="95">
        <v>4402.3699999999953</v>
      </c>
      <c r="L519" s="95">
        <v>43693.78</v>
      </c>
      <c r="M519" s="96">
        <v>0.27529999999999999</v>
      </c>
      <c r="N519" s="95">
        <v>48.6</v>
      </c>
      <c r="O519" s="95">
        <v>5.45</v>
      </c>
      <c r="P519" s="95">
        <v>54.050000000000004</v>
      </c>
      <c r="Q519" s="95">
        <v>50106.6</v>
      </c>
      <c r="R519" s="95">
        <v>5618.95</v>
      </c>
      <c r="S519" s="95">
        <v>55725.549999999996</v>
      </c>
    </row>
    <row r="520" spans="1:19" ht="15" x14ac:dyDescent="0.25">
      <c r="A520" s="90" t="s">
        <v>1460</v>
      </c>
      <c r="B520" s="90" t="s">
        <v>31</v>
      </c>
      <c r="C520" s="98" t="s">
        <v>1461</v>
      </c>
      <c r="D520" s="92" t="s">
        <v>1462</v>
      </c>
      <c r="E520" s="90" t="s">
        <v>16</v>
      </c>
      <c r="F520" s="99">
        <v>4</v>
      </c>
      <c r="G520" s="94">
        <v>81.37</v>
      </c>
      <c r="H520" s="94">
        <v>7.83</v>
      </c>
      <c r="I520" s="95">
        <v>89.2</v>
      </c>
      <c r="J520" s="95">
        <v>325.48</v>
      </c>
      <c r="K520" s="95">
        <v>31.319999999999993</v>
      </c>
      <c r="L520" s="95">
        <v>356.8</v>
      </c>
      <c r="M520" s="96">
        <v>0.27529999999999999</v>
      </c>
      <c r="N520" s="95">
        <v>103.77</v>
      </c>
      <c r="O520" s="95">
        <v>9.99</v>
      </c>
      <c r="P520" s="95">
        <v>113.75999999999999</v>
      </c>
      <c r="Q520" s="95">
        <v>415.08</v>
      </c>
      <c r="R520" s="95">
        <v>39.96</v>
      </c>
      <c r="S520" s="95">
        <v>455.03999999999996</v>
      </c>
    </row>
    <row r="521" spans="1:19" ht="15" x14ac:dyDescent="0.25">
      <c r="A521" s="90" t="s">
        <v>1463</v>
      </c>
      <c r="B521" s="90" t="s">
        <v>31</v>
      </c>
      <c r="C521" s="98" t="s">
        <v>1464</v>
      </c>
      <c r="D521" s="92" t="s">
        <v>1465</v>
      </c>
      <c r="E521" s="90" t="s">
        <v>16</v>
      </c>
      <c r="F521" s="99">
        <v>296</v>
      </c>
      <c r="G521" s="94">
        <v>92.03</v>
      </c>
      <c r="H521" s="94">
        <v>8.57</v>
      </c>
      <c r="I521" s="95">
        <v>100.6</v>
      </c>
      <c r="J521" s="95">
        <v>27240.880000000001</v>
      </c>
      <c r="K521" s="95">
        <v>2536.7199999999975</v>
      </c>
      <c r="L521" s="95">
        <v>29777.599999999999</v>
      </c>
      <c r="M521" s="96">
        <v>0.27529999999999999</v>
      </c>
      <c r="N521" s="95">
        <v>117.37</v>
      </c>
      <c r="O521" s="95">
        <v>10.93</v>
      </c>
      <c r="P521" s="95">
        <v>128.30000000000001</v>
      </c>
      <c r="Q521" s="95">
        <v>34741.519999999997</v>
      </c>
      <c r="R521" s="95">
        <v>3235.28</v>
      </c>
      <c r="S521" s="95">
        <v>37976.799999999996</v>
      </c>
    </row>
    <row r="522" spans="1:19" ht="15" x14ac:dyDescent="0.25">
      <c r="A522" s="90" t="s">
        <v>1466</v>
      </c>
      <c r="B522" s="90" t="s">
        <v>31</v>
      </c>
      <c r="C522" s="98" t="s">
        <v>1467</v>
      </c>
      <c r="D522" s="92" t="s">
        <v>1468</v>
      </c>
      <c r="E522" s="90" t="s">
        <v>16</v>
      </c>
      <c r="F522" s="99">
        <v>7</v>
      </c>
      <c r="G522" s="94">
        <v>70.5</v>
      </c>
      <c r="H522" s="94">
        <v>7.11</v>
      </c>
      <c r="I522" s="95">
        <v>77.61</v>
      </c>
      <c r="J522" s="95">
        <v>493.5</v>
      </c>
      <c r="K522" s="95">
        <v>49.769999999999982</v>
      </c>
      <c r="L522" s="95">
        <v>543.27</v>
      </c>
      <c r="M522" s="96">
        <v>0.27529999999999999</v>
      </c>
      <c r="N522" s="95">
        <v>89.91</v>
      </c>
      <c r="O522" s="95">
        <v>9.07</v>
      </c>
      <c r="P522" s="95">
        <v>98.97999999999999</v>
      </c>
      <c r="Q522" s="95">
        <v>629.37</v>
      </c>
      <c r="R522" s="95">
        <v>63.49</v>
      </c>
      <c r="S522" s="95">
        <v>692.86</v>
      </c>
    </row>
    <row r="523" spans="1:19" ht="15" x14ac:dyDescent="0.25">
      <c r="A523" s="90" t="s">
        <v>1469</v>
      </c>
      <c r="B523" s="90" t="s">
        <v>45</v>
      </c>
      <c r="C523" s="98" t="s">
        <v>1470</v>
      </c>
      <c r="D523" s="92" t="s">
        <v>1471</v>
      </c>
      <c r="E523" s="90" t="s">
        <v>16</v>
      </c>
      <c r="F523" s="99">
        <v>2</v>
      </c>
      <c r="G523" s="94">
        <v>79.290000000000006</v>
      </c>
      <c r="H523" s="94">
        <v>51.25</v>
      </c>
      <c r="I523" s="95">
        <v>130.54000000000002</v>
      </c>
      <c r="J523" s="95">
        <v>158.58000000000001</v>
      </c>
      <c r="K523" s="95">
        <v>102.49999999999997</v>
      </c>
      <c r="L523" s="95">
        <v>261.08</v>
      </c>
      <c r="M523" s="96">
        <v>0.27529999999999999</v>
      </c>
      <c r="N523" s="95">
        <v>101.12</v>
      </c>
      <c r="O523" s="95">
        <v>65.36</v>
      </c>
      <c r="P523" s="95">
        <v>166.48000000000002</v>
      </c>
      <c r="Q523" s="95">
        <v>202.24</v>
      </c>
      <c r="R523" s="95">
        <v>130.72</v>
      </c>
      <c r="S523" s="95">
        <v>332.96000000000004</v>
      </c>
    </row>
    <row r="524" spans="1:19" ht="15" x14ac:dyDescent="0.25">
      <c r="A524" s="90" t="s">
        <v>1472</v>
      </c>
      <c r="B524" s="90" t="s">
        <v>184</v>
      </c>
      <c r="C524" s="98" t="s">
        <v>1473</v>
      </c>
      <c r="D524" s="92" t="s">
        <v>1474</v>
      </c>
      <c r="E524" s="90" t="s">
        <v>16</v>
      </c>
      <c r="F524" s="99">
        <v>4</v>
      </c>
      <c r="G524" s="94">
        <v>700.92</v>
      </c>
      <c r="H524" s="94">
        <v>0</v>
      </c>
      <c r="I524" s="95">
        <v>700.92</v>
      </c>
      <c r="J524" s="95">
        <v>2803.68</v>
      </c>
      <c r="K524" s="95">
        <v>0</v>
      </c>
      <c r="L524" s="95">
        <v>2803.68</v>
      </c>
      <c r="M524" s="96">
        <v>0.27529999999999999</v>
      </c>
      <c r="N524" s="95">
        <v>893.88</v>
      </c>
      <c r="O524" s="95">
        <v>0</v>
      </c>
      <c r="P524" s="95">
        <v>893.88</v>
      </c>
      <c r="Q524" s="95">
        <v>3575.52</v>
      </c>
      <c r="R524" s="95">
        <v>0</v>
      </c>
      <c r="S524" s="95">
        <v>3575.52</v>
      </c>
    </row>
    <row r="525" spans="1:19" ht="38.25" x14ac:dyDescent="0.25">
      <c r="A525" s="90" t="s">
        <v>1475</v>
      </c>
      <c r="B525" s="90" t="s">
        <v>1476</v>
      </c>
      <c r="C525" s="98" t="s">
        <v>1477</v>
      </c>
      <c r="D525" s="92" t="s">
        <v>1478</v>
      </c>
      <c r="E525" s="90" t="s">
        <v>16</v>
      </c>
      <c r="F525" s="99">
        <v>12</v>
      </c>
      <c r="G525" s="94">
        <v>9561.5400000000009</v>
      </c>
      <c r="H525" s="94">
        <v>75.48</v>
      </c>
      <c r="I525" s="95">
        <v>9637.02</v>
      </c>
      <c r="J525" s="95">
        <v>114738.48</v>
      </c>
      <c r="K525" s="95">
        <v>905.76000000000931</v>
      </c>
      <c r="L525" s="95">
        <v>115644.24</v>
      </c>
      <c r="M525" s="96">
        <v>0.27529999999999999</v>
      </c>
      <c r="N525" s="95">
        <v>12193.83</v>
      </c>
      <c r="O525" s="95">
        <v>96.26</v>
      </c>
      <c r="P525" s="95">
        <v>12290.09</v>
      </c>
      <c r="Q525" s="95">
        <v>146325.96</v>
      </c>
      <c r="R525" s="95">
        <v>1155.1199999999999</v>
      </c>
      <c r="S525" s="95">
        <v>147481.07999999999</v>
      </c>
    </row>
    <row r="526" spans="1:19" ht="15" x14ac:dyDescent="0.25">
      <c r="A526" s="90" t="s">
        <v>1479</v>
      </c>
      <c r="B526" s="90" t="s">
        <v>184</v>
      </c>
      <c r="C526" s="98" t="s">
        <v>1480</v>
      </c>
      <c r="D526" s="92" t="s">
        <v>1481</v>
      </c>
      <c r="E526" s="90" t="s">
        <v>16</v>
      </c>
      <c r="F526" s="99">
        <v>12</v>
      </c>
      <c r="G526" s="94">
        <v>2349.66</v>
      </c>
      <c r="H526" s="94">
        <v>0</v>
      </c>
      <c r="I526" s="95">
        <v>2349.66</v>
      </c>
      <c r="J526" s="95">
        <v>28195.919999999998</v>
      </c>
      <c r="K526" s="95">
        <v>0</v>
      </c>
      <c r="L526" s="95">
        <v>28195.919999999998</v>
      </c>
      <c r="M526" s="96">
        <v>0.27529999999999999</v>
      </c>
      <c r="N526" s="95">
        <v>2996.52</v>
      </c>
      <c r="O526" s="95">
        <v>0</v>
      </c>
      <c r="P526" s="95">
        <v>2996.52</v>
      </c>
      <c r="Q526" s="95">
        <v>35958.239999999998</v>
      </c>
      <c r="R526" s="95">
        <v>0</v>
      </c>
      <c r="S526" s="95">
        <v>35958.239999999998</v>
      </c>
    </row>
    <row r="527" spans="1:19" ht="15" x14ac:dyDescent="0.25">
      <c r="A527" s="90" t="s">
        <v>1482</v>
      </c>
      <c r="B527" s="90" t="s">
        <v>31</v>
      </c>
      <c r="C527" s="98" t="s">
        <v>1483</v>
      </c>
      <c r="D527" s="92" t="s">
        <v>1484</v>
      </c>
      <c r="E527" s="90" t="s">
        <v>16</v>
      </c>
      <c r="F527" s="99">
        <v>6</v>
      </c>
      <c r="G527" s="94">
        <v>326.61</v>
      </c>
      <c r="H527" s="94">
        <v>5.59</v>
      </c>
      <c r="I527" s="95">
        <v>332.2</v>
      </c>
      <c r="J527" s="95">
        <v>1959.66</v>
      </c>
      <c r="K527" s="95">
        <v>33.539999999999964</v>
      </c>
      <c r="L527" s="95">
        <v>1993.2</v>
      </c>
      <c r="M527" s="96">
        <v>0.27529999999999999</v>
      </c>
      <c r="N527" s="95">
        <v>416.53</v>
      </c>
      <c r="O527" s="95">
        <v>7.13</v>
      </c>
      <c r="P527" s="95">
        <v>423.65999999999997</v>
      </c>
      <c r="Q527" s="95">
        <v>2499.1799999999998</v>
      </c>
      <c r="R527" s="95">
        <v>42.78</v>
      </c>
      <c r="S527" s="95">
        <v>2541.96</v>
      </c>
    </row>
    <row r="528" spans="1:19" ht="15" x14ac:dyDescent="0.25">
      <c r="A528" s="90" t="s">
        <v>1485</v>
      </c>
      <c r="B528" s="90" t="s">
        <v>86</v>
      </c>
      <c r="C528" s="98" t="s">
        <v>1486</v>
      </c>
      <c r="D528" s="92" t="s">
        <v>1487</v>
      </c>
      <c r="E528" s="90" t="s">
        <v>16</v>
      </c>
      <c r="F528" s="99">
        <v>24</v>
      </c>
      <c r="G528" s="94">
        <v>1530.73</v>
      </c>
      <c r="H528" s="94">
        <v>4.75</v>
      </c>
      <c r="I528" s="95">
        <v>1535.48</v>
      </c>
      <c r="J528" s="95">
        <v>36737.519999999997</v>
      </c>
      <c r="K528" s="95">
        <v>114</v>
      </c>
      <c r="L528" s="95">
        <v>36851.519999999997</v>
      </c>
      <c r="M528" s="96">
        <v>0.27529999999999999</v>
      </c>
      <c r="N528" s="95">
        <v>1952.14</v>
      </c>
      <c r="O528" s="95">
        <v>6.06</v>
      </c>
      <c r="P528" s="95">
        <v>1958.2</v>
      </c>
      <c r="Q528" s="95">
        <v>46851.360000000001</v>
      </c>
      <c r="R528" s="95">
        <v>145.44</v>
      </c>
      <c r="S528" s="95">
        <v>46996.800000000003</v>
      </c>
    </row>
    <row r="529" spans="1:19" ht="15" x14ac:dyDescent="0.25">
      <c r="A529" s="90" t="s">
        <v>1488</v>
      </c>
      <c r="B529" s="90" t="s">
        <v>86</v>
      </c>
      <c r="C529" s="98" t="s">
        <v>1489</v>
      </c>
      <c r="D529" s="92" t="s">
        <v>1490</v>
      </c>
      <c r="E529" s="90" t="s">
        <v>16</v>
      </c>
      <c r="F529" s="99">
        <v>19</v>
      </c>
      <c r="G529" s="94">
        <v>232.74</v>
      </c>
      <c r="H529" s="94">
        <v>0</v>
      </c>
      <c r="I529" s="95">
        <v>232.74</v>
      </c>
      <c r="J529" s="95">
        <v>4422.0600000000004</v>
      </c>
      <c r="K529" s="95">
        <v>0</v>
      </c>
      <c r="L529" s="95">
        <v>4422.0600000000004</v>
      </c>
      <c r="M529" s="96">
        <v>0.27529999999999999</v>
      </c>
      <c r="N529" s="95">
        <v>296.81</v>
      </c>
      <c r="O529" s="95">
        <v>0</v>
      </c>
      <c r="P529" s="95">
        <v>296.81</v>
      </c>
      <c r="Q529" s="95">
        <v>5639.39</v>
      </c>
      <c r="R529" s="95">
        <v>0</v>
      </c>
      <c r="S529" s="95">
        <v>5639.39</v>
      </c>
    </row>
    <row r="530" spans="1:19" ht="15" x14ac:dyDescent="0.25">
      <c r="A530" s="90" t="s">
        <v>1491</v>
      </c>
      <c r="B530" s="90" t="s">
        <v>95</v>
      </c>
      <c r="C530" s="98" t="s">
        <v>1492</v>
      </c>
      <c r="D530" s="92" t="s">
        <v>1493</v>
      </c>
      <c r="E530" s="90" t="s">
        <v>16</v>
      </c>
      <c r="F530" s="99">
        <v>1</v>
      </c>
      <c r="G530" s="94">
        <v>1788034.42</v>
      </c>
      <c r="H530" s="94">
        <v>0</v>
      </c>
      <c r="I530" s="95">
        <v>1788034.42</v>
      </c>
      <c r="J530" s="95">
        <v>1788034.42</v>
      </c>
      <c r="K530" s="95">
        <v>0</v>
      </c>
      <c r="L530" s="95">
        <v>1788034.42</v>
      </c>
      <c r="M530" s="96">
        <v>0.1837</v>
      </c>
      <c r="N530" s="95">
        <v>2116496.34</v>
      </c>
      <c r="O530" s="95">
        <v>0</v>
      </c>
      <c r="P530" s="95">
        <v>2116496.34</v>
      </c>
      <c r="Q530" s="95">
        <v>2116496.34</v>
      </c>
      <c r="R530" s="95">
        <v>0</v>
      </c>
      <c r="S530" s="95">
        <v>2116496.34</v>
      </c>
    </row>
    <row r="531" spans="1:19" ht="15" x14ac:dyDescent="0.25">
      <c r="A531" s="90" t="s">
        <v>1494</v>
      </c>
      <c r="B531" s="90"/>
      <c r="C531" s="91" t="s">
        <v>1495</v>
      </c>
      <c r="D531" s="92"/>
      <c r="E531" s="90"/>
      <c r="F531" s="99"/>
      <c r="G531" s="94"/>
      <c r="H531" s="94"/>
      <c r="I531" s="95"/>
      <c r="J531" s="95"/>
      <c r="K531" s="95"/>
      <c r="L531" s="95"/>
      <c r="M531" s="96">
        <v>0</v>
      </c>
      <c r="N531" s="95"/>
      <c r="O531" s="95"/>
      <c r="P531" s="95"/>
      <c r="Q531" s="95">
        <v>0</v>
      </c>
      <c r="R531" s="95">
        <v>0</v>
      </c>
      <c r="S531" s="95">
        <v>0</v>
      </c>
    </row>
    <row r="532" spans="1:19" ht="25.5" x14ac:dyDescent="0.25">
      <c r="A532" s="90" t="s">
        <v>1496</v>
      </c>
      <c r="B532" s="90" t="s">
        <v>184</v>
      </c>
      <c r="C532" s="98" t="s">
        <v>1497</v>
      </c>
      <c r="D532" s="92" t="s">
        <v>1498</v>
      </c>
      <c r="E532" s="90" t="s">
        <v>16</v>
      </c>
      <c r="F532" s="99">
        <v>2</v>
      </c>
      <c r="G532" s="94">
        <v>24392.67</v>
      </c>
      <c r="H532" s="94">
        <v>0</v>
      </c>
      <c r="I532" s="95">
        <v>24392.67</v>
      </c>
      <c r="J532" s="95">
        <v>48785.34</v>
      </c>
      <c r="K532" s="95">
        <v>0</v>
      </c>
      <c r="L532" s="95">
        <v>48785.34</v>
      </c>
      <c r="M532" s="96">
        <v>0.27529999999999999</v>
      </c>
      <c r="N532" s="95">
        <v>31107.97</v>
      </c>
      <c r="O532" s="95">
        <v>0</v>
      </c>
      <c r="P532" s="95">
        <v>31107.97</v>
      </c>
      <c r="Q532" s="95">
        <v>62215.94</v>
      </c>
      <c r="R532" s="95">
        <v>0</v>
      </c>
      <c r="S532" s="95">
        <v>62215.94</v>
      </c>
    </row>
    <row r="533" spans="1:19" ht="15" x14ac:dyDescent="0.25">
      <c r="A533" s="90" t="s">
        <v>1499</v>
      </c>
      <c r="B533" s="90" t="s">
        <v>184</v>
      </c>
      <c r="C533" s="98" t="s">
        <v>1500</v>
      </c>
      <c r="D533" s="92" t="s">
        <v>1501</v>
      </c>
      <c r="E533" s="90" t="s">
        <v>93</v>
      </c>
      <c r="F533" s="99">
        <v>300</v>
      </c>
      <c r="G533" s="94">
        <v>131.12</v>
      </c>
      <c r="H533" s="94">
        <v>0</v>
      </c>
      <c r="I533" s="95">
        <v>131.12</v>
      </c>
      <c r="J533" s="95">
        <v>39336</v>
      </c>
      <c r="K533" s="95">
        <v>0</v>
      </c>
      <c r="L533" s="95">
        <v>39336</v>
      </c>
      <c r="M533" s="96">
        <v>0.27529999999999999</v>
      </c>
      <c r="N533" s="95">
        <v>167.22</v>
      </c>
      <c r="O533" s="95">
        <v>0</v>
      </c>
      <c r="P533" s="95">
        <v>167.22</v>
      </c>
      <c r="Q533" s="95">
        <v>50166</v>
      </c>
      <c r="R533" s="95">
        <v>0</v>
      </c>
      <c r="S533" s="95">
        <v>50166</v>
      </c>
    </row>
    <row r="534" spans="1:19" ht="25.5" x14ac:dyDescent="0.25">
      <c r="A534" s="90" t="s">
        <v>1502</v>
      </c>
      <c r="B534" s="90" t="s">
        <v>31</v>
      </c>
      <c r="C534" s="98" t="s">
        <v>1503</v>
      </c>
      <c r="D534" s="92" t="s">
        <v>1504</v>
      </c>
      <c r="E534" s="90" t="s">
        <v>16</v>
      </c>
      <c r="F534" s="99">
        <v>2</v>
      </c>
      <c r="G534" s="94">
        <v>14816.2</v>
      </c>
      <c r="H534" s="94">
        <v>0</v>
      </c>
      <c r="I534" s="95">
        <v>14816.2</v>
      </c>
      <c r="J534" s="95">
        <v>29632.400000000001</v>
      </c>
      <c r="K534" s="95">
        <v>0</v>
      </c>
      <c r="L534" s="95">
        <v>29632.400000000001</v>
      </c>
      <c r="M534" s="96">
        <v>0.27529999999999999</v>
      </c>
      <c r="N534" s="95">
        <v>18895.099999999999</v>
      </c>
      <c r="O534" s="95">
        <v>0</v>
      </c>
      <c r="P534" s="95">
        <v>18895.099999999999</v>
      </c>
      <c r="Q534" s="95">
        <v>37790.199999999997</v>
      </c>
      <c r="R534" s="95">
        <v>0</v>
      </c>
      <c r="S534" s="95">
        <v>37790.199999999997</v>
      </c>
    </row>
    <row r="535" spans="1:19" s="89" customFormat="1" x14ac:dyDescent="0.25">
      <c r="A535" s="82" t="s">
        <v>1505</v>
      </c>
      <c r="B535" s="82"/>
      <c r="C535" s="84" t="s">
        <v>1506</v>
      </c>
      <c r="D535" s="84"/>
      <c r="E535" s="85"/>
      <c r="F535" s="101"/>
      <c r="G535" s="87"/>
      <c r="H535" s="87"/>
      <c r="I535" s="88"/>
      <c r="J535" s="87">
        <v>2165646.1399999997</v>
      </c>
      <c r="K535" s="87">
        <v>265372.76000000018</v>
      </c>
      <c r="L535" s="87">
        <v>2431018.9000000004</v>
      </c>
      <c r="M535" s="87"/>
      <c r="N535" s="87"/>
      <c r="O535" s="87"/>
      <c r="P535" s="87"/>
      <c r="Q535" s="87">
        <v>2761883.6300000004</v>
      </c>
      <c r="R535" s="87">
        <v>338409.89999999991</v>
      </c>
      <c r="S535" s="87">
        <v>3100293.5300000007</v>
      </c>
    </row>
    <row r="536" spans="1:19" ht="15" x14ac:dyDescent="0.25">
      <c r="A536" s="90" t="s">
        <v>1507</v>
      </c>
      <c r="B536" s="90" t="s">
        <v>95</v>
      </c>
      <c r="C536" s="98" t="s">
        <v>1508</v>
      </c>
      <c r="D536" s="92" t="s">
        <v>1509</v>
      </c>
      <c r="E536" s="90" t="s">
        <v>16</v>
      </c>
      <c r="F536" s="99">
        <v>150</v>
      </c>
      <c r="G536" s="94">
        <v>29.41</v>
      </c>
      <c r="H536" s="94">
        <v>4.07</v>
      </c>
      <c r="I536" s="95">
        <v>33.480000000000004</v>
      </c>
      <c r="J536" s="95">
        <v>4411.5</v>
      </c>
      <c r="K536" s="95">
        <v>610.5</v>
      </c>
      <c r="L536" s="95">
        <v>5022</v>
      </c>
      <c r="M536" s="96">
        <v>0.27529999999999999</v>
      </c>
      <c r="N536" s="95">
        <v>37.51</v>
      </c>
      <c r="O536" s="95">
        <v>5.19</v>
      </c>
      <c r="P536" s="95">
        <v>42.699999999999996</v>
      </c>
      <c r="Q536" s="95">
        <v>5626.5</v>
      </c>
      <c r="R536" s="95">
        <v>778.5</v>
      </c>
      <c r="S536" s="95">
        <v>6405</v>
      </c>
    </row>
    <row r="537" spans="1:19" ht="15" x14ac:dyDescent="0.25">
      <c r="A537" s="90" t="s">
        <v>1510</v>
      </c>
      <c r="B537" s="90" t="s">
        <v>184</v>
      </c>
      <c r="C537" s="98" t="s">
        <v>1511</v>
      </c>
      <c r="D537" s="92" t="s">
        <v>1512</v>
      </c>
      <c r="E537" s="90" t="s">
        <v>16</v>
      </c>
      <c r="F537" s="99">
        <v>831</v>
      </c>
      <c r="G537" s="94">
        <v>271.98</v>
      </c>
      <c r="H537" s="94">
        <v>18.97</v>
      </c>
      <c r="I537" s="95">
        <v>290.95000000000005</v>
      </c>
      <c r="J537" s="95">
        <v>226015.38</v>
      </c>
      <c r="K537" s="95">
        <v>15764.070000000007</v>
      </c>
      <c r="L537" s="95">
        <v>241779.45</v>
      </c>
      <c r="M537" s="96">
        <v>0.27529999999999999</v>
      </c>
      <c r="N537" s="95">
        <v>346.86</v>
      </c>
      <c r="O537" s="95">
        <v>24.19</v>
      </c>
      <c r="P537" s="95">
        <v>371.05</v>
      </c>
      <c r="Q537" s="95">
        <v>288240.65999999997</v>
      </c>
      <c r="R537" s="95">
        <v>20101.89</v>
      </c>
      <c r="S537" s="95">
        <v>308342.55</v>
      </c>
    </row>
    <row r="538" spans="1:19" ht="15" x14ac:dyDescent="0.25">
      <c r="A538" s="90" t="s">
        <v>1513</v>
      </c>
      <c r="B538" s="90" t="s">
        <v>104</v>
      </c>
      <c r="C538" s="98" t="s">
        <v>1514</v>
      </c>
      <c r="D538" s="92" t="s">
        <v>1515</v>
      </c>
      <c r="E538" s="90" t="s">
        <v>16</v>
      </c>
      <c r="F538" s="99">
        <v>79</v>
      </c>
      <c r="G538" s="94">
        <v>65.25</v>
      </c>
      <c r="H538" s="94">
        <v>11.59</v>
      </c>
      <c r="I538" s="95">
        <v>76.84</v>
      </c>
      <c r="J538" s="95">
        <v>5154.75</v>
      </c>
      <c r="K538" s="95">
        <v>915.60999999999967</v>
      </c>
      <c r="L538" s="95">
        <v>6070.36</v>
      </c>
      <c r="M538" s="96">
        <v>0.27529999999999999</v>
      </c>
      <c r="N538" s="95">
        <v>83.21</v>
      </c>
      <c r="O538" s="95">
        <v>14.78</v>
      </c>
      <c r="P538" s="95">
        <v>97.99</v>
      </c>
      <c r="Q538" s="95">
        <v>6573.59</v>
      </c>
      <c r="R538" s="95">
        <v>1167.6199999999999</v>
      </c>
      <c r="S538" s="95">
        <v>7741.21</v>
      </c>
    </row>
    <row r="539" spans="1:19" ht="15" x14ac:dyDescent="0.25">
      <c r="A539" s="90" t="s">
        <v>1516</v>
      </c>
      <c r="B539" s="90" t="s">
        <v>184</v>
      </c>
      <c r="C539" s="98" t="s">
        <v>1517</v>
      </c>
      <c r="D539" s="92" t="s">
        <v>1518</v>
      </c>
      <c r="E539" s="90" t="s">
        <v>16</v>
      </c>
      <c r="F539" s="99">
        <v>79</v>
      </c>
      <c r="G539" s="94">
        <v>219.94</v>
      </c>
      <c r="H539" s="94">
        <v>26.57</v>
      </c>
      <c r="I539" s="95">
        <v>246.51</v>
      </c>
      <c r="J539" s="95">
        <v>17375.259999999998</v>
      </c>
      <c r="K539" s="95">
        <v>2099.0300000000025</v>
      </c>
      <c r="L539" s="95">
        <v>19474.29</v>
      </c>
      <c r="M539" s="96">
        <v>0.27529999999999999</v>
      </c>
      <c r="N539" s="95">
        <v>280.49</v>
      </c>
      <c r="O539" s="95">
        <v>33.880000000000003</v>
      </c>
      <c r="P539" s="95">
        <v>314.37</v>
      </c>
      <c r="Q539" s="95">
        <v>22158.71</v>
      </c>
      <c r="R539" s="95">
        <v>2676.52</v>
      </c>
      <c r="S539" s="95">
        <v>24835.23</v>
      </c>
    </row>
    <row r="540" spans="1:19" ht="15" x14ac:dyDescent="0.25">
      <c r="A540" s="90" t="s">
        <v>1519</v>
      </c>
      <c r="B540" s="90" t="s">
        <v>184</v>
      </c>
      <c r="C540" s="98" t="s">
        <v>1520</v>
      </c>
      <c r="D540" s="92" t="s">
        <v>1521</v>
      </c>
      <c r="E540" s="90" t="s">
        <v>16</v>
      </c>
      <c r="F540" s="99">
        <v>19</v>
      </c>
      <c r="G540" s="94">
        <v>88.39</v>
      </c>
      <c r="H540" s="94">
        <v>11.38</v>
      </c>
      <c r="I540" s="95">
        <v>99.77</v>
      </c>
      <c r="J540" s="95">
        <v>1679.41</v>
      </c>
      <c r="K540" s="95">
        <v>216.22000000000003</v>
      </c>
      <c r="L540" s="95">
        <v>1895.63</v>
      </c>
      <c r="M540" s="96">
        <v>0.27529999999999999</v>
      </c>
      <c r="N540" s="95">
        <v>112.72</v>
      </c>
      <c r="O540" s="95">
        <v>14.51</v>
      </c>
      <c r="P540" s="95">
        <v>127.23</v>
      </c>
      <c r="Q540" s="95">
        <v>2141.6799999999998</v>
      </c>
      <c r="R540" s="95">
        <v>275.69</v>
      </c>
      <c r="S540" s="95">
        <v>2417.37</v>
      </c>
    </row>
    <row r="541" spans="1:19" ht="15" x14ac:dyDescent="0.25">
      <c r="A541" s="90" t="s">
        <v>1522</v>
      </c>
      <c r="B541" s="90" t="s">
        <v>622</v>
      </c>
      <c r="C541" s="98" t="s">
        <v>1523</v>
      </c>
      <c r="D541" s="92" t="s">
        <v>1524</v>
      </c>
      <c r="E541" s="90" t="s">
        <v>16</v>
      </c>
      <c r="F541" s="99">
        <v>1</v>
      </c>
      <c r="G541" s="94">
        <v>21570.240000000002</v>
      </c>
      <c r="H541" s="94">
        <v>4518.3900000000003</v>
      </c>
      <c r="I541" s="95">
        <v>26088.63</v>
      </c>
      <c r="J541" s="95">
        <v>21570.240000000002</v>
      </c>
      <c r="K541" s="95">
        <v>4518.3899999999994</v>
      </c>
      <c r="L541" s="95">
        <v>26088.63</v>
      </c>
      <c r="M541" s="96">
        <v>0.27529999999999999</v>
      </c>
      <c r="N541" s="95">
        <v>27508.53</v>
      </c>
      <c r="O541" s="95">
        <v>5762.3</v>
      </c>
      <c r="P541" s="95">
        <v>33270.83</v>
      </c>
      <c r="Q541" s="95">
        <v>27508.53</v>
      </c>
      <c r="R541" s="95">
        <v>5762.3</v>
      </c>
      <c r="S541" s="95">
        <v>33270.83</v>
      </c>
    </row>
    <row r="542" spans="1:19" ht="15" x14ac:dyDescent="0.25">
      <c r="A542" s="90" t="s">
        <v>1525</v>
      </c>
      <c r="B542" s="90" t="s">
        <v>45</v>
      </c>
      <c r="C542" s="98" t="s">
        <v>1526</v>
      </c>
      <c r="D542" s="92" t="s">
        <v>1527</v>
      </c>
      <c r="E542" s="90" t="s">
        <v>16</v>
      </c>
      <c r="F542" s="99">
        <v>582</v>
      </c>
      <c r="G542" s="94">
        <v>194.87</v>
      </c>
      <c r="H542" s="94">
        <v>38.9</v>
      </c>
      <c r="I542" s="95">
        <v>233.77</v>
      </c>
      <c r="J542" s="95">
        <v>113414.34</v>
      </c>
      <c r="K542" s="95">
        <v>22639.800000000017</v>
      </c>
      <c r="L542" s="95">
        <v>136054.14000000001</v>
      </c>
      <c r="M542" s="96">
        <v>0.27529999999999999</v>
      </c>
      <c r="N542" s="95">
        <v>248.52</v>
      </c>
      <c r="O542" s="95">
        <v>49.61</v>
      </c>
      <c r="P542" s="95">
        <v>298.13</v>
      </c>
      <c r="Q542" s="95">
        <v>144638.64000000001</v>
      </c>
      <c r="R542" s="95">
        <v>28873.02</v>
      </c>
      <c r="S542" s="95">
        <v>173511.66</v>
      </c>
    </row>
    <row r="543" spans="1:19" ht="15" x14ac:dyDescent="0.25">
      <c r="A543" s="90" t="s">
        <v>1528</v>
      </c>
      <c r="B543" s="90" t="s">
        <v>184</v>
      </c>
      <c r="C543" s="98" t="s">
        <v>1529</v>
      </c>
      <c r="D543" s="92" t="s">
        <v>1530</v>
      </c>
      <c r="E543" s="90" t="s">
        <v>16</v>
      </c>
      <c r="F543" s="99">
        <v>58</v>
      </c>
      <c r="G543" s="94">
        <v>260.94</v>
      </c>
      <c r="H543" s="94">
        <v>18.97</v>
      </c>
      <c r="I543" s="95">
        <v>279.90999999999997</v>
      </c>
      <c r="J543" s="95">
        <v>15134.52</v>
      </c>
      <c r="K543" s="95">
        <v>1100.2600000000002</v>
      </c>
      <c r="L543" s="95">
        <v>16234.78</v>
      </c>
      <c r="M543" s="96">
        <v>0.27529999999999999</v>
      </c>
      <c r="N543" s="95">
        <v>332.78</v>
      </c>
      <c r="O543" s="95">
        <v>24.19</v>
      </c>
      <c r="P543" s="95">
        <v>356.96999999999997</v>
      </c>
      <c r="Q543" s="95">
        <v>19301.240000000002</v>
      </c>
      <c r="R543" s="95">
        <v>1403.02</v>
      </c>
      <c r="S543" s="95">
        <v>20704.260000000002</v>
      </c>
    </row>
    <row r="544" spans="1:19" ht="15" x14ac:dyDescent="0.25">
      <c r="A544" s="90" t="s">
        <v>1531</v>
      </c>
      <c r="B544" s="90" t="s">
        <v>45</v>
      </c>
      <c r="C544" s="98" t="s">
        <v>1532</v>
      </c>
      <c r="D544" s="92" t="s">
        <v>1533</v>
      </c>
      <c r="E544" s="90" t="s">
        <v>16</v>
      </c>
      <c r="F544" s="99">
        <v>27</v>
      </c>
      <c r="G544" s="94">
        <v>1734.82</v>
      </c>
      <c r="H544" s="94">
        <v>45.25</v>
      </c>
      <c r="I544" s="95">
        <v>1780.07</v>
      </c>
      <c r="J544" s="95">
        <v>46840.14</v>
      </c>
      <c r="K544" s="95">
        <v>1221.75</v>
      </c>
      <c r="L544" s="95">
        <v>48061.89</v>
      </c>
      <c r="M544" s="96">
        <v>0.27529999999999999</v>
      </c>
      <c r="N544" s="95">
        <v>2212.42</v>
      </c>
      <c r="O544" s="95">
        <v>57.71</v>
      </c>
      <c r="P544" s="95">
        <v>2270.13</v>
      </c>
      <c r="Q544" s="95">
        <v>59735.34</v>
      </c>
      <c r="R544" s="95">
        <v>1558.17</v>
      </c>
      <c r="S544" s="95">
        <v>61293.509999999995</v>
      </c>
    </row>
    <row r="545" spans="1:19" ht="15" x14ac:dyDescent="0.25">
      <c r="A545" s="90" t="s">
        <v>1534</v>
      </c>
      <c r="B545" s="90" t="s">
        <v>184</v>
      </c>
      <c r="C545" s="98" t="s">
        <v>1535</v>
      </c>
      <c r="D545" s="92" t="s">
        <v>1536</v>
      </c>
      <c r="E545" s="90" t="s">
        <v>16</v>
      </c>
      <c r="F545" s="99">
        <v>2</v>
      </c>
      <c r="G545" s="94">
        <v>146.18</v>
      </c>
      <c r="H545" s="94">
        <v>18.97</v>
      </c>
      <c r="I545" s="95">
        <v>165.15</v>
      </c>
      <c r="J545" s="95">
        <v>292.36</v>
      </c>
      <c r="K545" s="95">
        <v>37.94</v>
      </c>
      <c r="L545" s="95">
        <v>330.3</v>
      </c>
      <c r="M545" s="96">
        <v>0.27529999999999999</v>
      </c>
      <c r="N545" s="95">
        <v>186.42</v>
      </c>
      <c r="O545" s="95">
        <v>24.19</v>
      </c>
      <c r="P545" s="95">
        <v>210.60999999999999</v>
      </c>
      <c r="Q545" s="95">
        <v>372.84</v>
      </c>
      <c r="R545" s="95">
        <v>48.38</v>
      </c>
      <c r="S545" s="95">
        <v>421.21999999999997</v>
      </c>
    </row>
    <row r="546" spans="1:19" ht="15" x14ac:dyDescent="0.25">
      <c r="A546" s="90" t="s">
        <v>1537</v>
      </c>
      <c r="B546" s="90" t="s">
        <v>45</v>
      </c>
      <c r="C546" s="98" t="s">
        <v>1538</v>
      </c>
      <c r="D546" s="92" t="s">
        <v>1539</v>
      </c>
      <c r="E546" s="90" t="s">
        <v>16</v>
      </c>
      <c r="F546" s="99">
        <v>210</v>
      </c>
      <c r="G546" s="94">
        <v>201.4</v>
      </c>
      <c r="H546" s="94">
        <v>15.54</v>
      </c>
      <c r="I546" s="95">
        <v>216.94</v>
      </c>
      <c r="J546" s="95">
        <v>42294</v>
      </c>
      <c r="K546" s="95">
        <v>3263.4000000000015</v>
      </c>
      <c r="L546" s="95">
        <v>45557.4</v>
      </c>
      <c r="M546" s="96">
        <v>0.27529999999999999</v>
      </c>
      <c r="N546" s="95">
        <v>256.85000000000002</v>
      </c>
      <c r="O546" s="95">
        <v>19.82</v>
      </c>
      <c r="P546" s="95">
        <v>276.67</v>
      </c>
      <c r="Q546" s="95">
        <v>53938.5</v>
      </c>
      <c r="R546" s="95">
        <v>4162.2</v>
      </c>
      <c r="S546" s="95">
        <v>58100.7</v>
      </c>
    </row>
    <row r="547" spans="1:19" ht="15" x14ac:dyDescent="0.25">
      <c r="A547" s="90" t="s">
        <v>1540</v>
      </c>
      <c r="B547" s="90" t="s">
        <v>184</v>
      </c>
      <c r="C547" s="98" t="s">
        <v>1541</v>
      </c>
      <c r="D547" s="92" t="s">
        <v>1542</v>
      </c>
      <c r="E547" s="90" t="s">
        <v>16</v>
      </c>
      <c r="F547" s="99">
        <v>13</v>
      </c>
      <c r="G547" s="94">
        <v>645.63</v>
      </c>
      <c r="H547" s="94">
        <v>18.05</v>
      </c>
      <c r="I547" s="95">
        <v>663.68</v>
      </c>
      <c r="J547" s="95">
        <v>8393.19</v>
      </c>
      <c r="K547" s="95">
        <v>234.64999999999964</v>
      </c>
      <c r="L547" s="95">
        <v>8627.84</v>
      </c>
      <c r="M547" s="96">
        <v>0.27529999999999999</v>
      </c>
      <c r="N547" s="95">
        <v>823.37</v>
      </c>
      <c r="O547" s="95">
        <v>23.02</v>
      </c>
      <c r="P547" s="95">
        <v>846.39</v>
      </c>
      <c r="Q547" s="95">
        <v>10703.81</v>
      </c>
      <c r="R547" s="95">
        <v>299.26</v>
      </c>
      <c r="S547" s="95">
        <v>11003.07</v>
      </c>
    </row>
    <row r="548" spans="1:19" ht="15" x14ac:dyDescent="0.25">
      <c r="A548" s="90" t="s">
        <v>1543</v>
      </c>
      <c r="B548" s="90" t="s">
        <v>184</v>
      </c>
      <c r="C548" s="98" t="s">
        <v>1541</v>
      </c>
      <c r="D548" s="92" t="s">
        <v>1544</v>
      </c>
      <c r="E548" s="90" t="s">
        <v>16</v>
      </c>
      <c r="F548" s="99">
        <v>20</v>
      </c>
      <c r="G548" s="94">
        <v>645.63</v>
      </c>
      <c r="H548" s="94">
        <v>18.05</v>
      </c>
      <c r="I548" s="95">
        <v>663.68</v>
      </c>
      <c r="J548" s="95">
        <v>12912.6</v>
      </c>
      <c r="K548" s="95">
        <v>361</v>
      </c>
      <c r="L548" s="95">
        <v>13273.6</v>
      </c>
      <c r="M548" s="96">
        <v>0.27529999999999999</v>
      </c>
      <c r="N548" s="95">
        <v>823.37</v>
      </c>
      <c r="O548" s="95">
        <v>23.02</v>
      </c>
      <c r="P548" s="95">
        <v>846.39</v>
      </c>
      <c r="Q548" s="95">
        <v>16467.400000000001</v>
      </c>
      <c r="R548" s="95">
        <v>460.4</v>
      </c>
      <c r="S548" s="95">
        <v>16927.800000000003</v>
      </c>
    </row>
    <row r="549" spans="1:19" ht="15" x14ac:dyDescent="0.25">
      <c r="A549" s="90" t="s">
        <v>1545</v>
      </c>
      <c r="B549" s="90" t="s">
        <v>31</v>
      </c>
      <c r="C549" s="98" t="s">
        <v>1546</v>
      </c>
      <c r="D549" s="92" t="s">
        <v>1547</v>
      </c>
      <c r="E549" s="90" t="s">
        <v>16</v>
      </c>
      <c r="F549" s="99">
        <v>18</v>
      </c>
      <c r="G549" s="94">
        <v>2196.29</v>
      </c>
      <c r="H549" s="94">
        <v>124.53</v>
      </c>
      <c r="I549" s="95">
        <v>2320.8200000000002</v>
      </c>
      <c r="J549" s="95">
        <v>39533.22</v>
      </c>
      <c r="K549" s="95">
        <v>2241.5400000000009</v>
      </c>
      <c r="L549" s="95">
        <v>41774.76</v>
      </c>
      <c r="M549" s="96">
        <v>0.27529999999999999</v>
      </c>
      <c r="N549" s="95">
        <v>2800.93</v>
      </c>
      <c r="O549" s="95">
        <v>158.81</v>
      </c>
      <c r="P549" s="95">
        <v>2959.74</v>
      </c>
      <c r="Q549" s="95">
        <v>50416.74</v>
      </c>
      <c r="R549" s="95">
        <v>2858.58</v>
      </c>
      <c r="S549" s="95">
        <v>53275.32</v>
      </c>
    </row>
    <row r="550" spans="1:19" ht="15" x14ac:dyDescent="0.25">
      <c r="A550" s="90" t="s">
        <v>1548</v>
      </c>
      <c r="B550" s="90" t="s">
        <v>45</v>
      </c>
      <c r="C550" s="98" t="s">
        <v>1549</v>
      </c>
      <c r="D550" s="92" t="s">
        <v>1550</v>
      </c>
      <c r="E550" s="90" t="s">
        <v>16</v>
      </c>
      <c r="F550" s="99">
        <v>79</v>
      </c>
      <c r="G550" s="94">
        <v>2556.42</v>
      </c>
      <c r="H550" s="94">
        <v>201.62</v>
      </c>
      <c r="I550" s="95">
        <v>2758.04</v>
      </c>
      <c r="J550" s="95">
        <v>201957.18</v>
      </c>
      <c r="K550" s="95">
        <v>15927.98000000001</v>
      </c>
      <c r="L550" s="95">
        <v>217885.16</v>
      </c>
      <c r="M550" s="96">
        <v>0.27529999999999999</v>
      </c>
      <c r="N550" s="95">
        <v>3260.2</v>
      </c>
      <c r="O550" s="95">
        <v>257.13</v>
      </c>
      <c r="P550" s="95">
        <v>3517.33</v>
      </c>
      <c r="Q550" s="95">
        <v>257555.8</v>
      </c>
      <c r="R550" s="95">
        <v>20313.27</v>
      </c>
      <c r="S550" s="95">
        <v>277869.07</v>
      </c>
    </row>
    <row r="551" spans="1:19" ht="15" x14ac:dyDescent="0.25">
      <c r="A551" s="90" t="s">
        <v>1551</v>
      </c>
      <c r="B551" s="90" t="s">
        <v>104</v>
      </c>
      <c r="C551" s="98" t="s">
        <v>1552</v>
      </c>
      <c r="D551" s="92" t="s">
        <v>1553</v>
      </c>
      <c r="E551" s="90" t="s">
        <v>16</v>
      </c>
      <c r="F551" s="99">
        <v>79</v>
      </c>
      <c r="G551" s="94">
        <v>18.559999999999999</v>
      </c>
      <c r="H551" s="94">
        <v>0</v>
      </c>
      <c r="I551" s="95">
        <v>18.559999999999999</v>
      </c>
      <c r="J551" s="95">
        <v>1466.24</v>
      </c>
      <c r="K551" s="95">
        <v>0</v>
      </c>
      <c r="L551" s="95">
        <v>1466.24</v>
      </c>
      <c r="M551" s="96">
        <v>0.27529999999999999</v>
      </c>
      <c r="N551" s="95">
        <v>23.67</v>
      </c>
      <c r="O551" s="95">
        <v>0</v>
      </c>
      <c r="P551" s="95">
        <v>23.67</v>
      </c>
      <c r="Q551" s="95">
        <v>1869.93</v>
      </c>
      <c r="R551" s="95">
        <v>0</v>
      </c>
      <c r="S551" s="95">
        <v>1869.93</v>
      </c>
    </row>
    <row r="552" spans="1:19" ht="15" x14ac:dyDescent="0.25">
      <c r="A552" s="90" t="s">
        <v>1554</v>
      </c>
      <c r="B552" s="90" t="s">
        <v>104</v>
      </c>
      <c r="C552" s="98" t="s">
        <v>1555</v>
      </c>
      <c r="D552" s="92" t="s">
        <v>1556</v>
      </c>
      <c r="E552" s="90" t="s">
        <v>16</v>
      </c>
      <c r="F552" s="99">
        <v>79</v>
      </c>
      <c r="G552" s="94">
        <v>11.09</v>
      </c>
      <c r="H552" s="94">
        <v>0</v>
      </c>
      <c r="I552" s="95">
        <v>11.09</v>
      </c>
      <c r="J552" s="95">
        <v>876.11</v>
      </c>
      <c r="K552" s="95">
        <v>0</v>
      </c>
      <c r="L552" s="95">
        <v>876.11</v>
      </c>
      <c r="M552" s="96">
        <v>0.27529999999999999</v>
      </c>
      <c r="N552" s="95">
        <v>14.14</v>
      </c>
      <c r="O552" s="95">
        <v>0</v>
      </c>
      <c r="P552" s="95">
        <v>14.14</v>
      </c>
      <c r="Q552" s="95">
        <v>1117.06</v>
      </c>
      <c r="R552" s="95">
        <v>0</v>
      </c>
      <c r="S552" s="95">
        <v>1117.06</v>
      </c>
    </row>
    <row r="553" spans="1:19" ht="15" x14ac:dyDescent="0.25">
      <c r="A553" s="90" t="s">
        <v>1557</v>
      </c>
      <c r="B553" s="90" t="s">
        <v>104</v>
      </c>
      <c r="C553" s="98" t="s">
        <v>1558</v>
      </c>
      <c r="D553" s="92" t="s">
        <v>1559</v>
      </c>
      <c r="E553" s="90" t="s">
        <v>16</v>
      </c>
      <c r="F553" s="99">
        <v>2</v>
      </c>
      <c r="G553" s="94">
        <v>11.09</v>
      </c>
      <c r="H553" s="94">
        <v>0</v>
      </c>
      <c r="I553" s="95">
        <v>11.09</v>
      </c>
      <c r="J553" s="95">
        <v>22.18</v>
      </c>
      <c r="K553" s="95">
        <v>0</v>
      </c>
      <c r="L553" s="95">
        <v>22.18</v>
      </c>
      <c r="M553" s="96">
        <v>0.27529999999999999</v>
      </c>
      <c r="N553" s="95">
        <v>14.14</v>
      </c>
      <c r="O553" s="95">
        <v>0</v>
      </c>
      <c r="P553" s="95">
        <v>14.14</v>
      </c>
      <c r="Q553" s="95">
        <v>28.28</v>
      </c>
      <c r="R553" s="95">
        <v>0</v>
      </c>
      <c r="S553" s="95">
        <v>28.28</v>
      </c>
    </row>
    <row r="554" spans="1:19" ht="15" x14ac:dyDescent="0.25">
      <c r="A554" s="90" t="s">
        <v>1560</v>
      </c>
      <c r="B554" s="90" t="s">
        <v>45</v>
      </c>
      <c r="C554" s="98" t="s">
        <v>1561</v>
      </c>
      <c r="D554" s="92" t="s">
        <v>1562</v>
      </c>
      <c r="E554" s="90" t="s">
        <v>16</v>
      </c>
      <c r="F554" s="99">
        <v>19</v>
      </c>
      <c r="G554" s="94">
        <v>17.93</v>
      </c>
      <c r="H554" s="94">
        <v>5.54</v>
      </c>
      <c r="I554" s="95">
        <v>23.47</v>
      </c>
      <c r="J554" s="95">
        <v>340.67</v>
      </c>
      <c r="K554" s="95">
        <v>105.25999999999999</v>
      </c>
      <c r="L554" s="95">
        <v>445.93</v>
      </c>
      <c r="M554" s="96">
        <v>0.27529999999999999</v>
      </c>
      <c r="N554" s="95">
        <v>22.87</v>
      </c>
      <c r="O554" s="95">
        <v>7.07</v>
      </c>
      <c r="P554" s="95">
        <v>29.94</v>
      </c>
      <c r="Q554" s="95">
        <v>434.53</v>
      </c>
      <c r="R554" s="95">
        <v>134.33000000000001</v>
      </c>
      <c r="S554" s="95">
        <v>568.86</v>
      </c>
    </row>
    <row r="555" spans="1:19" ht="15" x14ac:dyDescent="0.25">
      <c r="A555" s="90" t="s">
        <v>1563</v>
      </c>
      <c r="B555" s="90" t="s">
        <v>104</v>
      </c>
      <c r="C555" s="98" t="s">
        <v>1564</v>
      </c>
      <c r="D555" s="92" t="s">
        <v>1565</v>
      </c>
      <c r="E555" s="90" t="s">
        <v>16</v>
      </c>
      <c r="F555" s="99">
        <v>262</v>
      </c>
      <c r="G555" s="94">
        <v>18.559999999999999</v>
      </c>
      <c r="H555" s="94">
        <v>0</v>
      </c>
      <c r="I555" s="95">
        <v>18.559999999999999</v>
      </c>
      <c r="J555" s="95">
        <v>4862.72</v>
      </c>
      <c r="K555" s="95">
        <v>0</v>
      </c>
      <c r="L555" s="95">
        <v>4862.72</v>
      </c>
      <c r="M555" s="96">
        <v>0.27529999999999999</v>
      </c>
      <c r="N555" s="95">
        <v>23.67</v>
      </c>
      <c r="O555" s="95">
        <v>0</v>
      </c>
      <c r="P555" s="95">
        <v>23.67</v>
      </c>
      <c r="Q555" s="95">
        <v>6201.54</v>
      </c>
      <c r="R555" s="95">
        <v>0</v>
      </c>
      <c r="S555" s="95">
        <v>6201.54</v>
      </c>
    </row>
    <row r="556" spans="1:19" ht="15" x14ac:dyDescent="0.25">
      <c r="A556" s="90" t="s">
        <v>1566</v>
      </c>
      <c r="B556" s="90" t="s">
        <v>104</v>
      </c>
      <c r="C556" s="98" t="s">
        <v>1567</v>
      </c>
      <c r="D556" s="92" t="s">
        <v>1568</v>
      </c>
      <c r="E556" s="90" t="s">
        <v>16</v>
      </c>
      <c r="F556" s="99">
        <v>79</v>
      </c>
      <c r="G556" s="94">
        <v>18.559999999999999</v>
      </c>
      <c r="H556" s="94">
        <v>0</v>
      </c>
      <c r="I556" s="95">
        <v>18.559999999999999</v>
      </c>
      <c r="J556" s="95">
        <v>1466.24</v>
      </c>
      <c r="K556" s="95">
        <v>0</v>
      </c>
      <c r="L556" s="95">
        <v>1466.24</v>
      </c>
      <c r="M556" s="96">
        <v>0.27529999999999999</v>
      </c>
      <c r="N556" s="95">
        <v>23.67</v>
      </c>
      <c r="O556" s="95">
        <v>0</v>
      </c>
      <c r="P556" s="95">
        <v>23.67</v>
      </c>
      <c r="Q556" s="95">
        <v>1869.93</v>
      </c>
      <c r="R556" s="95">
        <v>0</v>
      </c>
      <c r="S556" s="95">
        <v>1869.93</v>
      </c>
    </row>
    <row r="557" spans="1:19" ht="15" x14ac:dyDescent="0.25">
      <c r="A557" s="90" t="s">
        <v>1569</v>
      </c>
      <c r="B557" s="90" t="s">
        <v>104</v>
      </c>
      <c r="C557" s="98" t="s">
        <v>1570</v>
      </c>
      <c r="D557" s="92" t="s">
        <v>1571</v>
      </c>
      <c r="E557" s="90" t="s">
        <v>16</v>
      </c>
      <c r="F557" s="99">
        <v>18</v>
      </c>
      <c r="G557" s="94">
        <v>24.99</v>
      </c>
      <c r="H557" s="94">
        <v>0</v>
      </c>
      <c r="I557" s="95">
        <v>24.99</v>
      </c>
      <c r="J557" s="95">
        <v>449.82</v>
      </c>
      <c r="K557" s="95">
        <v>0</v>
      </c>
      <c r="L557" s="95">
        <v>449.82</v>
      </c>
      <c r="M557" s="96">
        <v>0.27529999999999999</v>
      </c>
      <c r="N557" s="95">
        <v>31.87</v>
      </c>
      <c r="O557" s="95">
        <v>0</v>
      </c>
      <c r="P557" s="95">
        <v>31.87</v>
      </c>
      <c r="Q557" s="95">
        <v>573.66</v>
      </c>
      <c r="R557" s="95">
        <v>0</v>
      </c>
      <c r="S557" s="95">
        <v>573.66</v>
      </c>
    </row>
    <row r="558" spans="1:19" ht="15" x14ac:dyDescent="0.25">
      <c r="A558" s="90" t="s">
        <v>1572</v>
      </c>
      <c r="B558" s="90" t="s">
        <v>45</v>
      </c>
      <c r="C558" s="98" t="s">
        <v>1573</v>
      </c>
      <c r="D558" s="92" t="s">
        <v>1574</v>
      </c>
      <c r="E558" s="90" t="s">
        <v>16</v>
      </c>
      <c r="F558" s="99">
        <v>22</v>
      </c>
      <c r="G558" s="94">
        <v>22.39</v>
      </c>
      <c r="H558" s="94">
        <v>5.54</v>
      </c>
      <c r="I558" s="95">
        <v>27.93</v>
      </c>
      <c r="J558" s="95">
        <v>492.58</v>
      </c>
      <c r="K558" s="95">
        <v>121.88000000000005</v>
      </c>
      <c r="L558" s="95">
        <v>614.46</v>
      </c>
      <c r="M558" s="96">
        <v>0.27529999999999999</v>
      </c>
      <c r="N558" s="95">
        <v>28.55</v>
      </c>
      <c r="O558" s="95">
        <v>7.07</v>
      </c>
      <c r="P558" s="95">
        <v>35.620000000000005</v>
      </c>
      <c r="Q558" s="95">
        <v>628.1</v>
      </c>
      <c r="R558" s="95">
        <v>155.54</v>
      </c>
      <c r="S558" s="95">
        <v>783.64</v>
      </c>
    </row>
    <row r="559" spans="1:19" ht="15" x14ac:dyDescent="0.25">
      <c r="A559" s="90" t="s">
        <v>1575</v>
      </c>
      <c r="B559" s="90" t="s">
        <v>104</v>
      </c>
      <c r="C559" s="98" t="s">
        <v>1576</v>
      </c>
      <c r="D559" s="92" t="s">
        <v>1577</v>
      </c>
      <c r="E559" s="90" t="s">
        <v>16</v>
      </c>
      <c r="F559" s="99">
        <v>18</v>
      </c>
      <c r="G559" s="94">
        <v>34.270000000000003</v>
      </c>
      <c r="H559" s="94">
        <v>0</v>
      </c>
      <c r="I559" s="95">
        <v>34.270000000000003</v>
      </c>
      <c r="J559" s="95">
        <v>616.86</v>
      </c>
      <c r="K559" s="95">
        <v>0</v>
      </c>
      <c r="L559" s="95">
        <v>616.86</v>
      </c>
      <c r="M559" s="96">
        <v>0.27529999999999999</v>
      </c>
      <c r="N559" s="95">
        <v>43.7</v>
      </c>
      <c r="O559" s="95">
        <v>0</v>
      </c>
      <c r="P559" s="95">
        <v>43.7</v>
      </c>
      <c r="Q559" s="95">
        <v>786.6</v>
      </c>
      <c r="R559" s="95">
        <v>0</v>
      </c>
      <c r="S559" s="95">
        <v>786.6</v>
      </c>
    </row>
    <row r="560" spans="1:19" ht="15" x14ac:dyDescent="0.25">
      <c r="A560" s="90" t="s">
        <v>1578</v>
      </c>
      <c r="B560" s="90" t="s">
        <v>45</v>
      </c>
      <c r="C560" s="98" t="s">
        <v>1561</v>
      </c>
      <c r="D560" s="92" t="s">
        <v>1579</v>
      </c>
      <c r="E560" s="90" t="s">
        <v>16</v>
      </c>
      <c r="F560" s="99">
        <v>19</v>
      </c>
      <c r="G560" s="94">
        <v>17.93</v>
      </c>
      <c r="H560" s="94">
        <v>5.54</v>
      </c>
      <c r="I560" s="95">
        <v>23.47</v>
      </c>
      <c r="J560" s="95">
        <v>340.67</v>
      </c>
      <c r="K560" s="95">
        <v>105.25999999999999</v>
      </c>
      <c r="L560" s="95">
        <v>445.93</v>
      </c>
      <c r="M560" s="96">
        <v>0.27529999999999999</v>
      </c>
      <c r="N560" s="95">
        <v>22.87</v>
      </c>
      <c r="O560" s="95">
        <v>7.07</v>
      </c>
      <c r="P560" s="95">
        <v>29.94</v>
      </c>
      <c r="Q560" s="95">
        <v>434.53</v>
      </c>
      <c r="R560" s="95">
        <v>134.33000000000001</v>
      </c>
      <c r="S560" s="95">
        <v>568.86</v>
      </c>
    </row>
    <row r="561" spans="1:19" ht="15" x14ac:dyDescent="0.25">
      <c r="A561" s="90" t="s">
        <v>1580</v>
      </c>
      <c r="B561" s="90" t="s">
        <v>31</v>
      </c>
      <c r="C561" s="98" t="s">
        <v>1581</v>
      </c>
      <c r="D561" s="92" t="s">
        <v>1582</v>
      </c>
      <c r="E561" s="90" t="s">
        <v>93</v>
      </c>
      <c r="F561" s="99">
        <v>8.33</v>
      </c>
      <c r="G561" s="94">
        <v>22.13</v>
      </c>
      <c r="H561" s="94">
        <v>6.7</v>
      </c>
      <c r="I561" s="95">
        <v>28.83</v>
      </c>
      <c r="J561" s="95">
        <v>184.34</v>
      </c>
      <c r="K561" s="95">
        <v>55.81</v>
      </c>
      <c r="L561" s="95">
        <v>240.15</v>
      </c>
      <c r="M561" s="96">
        <v>0.27529999999999999</v>
      </c>
      <c r="N561" s="95">
        <v>28.22</v>
      </c>
      <c r="O561" s="95">
        <v>8.5399999999999991</v>
      </c>
      <c r="P561" s="95">
        <v>36.76</v>
      </c>
      <c r="Q561" s="95">
        <v>235.07</v>
      </c>
      <c r="R561" s="95">
        <v>71.14</v>
      </c>
      <c r="S561" s="95">
        <v>306.20999999999998</v>
      </c>
    </row>
    <row r="562" spans="1:19" ht="15" x14ac:dyDescent="0.25">
      <c r="A562" s="90" t="s">
        <v>1583</v>
      </c>
      <c r="B562" s="90" t="s">
        <v>31</v>
      </c>
      <c r="C562" s="98" t="s">
        <v>1584</v>
      </c>
      <c r="D562" s="92" t="s">
        <v>1585</v>
      </c>
      <c r="E562" s="90" t="s">
        <v>93</v>
      </c>
      <c r="F562" s="99">
        <v>6019</v>
      </c>
      <c r="G562" s="94">
        <v>40.53</v>
      </c>
      <c r="H562" s="94">
        <v>10.07</v>
      </c>
      <c r="I562" s="95">
        <v>50.6</v>
      </c>
      <c r="J562" s="95">
        <v>243950.07</v>
      </c>
      <c r="K562" s="95">
        <v>60611.330000000016</v>
      </c>
      <c r="L562" s="95">
        <v>304561.40000000002</v>
      </c>
      <c r="M562" s="96">
        <v>0.27529999999999999</v>
      </c>
      <c r="N562" s="95">
        <v>51.69</v>
      </c>
      <c r="O562" s="95">
        <v>12.84</v>
      </c>
      <c r="P562" s="95">
        <v>64.53</v>
      </c>
      <c r="Q562" s="95">
        <v>311122.11</v>
      </c>
      <c r="R562" s="95">
        <v>77283.960000000006</v>
      </c>
      <c r="S562" s="95">
        <v>388406.07</v>
      </c>
    </row>
    <row r="563" spans="1:19" ht="15" x14ac:dyDescent="0.25">
      <c r="A563" s="90" t="s">
        <v>1586</v>
      </c>
      <c r="B563" s="90" t="s">
        <v>31</v>
      </c>
      <c r="C563" s="98" t="s">
        <v>1587</v>
      </c>
      <c r="D563" s="92" t="s">
        <v>1588</v>
      </c>
      <c r="E563" s="90" t="s">
        <v>93</v>
      </c>
      <c r="F563" s="99">
        <v>520</v>
      </c>
      <c r="G563" s="94">
        <v>50.31</v>
      </c>
      <c r="H563" s="94">
        <v>10.66</v>
      </c>
      <c r="I563" s="95">
        <v>60.97</v>
      </c>
      <c r="J563" s="95">
        <v>26161.200000000001</v>
      </c>
      <c r="K563" s="95">
        <v>5543.2000000000007</v>
      </c>
      <c r="L563" s="95">
        <v>31704.400000000001</v>
      </c>
      <c r="M563" s="96">
        <v>0.27529999999999999</v>
      </c>
      <c r="N563" s="95">
        <v>64.16</v>
      </c>
      <c r="O563" s="95">
        <v>13.59</v>
      </c>
      <c r="P563" s="95">
        <v>77.75</v>
      </c>
      <c r="Q563" s="95">
        <v>33363.199999999997</v>
      </c>
      <c r="R563" s="95">
        <v>7066.8</v>
      </c>
      <c r="S563" s="95">
        <v>40430</v>
      </c>
    </row>
    <row r="564" spans="1:19" ht="15" x14ac:dyDescent="0.25">
      <c r="A564" s="90" t="s">
        <v>1589</v>
      </c>
      <c r="B564" s="90" t="s">
        <v>31</v>
      </c>
      <c r="C564" s="98" t="s">
        <v>1590</v>
      </c>
      <c r="D564" s="92" t="s">
        <v>1591</v>
      </c>
      <c r="E564" s="90" t="s">
        <v>93</v>
      </c>
      <c r="F564" s="99">
        <v>502</v>
      </c>
      <c r="G564" s="94">
        <v>82.01</v>
      </c>
      <c r="H564" s="94">
        <v>12.13</v>
      </c>
      <c r="I564" s="95">
        <v>94.14</v>
      </c>
      <c r="J564" s="95">
        <v>41169.019999999997</v>
      </c>
      <c r="K564" s="95">
        <v>6089.260000000002</v>
      </c>
      <c r="L564" s="95">
        <v>47258.28</v>
      </c>
      <c r="M564" s="96">
        <v>0.27529999999999999</v>
      </c>
      <c r="N564" s="95">
        <v>104.59</v>
      </c>
      <c r="O564" s="95">
        <v>15.47</v>
      </c>
      <c r="P564" s="95">
        <v>120.06</v>
      </c>
      <c r="Q564" s="95">
        <v>52504.18</v>
      </c>
      <c r="R564" s="95">
        <v>7765.94</v>
      </c>
      <c r="S564" s="95">
        <v>60270.12</v>
      </c>
    </row>
    <row r="565" spans="1:19" ht="15" x14ac:dyDescent="0.25">
      <c r="A565" s="90" t="s">
        <v>1592</v>
      </c>
      <c r="B565" s="90" t="s">
        <v>31</v>
      </c>
      <c r="C565" s="98" t="s">
        <v>1593</v>
      </c>
      <c r="D565" s="92" t="s">
        <v>1594</v>
      </c>
      <c r="E565" s="90" t="s">
        <v>93</v>
      </c>
      <c r="F565" s="99">
        <v>3081</v>
      </c>
      <c r="G565" s="94">
        <v>101.11</v>
      </c>
      <c r="H565" s="94">
        <v>13.37</v>
      </c>
      <c r="I565" s="95">
        <v>114.48</v>
      </c>
      <c r="J565" s="95">
        <v>311519.90999999997</v>
      </c>
      <c r="K565" s="95">
        <v>41192.97000000003</v>
      </c>
      <c r="L565" s="95">
        <v>352712.88</v>
      </c>
      <c r="M565" s="96">
        <v>0.27529999999999999</v>
      </c>
      <c r="N565" s="95">
        <v>128.94999999999999</v>
      </c>
      <c r="O565" s="95">
        <v>17.05</v>
      </c>
      <c r="P565" s="95">
        <v>146</v>
      </c>
      <c r="Q565" s="95">
        <v>397294.95</v>
      </c>
      <c r="R565" s="95">
        <v>52531.05</v>
      </c>
      <c r="S565" s="95">
        <v>449826</v>
      </c>
    </row>
    <row r="566" spans="1:19" ht="15" x14ac:dyDescent="0.25">
      <c r="A566" s="90" t="s">
        <v>1595</v>
      </c>
      <c r="B566" s="90" t="s">
        <v>31</v>
      </c>
      <c r="C566" s="98" t="s">
        <v>1596</v>
      </c>
      <c r="D566" s="92" t="s">
        <v>1597</v>
      </c>
      <c r="E566" s="90" t="s">
        <v>93</v>
      </c>
      <c r="F566" s="99">
        <v>461</v>
      </c>
      <c r="G566" s="94">
        <v>134.72</v>
      </c>
      <c r="H566" s="94">
        <v>14.57</v>
      </c>
      <c r="I566" s="95">
        <v>149.29</v>
      </c>
      <c r="J566" s="95">
        <v>62105.919999999998</v>
      </c>
      <c r="K566" s="95">
        <v>6716.7700000000041</v>
      </c>
      <c r="L566" s="95">
        <v>68822.69</v>
      </c>
      <c r="M566" s="96">
        <v>0.27529999999999999</v>
      </c>
      <c r="N566" s="95">
        <v>171.81</v>
      </c>
      <c r="O566" s="95">
        <v>18.579999999999998</v>
      </c>
      <c r="P566" s="95">
        <v>190.39</v>
      </c>
      <c r="Q566" s="95">
        <v>79204.41</v>
      </c>
      <c r="R566" s="95">
        <v>8565.3799999999992</v>
      </c>
      <c r="S566" s="95">
        <v>87769.790000000008</v>
      </c>
    </row>
    <row r="567" spans="1:19" ht="15" x14ac:dyDescent="0.25">
      <c r="A567" s="90" t="s">
        <v>1598</v>
      </c>
      <c r="B567" s="90" t="s">
        <v>31</v>
      </c>
      <c r="C567" s="98" t="s">
        <v>1599</v>
      </c>
      <c r="D567" s="92" t="s">
        <v>1600</v>
      </c>
      <c r="E567" s="90" t="s">
        <v>93</v>
      </c>
      <c r="F567" s="99">
        <v>476</v>
      </c>
      <c r="G567" s="94">
        <v>182.5</v>
      </c>
      <c r="H567" s="94">
        <v>12.35</v>
      </c>
      <c r="I567" s="95">
        <v>194.85</v>
      </c>
      <c r="J567" s="95">
        <v>86870</v>
      </c>
      <c r="K567" s="95">
        <v>5878.6000000000058</v>
      </c>
      <c r="L567" s="95">
        <v>92748.6</v>
      </c>
      <c r="M567" s="96">
        <v>0.27529999999999999</v>
      </c>
      <c r="N567" s="95">
        <v>232.74</v>
      </c>
      <c r="O567" s="95">
        <v>15.75</v>
      </c>
      <c r="P567" s="95">
        <v>248.49</v>
      </c>
      <c r="Q567" s="95">
        <v>110784.24</v>
      </c>
      <c r="R567" s="95">
        <v>7497</v>
      </c>
      <c r="S567" s="95">
        <v>118281.24</v>
      </c>
    </row>
    <row r="568" spans="1:19" ht="15" x14ac:dyDescent="0.25">
      <c r="A568" s="90" t="s">
        <v>1601</v>
      </c>
      <c r="B568" s="90" t="s">
        <v>184</v>
      </c>
      <c r="C568" s="98" t="s">
        <v>1602</v>
      </c>
      <c r="D568" s="92" t="s">
        <v>1603</v>
      </c>
      <c r="E568" s="90" t="s">
        <v>93</v>
      </c>
      <c r="F568" s="99">
        <v>1211</v>
      </c>
      <c r="G568" s="94">
        <v>298.89</v>
      </c>
      <c r="H568" s="94">
        <v>28.15</v>
      </c>
      <c r="I568" s="95">
        <v>327.03999999999996</v>
      </c>
      <c r="J568" s="95">
        <v>361955.79</v>
      </c>
      <c r="K568" s="95">
        <v>34089.650000000023</v>
      </c>
      <c r="L568" s="95">
        <v>396045.44</v>
      </c>
      <c r="M568" s="96">
        <v>0.27529999999999999</v>
      </c>
      <c r="N568" s="95">
        <v>381.17</v>
      </c>
      <c r="O568" s="95">
        <v>35.9</v>
      </c>
      <c r="P568" s="95">
        <v>417.07</v>
      </c>
      <c r="Q568" s="95">
        <v>461596.87</v>
      </c>
      <c r="R568" s="95">
        <v>43474.9</v>
      </c>
      <c r="S568" s="95">
        <v>505071.77</v>
      </c>
    </row>
    <row r="569" spans="1:19" ht="15" x14ac:dyDescent="0.25">
      <c r="A569" s="90" t="s">
        <v>1604</v>
      </c>
      <c r="B569" s="90" t="s">
        <v>706</v>
      </c>
      <c r="C569" s="98" t="s">
        <v>1605</v>
      </c>
      <c r="D569" s="92" t="s">
        <v>1606</v>
      </c>
      <c r="E569" s="90" t="s">
        <v>16</v>
      </c>
      <c r="F569" s="99">
        <v>81</v>
      </c>
      <c r="G569" s="94">
        <v>873.75</v>
      </c>
      <c r="H569" s="94">
        <v>44.58</v>
      </c>
      <c r="I569" s="95">
        <v>918.33</v>
      </c>
      <c r="J569" s="95">
        <v>70773.75</v>
      </c>
      <c r="K569" s="95">
        <v>3610.9799999999959</v>
      </c>
      <c r="L569" s="95">
        <v>74384.73</v>
      </c>
      <c r="M569" s="96">
        <v>0.27529999999999999</v>
      </c>
      <c r="N569" s="95">
        <v>1114.29</v>
      </c>
      <c r="O569" s="95">
        <v>56.85</v>
      </c>
      <c r="P569" s="95">
        <v>1171.1399999999999</v>
      </c>
      <c r="Q569" s="95">
        <v>90257.49</v>
      </c>
      <c r="R569" s="95">
        <v>4604.8500000000004</v>
      </c>
      <c r="S569" s="95">
        <v>94862.340000000011</v>
      </c>
    </row>
    <row r="570" spans="1:19" ht="15" x14ac:dyDescent="0.25">
      <c r="A570" s="90" t="s">
        <v>1607</v>
      </c>
      <c r="B570" s="90" t="s">
        <v>104</v>
      </c>
      <c r="C570" s="98" t="s">
        <v>1608</v>
      </c>
      <c r="D570" s="92" t="s">
        <v>1609</v>
      </c>
      <c r="E570" s="90" t="s">
        <v>1610</v>
      </c>
      <c r="F570" s="99">
        <v>2</v>
      </c>
      <c r="G570" s="94">
        <v>1029.27</v>
      </c>
      <c r="H570" s="94">
        <v>191.19</v>
      </c>
      <c r="I570" s="95">
        <v>1220.46</v>
      </c>
      <c r="J570" s="95">
        <v>2058.54</v>
      </c>
      <c r="K570" s="95">
        <v>382.38000000000011</v>
      </c>
      <c r="L570" s="95">
        <v>2440.92</v>
      </c>
      <c r="M570" s="96">
        <v>0.27529999999999999</v>
      </c>
      <c r="N570" s="95">
        <v>1312.63</v>
      </c>
      <c r="O570" s="95">
        <v>243.82</v>
      </c>
      <c r="P570" s="95">
        <v>1556.45</v>
      </c>
      <c r="Q570" s="95">
        <v>2625.26</v>
      </c>
      <c r="R570" s="95">
        <v>487.64</v>
      </c>
      <c r="S570" s="95">
        <v>3112.9</v>
      </c>
    </row>
    <row r="571" spans="1:19" ht="15" x14ac:dyDescent="0.25">
      <c r="A571" s="90" t="s">
        <v>1611</v>
      </c>
      <c r="B571" s="90" t="s">
        <v>45</v>
      </c>
      <c r="C571" s="98" t="s">
        <v>1612</v>
      </c>
      <c r="D571" s="92" t="s">
        <v>1613</v>
      </c>
      <c r="E571" s="90" t="s">
        <v>16</v>
      </c>
      <c r="F571" s="99">
        <v>15</v>
      </c>
      <c r="G571" s="94">
        <v>2087.5300000000002</v>
      </c>
      <c r="H571" s="94">
        <v>135.63</v>
      </c>
      <c r="I571" s="95">
        <v>2223.1600000000003</v>
      </c>
      <c r="J571" s="95">
        <v>31312.95</v>
      </c>
      <c r="K571" s="95">
        <v>2034.4500000000007</v>
      </c>
      <c r="L571" s="95">
        <v>33347.4</v>
      </c>
      <c r="M571" s="96">
        <v>0.27529999999999999</v>
      </c>
      <c r="N571" s="95">
        <v>2662.23</v>
      </c>
      <c r="O571" s="95">
        <v>172.97</v>
      </c>
      <c r="P571" s="95">
        <v>2835.2</v>
      </c>
      <c r="Q571" s="95">
        <v>39933.449999999997</v>
      </c>
      <c r="R571" s="95">
        <v>2594.5500000000002</v>
      </c>
      <c r="S571" s="95">
        <v>42528</v>
      </c>
    </row>
    <row r="572" spans="1:19" ht="15" x14ac:dyDescent="0.25">
      <c r="A572" s="90" t="s">
        <v>1614</v>
      </c>
      <c r="B572" s="90" t="s">
        <v>45</v>
      </c>
      <c r="C572" s="98" t="s">
        <v>1615</v>
      </c>
      <c r="D572" s="92" t="s">
        <v>1616</v>
      </c>
      <c r="E572" s="90" t="s">
        <v>16</v>
      </c>
      <c r="F572" s="99">
        <v>9</v>
      </c>
      <c r="G572" s="94">
        <v>476.2</v>
      </c>
      <c r="H572" s="94">
        <v>44.82</v>
      </c>
      <c r="I572" s="95">
        <v>521.02</v>
      </c>
      <c r="J572" s="95">
        <v>4285.8</v>
      </c>
      <c r="K572" s="95">
        <v>403.38000000000011</v>
      </c>
      <c r="L572" s="95">
        <v>4689.18</v>
      </c>
      <c r="M572" s="96">
        <v>0.27529999999999999</v>
      </c>
      <c r="N572" s="95">
        <v>607.29999999999995</v>
      </c>
      <c r="O572" s="95">
        <v>57.16</v>
      </c>
      <c r="P572" s="95">
        <v>664.45999999999992</v>
      </c>
      <c r="Q572" s="95">
        <v>5465.7</v>
      </c>
      <c r="R572" s="95">
        <v>514.44000000000005</v>
      </c>
      <c r="S572" s="95">
        <v>5980.1399999999994</v>
      </c>
    </row>
    <row r="573" spans="1:19" ht="15" x14ac:dyDescent="0.25">
      <c r="A573" s="90" t="s">
        <v>1617</v>
      </c>
      <c r="B573" s="90" t="s">
        <v>706</v>
      </c>
      <c r="C573" s="98" t="s">
        <v>1618</v>
      </c>
      <c r="D573" s="92" t="s">
        <v>1619</v>
      </c>
      <c r="E573" s="90" t="s">
        <v>16</v>
      </c>
      <c r="F573" s="99">
        <v>2</v>
      </c>
      <c r="G573" s="94">
        <v>289.04000000000002</v>
      </c>
      <c r="H573" s="94">
        <v>57.38</v>
      </c>
      <c r="I573" s="95">
        <v>346.42</v>
      </c>
      <c r="J573" s="95">
        <v>578.08000000000004</v>
      </c>
      <c r="K573" s="95">
        <v>114.75999999999999</v>
      </c>
      <c r="L573" s="95">
        <v>692.84</v>
      </c>
      <c r="M573" s="96">
        <v>0.27529999999999999</v>
      </c>
      <c r="N573" s="95">
        <v>368.61</v>
      </c>
      <c r="O573" s="95">
        <v>73.180000000000007</v>
      </c>
      <c r="P573" s="95">
        <v>441.79</v>
      </c>
      <c r="Q573" s="95">
        <v>737.22</v>
      </c>
      <c r="R573" s="95">
        <v>146.36000000000001</v>
      </c>
      <c r="S573" s="95">
        <v>883.58</v>
      </c>
    </row>
    <row r="574" spans="1:19" ht="15" x14ac:dyDescent="0.25">
      <c r="A574" s="90" t="s">
        <v>1620</v>
      </c>
      <c r="B574" s="90" t="s">
        <v>382</v>
      </c>
      <c r="C574" s="98" t="s">
        <v>1621</v>
      </c>
      <c r="D574" s="92" t="s">
        <v>1622</v>
      </c>
      <c r="E574" s="90" t="s">
        <v>16</v>
      </c>
      <c r="F574" s="99">
        <v>2</v>
      </c>
      <c r="G574" s="94">
        <v>1013.02</v>
      </c>
      <c r="H574" s="94">
        <v>77.540000000000006</v>
      </c>
      <c r="I574" s="95">
        <v>1090.56</v>
      </c>
      <c r="J574" s="95">
        <v>2026.04</v>
      </c>
      <c r="K574" s="95">
        <v>155.07999999999993</v>
      </c>
      <c r="L574" s="95">
        <v>2181.12</v>
      </c>
      <c r="M574" s="96">
        <v>0.27529999999999999</v>
      </c>
      <c r="N574" s="95">
        <v>1291.9000000000001</v>
      </c>
      <c r="O574" s="95">
        <v>98.89</v>
      </c>
      <c r="P574" s="95">
        <v>1390.7900000000002</v>
      </c>
      <c r="Q574" s="95">
        <v>2583.8000000000002</v>
      </c>
      <c r="R574" s="95">
        <v>197.78</v>
      </c>
      <c r="S574" s="95">
        <v>2781.5800000000004</v>
      </c>
    </row>
    <row r="575" spans="1:19" ht="15" x14ac:dyDescent="0.25">
      <c r="A575" s="90" t="s">
        <v>1623</v>
      </c>
      <c r="B575" s="90" t="s">
        <v>1476</v>
      </c>
      <c r="C575" s="98" t="s">
        <v>1624</v>
      </c>
      <c r="D575" s="92" t="s">
        <v>1625</v>
      </c>
      <c r="E575" s="90" t="s">
        <v>16</v>
      </c>
      <c r="F575" s="99">
        <v>14</v>
      </c>
      <c r="G575" s="94">
        <v>113.55</v>
      </c>
      <c r="H575" s="94">
        <v>0</v>
      </c>
      <c r="I575" s="95">
        <v>113.55</v>
      </c>
      <c r="J575" s="95">
        <v>1589.7</v>
      </c>
      <c r="K575" s="95">
        <v>0</v>
      </c>
      <c r="L575" s="95">
        <v>1589.7</v>
      </c>
      <c r="M575" s="96">
        <v>0.27529999999999999</v>
      </c>
      <c r="N575" s="95">
        <v>144.81</v>
      </c>
      <c r="O575" s="95">
        <v>0</v>
      </c>
      <c r="P575" s="95">
        <v>144.81</v>
      </c>
      <c r="Q575" s="95">
        <v>2027.34</v>
      </c>
      <c r="R575" s="95">
        <v>0</v>
      </c>
      <c r="S575" s="95">
        <v>2027.34</v>
      </c>
    </row>
    <row r="576" spans="1:19" ht="15" x14ac:dyDescent="0.25">
      <c r="A576" s="90" t="s">
        <v>1626</v>
      </c>
      <c r="B576" s="90" t="s">
        <v>45</v>
      </c>
      <c r="C576" s="98" t="s">
        <v>1627</v>
      </c>
      <c r="D576" s="92" t="s">
        <v>1628</v>
      </c>
      <c r="E576" s="90" t="s">
        <v>16</v>
      </c>
      <c r="F576" s="99">
        <v>2</v>
      </c>
      <c r="G576" s="94">
        <v>608.71</v>
      </c>
      <c r="H576" s="94">
        <v>17.440000000000001</v>
      </c>
      <c r="I576" s="95">
        <v>626.15000000000009</v>
      </c>
      <c r="J576" s="95">
        <v>1217.42</v>
      </c>
      <c r="K576" s="95">
        <v>34.879999999999882</v>
      </c>
      <c r="L576" s="95">
        <v>1252.3</v>
      </c>
      <c r="M576" s="96">
        <v>0.27529999999999999</v>
      </c>
      <c r="N576" s="95">
        <v>776.29</v>
      </c>
      <c r="O576" s="95">
        <v>22.24</v>
      </c>
      <c r="P576" s="95">
        <v>798.53</v>
      </c>
      <c r="Q576" s="95">
        <v>1552.58</v>
      </c>
      <c r="R576" s="95">
        <v>44.48</v>
      </c>
      <c r="S576" s="95">
        <v>1597.06</v>
      </c>
    </row>
    <row r="577" spans="1:19" ht="15" x14ac:dyDescent="0.25">
      <c r="A577" s="90" t="s">
        <v>1629</v>
      </c>
      <c r="B577" s="90" t="s">
        <v>382</v>
      </c>
      <c r="C577" s="98" t="s">
        <v>1630</v>
      </c>
      <c r="D577" s="92" t="s">
        <v>1631</v>
      </c>
      <c r="E577" s="90" t="s">
        <v>16</v>
      </c>
      <c r="F577" s="99">
        <v>3</v>
      </c>
      <c r="G577" s="94">
        <v>422.98</v>
      </c>
      <c r="H577" s="94">
        <v>58.15</v>
      </c>
      <c r="I577" s="95">
        <v>481.13</v>
      </c>
      <c r="J577" s="95">
        <v>1268.94</v>
      </c>
      <c r="K577" s="95">
        <v>174.45000000000005</v>
      </c>
      <c r="L577" s="95">
        <v>1443.39</v>
      </c>
      <c r="M577" s="96">
        <v>0.27529999999999999</v>
      </c>
      <c r="N577" s="95">
        <v>539.42999999999995</v>
      </c>
      <c r="O577" s="95">
        <v>74.16</v>
      </c>
      <c r="P577" s="95">
        <v>613.58999999999992</v>
      </c>
      <c r="Q577" s="95">
        <v>1618.29</v>
      </c>
      <c r="R577" s="95">
        <v>222.48</v>
      </c>
      <c r="S577" s="95">
        <v>1840.77</v>
      </c>
    </row>
    <row r="578" spans="1:19" ht="15" x14ac:dyDescent="0.25">
      <c r="A578" s="90" t="s">
        <v>1632</v>
      </c>
      <c r="B578" s="90" t="s">
        <v>382</v>
      </c>
      <c r="C578" s="98" t="s">
        <v>1633</v>
      </c>
      <c r="D578" s="92" t="s">
        <v>1634</v>
      </c>
      <c r="E578" s="90" t="s">
        <v>16</v>
      </c>
      <c r="F578" s="99">
        <v>5</v>
      </c>
      <c r="G578" s="94">
        <v>398.44</v>
      </c>
      <c r="H578" s="94">
        <v>44.58</v>
      </c>
      <c r="I578" s="95">
        <v>443.02</v>
      </c>
      <c r="J578" s="95">
        <v>1992.2</v>
      </c>
      <c r="K578" s="95">
        <v>222.89999999999986</v>
      </c>
      <c r="L578" s="95">
        <v>2215.1</v>
      </c>
      <c r="M578" s="96">
        <v>0.27529999999999999</v>
      </c>
      <c r="N578" s="95">
        <v>508.13</v>
      </c>
      <c r="O578" s="95">
        <v>56.85</v>
      </c>
      <c r="P578" s="95">
        <v>564.98</v>
      </c>
      <c r="Q578" s="95">
        <v>2540.65</v>
      </c>
      <c r="R578" s="95">
        <v>284.25</v>
      </c>
      <c r="S578" s="95">
        <v>2824.9</v>
      </c>
    </row>
    <row r="579" spans="1:19" ht="15" x14ac:dyDescent="0.25">
      <c r="A579" s="90" t="s">
        <v>1635</v>
      </c>
      <c r="B579" s="90" t="s">
        <v>382</v>
      </c>
      <c r="C579" s="98" t="s">
        <v>1636</v>
      </c>
      <c r="D579" s="92" t="s">
        <v>1637</v>
      </c>
      <c r="E579" s="90" t="s">
        <v>16</v>
      </c>
      <c r="F579" s="99">
        <v>1</v>
      </c>
      <c r="G579" s="94">
        <v>167.64</v>
      </c>
      <c r="H579" s="94">
        <v>32.950000000000003</v>
      </c>
      <c r="I579" s="95">
        <v>200.58999999999997</v>
      </c>
      <c r="J579" s="95">
        <v>167.64</v>
      </c>
      <c r="K579" s="95">
        <v>32.950000000000017</v>
      </c>
      <c r="L579" s="95">
        <v>200.59</v>
      </c>
      <c r="M579" s="96">
        <v>0.27529999999999999</v>
      </c>
      <c r="N579" s="95">
        <v>213.79</v>
      </c>
      <c r="O579" s="95">
        <v>42.02</v>
      </c>
      <c r="P579" s="95">
        <v>255.81</v>
      </c>
      <c r="Q579" s="95">
        <v>213.79</v>
      </c>
      <c r="R579" s="95">
        <v>42.02</v>
      </c>
      <c r="S579" s="95">
        <v>255.81</v>
      </c>
    </row>
    <row r="580" spans="1:19" ht="15" x14ac:dyDescent="0.25">
      <c r="A580" s="90" t="s">
        <v>1638</v>
      </c>
      <c r="B580" s="90" t="s">
        <v>45</v>
      </c>
      <c r="C580" s="98" t="s">
        <v>1639</v>
      </c>
      <c r="D580" s="92" t="s">
        <v>1640</v>
      </c>
      <c r="E580" s="90" t="s">
        <v>16</v>
      </c>
      <c r="F580" s="99">
        <v>4</v>
      </c>
      <c r="G580" s="94">
        <v>527.6</v>
      </c>
      <c r="H580" s="94">
        <v>80.78</v>
      </c>
      <c r="I580" s="95">
        <v>608.38</v>
      </c>
      <c r="J580" s="95">
        <v>2110.4</v>
      </c>
      <c r="K580" s="95">
        <v>323.11999999999989</v>
      </c>
      <c r="L580" s="95">
        <v>2433.52</v>
      </c>
      <c r="M580" s="96">
        <v>0.27529999999999999</v>
      </c>
      <c r="N580" s="95">
        <v>672.85</v>
      </c>
      <c r="O580" s="95">
        <v>103.02</v>
      </c>
      <c r="P580" s="95">
        <v>775.87</v>
      </c>
      <c r="Q580" s="95">
        <v>2691.4</v>
      </c>
      <c r="R580" s="95">
        <v>412.08</v>
      </c>
      <c r="S580" s="95">
        <v>3103.48</v>
      </c>
    </row>
    <row r="581" spans="1:19" ht="15" x14ac:dyDescent="0.25">
      <c r="A581" s="90" t="s">
        <v>1641</v>
      </c>
      <c r="B581" s="90" t="s">
        <v>184</v>
      </c>
      <c r="C581" s="98" t="s">
        <v>1642</v>
      </c>
      <c r="D581" s="92" t="s">
        <v>1643</v>
      </c>
      <c r="E581" s="90" t="s">
        <v>16</v>
      </c>
      <c r="F581" s="99">
        <v>13</v>
      </c>
      <c r="G581" s="94">
        <v>295.08</v>
      </c>
      <c r="H581" s="94">
        <v>75.08</v>
      </c>
      <c r="I581" s="95">
        <v>370.15999999999997</v>
      </c>
      <c r="J581" s="95">
        <v>3836.04</v>
      </c>
      <c r="K581" s="95">
        <v>976.04</v>
      </c>
      <c r="L581" s="95">
        <v>4812.08</v>
      </c>
      <c r="M581" s="96">
        <v>0.27529999999999999</v>
      </c>
      <c r="N581" s="95">
        <v>376.32</v>
      </c>
      <c r="O581" s="95">
        <v>95.75</v>
      </c>
      <c r="P581" s="95">
        <v>472.07</v>
      </c>
      <c r="Q581" s="95">
        <v>4892.16</v>
      </c>
      <c r="R581" s="95">
        <v>1244.75</v>
      </c>
      <c r="S581" s="95">
        <v>6136.91</v>
      </c>
    </row>
    <row r="582" spans="1:19" ht="15" x14ac:dyDescent="0.25">
      <c r="A582" s="90" t="s">
        <v>1644</v>
      </c>
      <c r="B582" s="90" t="s">
        <v>45</v>
      </c>
      <c r="C582" s="98" t="s">
        <v>1645</v>
      </c>
      <c r="D582" s="92" t="s">
        <v>1646</v>
      </c>
      <c r="E582" s="90" t="s">
        <v>16</v>
      </c>
      <c r="F582" s="99">
        <v>1</v>
      </c>
      <c r="G582" s="94">
        <v>5522.42</v>
      </c>
      <c r="H582" s="94">
        <v>221.05</v>
      </c>
      <c r="I582" s="95">
        <v>5743.47</v>
      </c>
      <c r="J582" s="95">
        <v>5522.42</v>
      </c>
      <c r="K582" s="95">
        <v>221.05000000000018</v>
      </c>
      <c r="L582" s="95">
        <v>5743.47</v>
      </c>
      <c r="M582" s="96">
        <v>0.27529999999999999</v>
      </c>
      <c r="N582" s="95">
        <v>7042.74</v>
      </c>
      <c r="O582" s="95">
        <v>281.91000000000003</v>
      </c>
      <c r="P582" s="95">
        <v>7324.65</v>
      </c>
      <c r="Q582" s="95">
        <v>7042.74</v>
      </c>
      <c r="R582" s="95">
        <v>281.91000000000003</v>
      </c>
      <c r="S582" s="95">
        <v>7324.65</v>
      </c>
    </row>
    <row r="583" spans="1:19" ht="15" x14ac:dyDescent="0.25">
      <c r="A583" s="90" t="s">
        <v>1647</v>
      </c>
      <c r="B583" s="90" t="s">
        <v>45</v>
      </c>
      <c r="C583" s="98" t="s">
        <v>1645</v>
      </c>
      <c r="D583" s="92" t="s">
        <v>1648</v>
      </c>
      <c r="E583" s="90" t="s">
        <v>16</v>
      </c>
      <c r="F583" s="99">
        <v>1</v>
      </c>
      <c r="G583" s="94">
        <v>5522.42</v>
      </c>
      <c r="H583" s="94">
        <v>221.05</v>
      </c>
      <c r="I583" s="95">
        <v>5743.47</v>
      </c>
      <c r="J583" s="95">
        <v>5522.42</v>
      </c>
      <c r="K583" s="95">
        <v>221.05000000000018</v>
      </c>
      <c r="L583" s="95">
        <v>5743.47</v>
      </c>
      <c r="M583" s="96">
        <v>0.27529999999999999</v>
      </c>
      <c r="N583" s="95">
        <v>7042.74</v>
      </c>
      <c r="O583" s="95">
        <v>281.91000000000003</v>
      </c>
      <c r="P583" s="95">
        <v>7324.65</v>
      </c>
      <c r="Q583" s="95">
        <v>7042.74</v>
      </c>
      <c r="R583" s="95">
        <v>281.91000000000003</v>
      </c>
      <c r="S583" s="95">
        <v>7324.65</v>
      </c>
    </row>
    <row r="584" spans="1:19" ht="15" x14ac:dyDescent="0.25">
      <c r="A584" s="90" t="s">
        <v>1649</v>
      </c>
      <c r="B584" s="90" t="s">
        <v>45</v>
      </c>
      <c r="C584" s="98" t="s">
        <v>1650</v>
      </c>
      <c r="D584" s="92" t="s">
        <v>1651</v>
      </c>
      <c r="E584" s="90" t="s">
        <v>16</v>
      </c>
      <c r="F584" s="99">
        <v>1</v>
      </c>
      <c r="G584" s="94">
        <v>30136.78</v>
      </c>
      <c r="H584" s="94">
        <v>221.05</v>
      </c>
      <c r="I584" s="95">
        <v>30357.829999999998</v>
      </c>
      <c r="J584" s="95">
        <v>30136.78</v>
      </c>
      <c r="K584" s="95">
        <v>221.05000000000291</v>
      </c>
      <c r="L584" s="95">
        <v>30357.83</v>
      </c>
      <c r="M584" s="96">
        <v>0.27529999999999999</v>
      </c>
      <c r="N584" s="95">
        <v>38433.440000000002</v>
      </c>
      <c r="O584" s="95">
        <v>281.91000000000003</v>
      </c>
      <c r="P584" s="95">
        <v>38715.350000000006</v>
      </c>
      <c r="Q584" s="95">
        <v>38433.440000000002</v>
      </c>
      <c r="R584" s="95">
        <v>281.91000000000003</v>
      </c>
      <c r="S584" s="95">
        <v>38715.350000000006</v>
      </c>
    </row>
    <row r="585" spans="1:19" ht="15" x14ac:dyDescent="0.25">
      <c r="A585" s="90" t="s">
        <v>1652</v>
      </c>
      <c r="B585" s="90" t="s">
        <v>45</v>
      </c>
      <c r="C585" s="98" t="s">
        <v>1650</v>
      </c>
      <c r="D585" s="92" t="s">
        <v>1653</v>
      </c>
      <c r="E585" s="90" t="s">
        <v>16</v>
      </c>
      <c r="F585" s="99">
        <v>1</v>
      </c>
      <c r="G585" s="94">
        <v>30136.78</v>
      </c>
      <c r="H585" s="94">
        <v>221.05</v>
      </c>
      <c r="I585" s="95">
        <v>30357.829999999998</v>
      </c>
      <c r="J585" s="95">
        <v>30136.78</v>
      </c>
      <c r="K585" s="95">
        <v>221.05000000000291</v>
      </c>
      <c r="L585" s="95">
        <v>30357.83</v>
      </c>
      <c r="M585" s="96">
        <v>0.27529999999999999</v>
      </c>
      <c r="N585" s="95">
        <v>38433.440000000002</v>
      </c>
      <c r="O585" s="95">
        <v>281.91000000000003</v>
      </c>
      <c r="P585" s="95">
        <v>38715.350000000006</v>
      </c>
      <c r="Q585" s="95">
        <v>38433.440000000002</v>
      </c>
      <c r="R585" s="95">
        <v>281.91000000000003</v>
      </c>
      <c r="S585" s="95">
        <v>38715.350000000006</v>
      </c>
    </row>
    <row r="586" spans="1:19" ht="15" x14ac:dyDescent="0.25">
      <c r="A586" s="90" t="s">
        <v>1654</v>
      </c>
      <c r="B586" s="90" t="s">
        <v>45</v>
      </c>
      <c r="C586" s="98" t="s">
        <v>1655</v>
      </c>
      <c r="D586" s="92" t="s">
        <v>1656</v>
      </c>
      <c r="E586" s="90" t="s">
        <v>16</v>
      </c>
      <c r="F586" s="99">
        <v>1747</v>
      </c>
      <c r="G586" s="94">
        <v>37.47</v>
      </c>
      <c r="H586" s="94">
        <v>13.84</v>
      </c>
      <c r="I586" s="95">
        <v>51.31</v>
      </c>
      <c r="J586" s="95">
        <v>65460.09</v>
      </c>
      <c r="K586" s="95">
        <v>24178.48000000001</v>
      </c>
      <c r="L586" s="95">
        <v>89638.57</v>
      </c>
      <c r="M586" s="96">
        <v>0.27529999999999999</v>
      </c>
      <c r="N586" s="95">
        <v>47.79</v>
      </c>
      <c r="O586" s="95">
        <v>17.649999999999999</v>
      </c>
      <c r="P586" s="95">
        <v>65.44</v>
      </c>
      <c r="Q586" s="95">
        <v>83489.13</v>
      </c>
      <c r="R586" s="95">
        <v>30834.55</v>
      </c>
      <c r="S586" s="95">
        <v>114323.68000000001</v>
      </c>
    </row>
    <row r="587" spans="1:19" ht="15" x14ac:dyDescent="0.25">
      <c r="A587" s="90" t="s">
        <v>1657</v>
      </c>
      <c r="B587" s="90" t="s">
        <v>184</v>
      </c>
      <c r="C587" s="98" t="s">
        <v>1658</v>
      </c>
      <c r="D587" s="92" t="s">
        <v>1659</v>
      </c>
      <c r="E587" s="90" t="s">
        <v>16</v>
      </c>
      <c r="F587" s="99">
        <v>2</v>
      </c>
      <c r="G587" s="94">
        <v>1910.86</v>
      </c>
      <c r="H587" s="94">
        <v>91.29</v>
      </c>
      <c r="I587" s="95">
        <v>2002.1499999999999</v>
      </c>
      <c r="J587" s="95">
        <v>3821.72</v>
      </c>
      <c r="K587" s="95">
        <v>182.58000000000038</v>
      </c>
      <c r="L587" s="95">
        <v>4004.3</v>
      </c>
      <c r="M587" s="96">
        <v>0.27529999999999999</v>
      </c>
      <c r="N587" s="95">
        <v>2436.92</v>
      </c>
      <c r="O587" s="95">
        <v>116.42</v>
      </c>
      <c r="P587" s="95">
        <v>2553.34</v>
      </c>
      <c r="Q587" s="95">
        <v>4873.84</v>
      </c>
      <c r="R587" s="95">
        <v>232.84</v>
      </c>
      <c r="S587" s="95">
        <v>5106.68</v>
      </c>
    </row>
    <row r="588" spans="1:19" s="89" customFormat="1" x14ac:dyDescent="0.25">
      <c r="A588" s="82" t="s">
        <v>1660</v>
      </c>
      <c r="B588" s="82"/>
      <c r="C588" s="83" t="s">
        <v>1661</v>
      </c>
      <c r="D588" s="84"/>
      <c r="E588" s="85"/>
      <c r="F588" s="101"/>
      <c r="G588" s="87"/>
      <c r="H588" s="87"/>
      <c r="I588" s="88"/>
      <c r="J588" s="87">
        <v>1230604.72</v>
      </c>
      <c r="K588" s="87">
        <v>105912.47000000002</v>
      </c>
      <c r="L588" s="87">
        <v>1336517.19</v>
      </c>
      <c r="M588" s="87"/>
      <c r="N588" s="87"/>
      <c r="O588" s="87"/>
      <c r="P588" s="87"/>
      <c r="Q588" s="87">
        <v>1550434.7999999996</v>
      </c>
      <c r="R588" s="87">
        <v>133090.33000000002</v>
      </c>
      <c r="S588" s="87">
        <v>1683525.1300000006</v>
      </c>
    </row>
    <row r="589" spans="1:19" ht="15" x14ac:dyDescent="0.25">
      <c r="A589" s="90" t="s">
        <v>1662</v>
      </c>
      <c r="B589" s="90"/>
      <c r="C589" s="91" t="s">
        <v>1663</v>
      </c>
      <c r="D589" s="92"/>
      <c r="E589" s="90"/>
      <c r="F589" s="99"/>
      <c r="G589" s="94"/>
      <c r="H589" s="94"/>
      <c r="I589" s="95"/>
      <c r="J589" s="95"/>
      <c r="K589" s="95"/>
      <c r="L589" s="95"/>
      <c r="M589" s="96">
        <v>0</v>
      </c>
      <c r="N589" s="95"/>
      <c r="O589" s="95"/>
      <c r="P589" s="95"/>
      <c r="Q589" s="95"/>
      <c r="R589" s="95"/>
      <c r="S589" s="95"/>
    </row>
    <row r="590" spans="1:19" ht="15" x14ac:dyDescent="0.25">
      <c r="A590" s="90" t="s">
        <v>1664</v>
      </c>
      <c r="B590" s="90"/>
      <c r="C590" s="91" t="s">
        <v>1665</v>
      </c>
      <c r="D590" s="92"/>
      <c r="E590" s="90"/>
      <c r="F590" s="99"/>
      <c r="G590" s="94"/>
      <c r="H590" s="94"/>
      <c r="I590" s="95"/>
      <c r="J590" s="95"/>
      <c r="K590" s="95"/>
      <c r="L590" s="95"/>
      <c r="M590" s="96">
        <v>0</v>
      </c>
      <c r="N590" s="95"/>
      <c r="O590" s="95"/>
      <c r="P590" s="95"/>
      <c r="Q590" s="95"/>
      <c r="R590" s="95"/>
      <c r="S590" s="95"/>
    </row>
    <row r="591" spans="1:19" ht="38.25" x14ac:dyDescent="0.25">
      <c r="A591" s="90" t="s">
        <v>1666</v>
      </c>
      <c r="B591" s="90" t="s">
        <v>45</v>
      </c>
      <c r="C591" s="98" t="s">
        <v>1667</v>
      </c>
      <c r="D591" s="92" t="s">
        <v>1668</v>
      </c>
      <c r="E591" s="90" t="s">
        <v>16</v>
      </c>
      <c r="F591" s="99">
        <v>2</v>
      </c>
      <c r="G591" s="94">
        <v>2212.35</v>
      </c>
      <c r="H591" s="94">
        <v>221.05</v>
      </c>
      <c r="I591" s="95">
        <v>2433.4</v>
      </c>
      <c r="J591" s="95">
        <v>4424.7</v>
      </c>
      <c r="K591" s="95">
        <v>442.10000000000036</v>
      </c>
      <c r="L591" s="95">
        <v>4866.8</v>
      </c>
      <c r="M591" s="96">
        <v>0.27529999999999999</v>
      </c>
      <c r="N591" s="95">
        <v>2821.41</v>
      </c>
      <c r="O591" s="95">
        <v>281.91000000000003</v>
      </c>
      <c r="P591" s="95">
        <v>3103.3199999999997</v>
      </c>
      <c r="Q591" s="95">
        <v>5642.82</v>
      </c>
      <c r="R591" s="95">
        <v>563.82000000000005</v>
      </c>
      <c r="S591" s="95">
        <v>6206.6399999999994</v>
      </c>
    </row>
    <row r="592" spans="1:19" ht="25.5" x14ac:dyDescent="0.25">
      <c r="A592" s="90" t="s">
        <v>1669</v>
      </c>
      <c r="B592" s="90" t="s">
        <v>75</v>
      </c>
      <c r="C592" s="98" t="s">
        <v>1670</v>
      </c>
      <c r="D592" s="92" t="s">
        <v>1671</v>
      </c>
      <c r="E592" s="90" t="s">
        <v>16</v>
      </c>
      <c r="F592" s="99">
        <v>2</v>
      </c>
      <c r="G592" s="94">
        <v>3813.29</v>
      </c>
      <c r="H592" s="94">
        <v>221.05</v>
      </c>
      <c r="I592" s="95">
        <v>4034.34</v>
      </c>
      <c r="J592" s="95">
        <v>7626.58</v>
      </c>
      <c r="K592" s="95">
        <v>442.10000000000036</v>
      </c>
      <c r="L592" s="95">
        <v>8068.68</v>
      </c>
      <c r="M592" s="96">
        <v>0.27529999999999999</v>
      </c>
      <c r="N592" s="95">
        <v>4863.09</v>
      </c>
      <c r="O592" s="95">
        <v>281.91000000000003</v>
      </c>
      <c r="P592" s="95">
        <v>5145</v>
      </c>
      <c r="Q592" s="95">
        <v>9726.18</v>
      </c>
      <c r="R592" s="95">
        <v>563.82000000000005</v>
      </c>
      <c r="S592" s="95">
        <v>10290</v>
      </c>
    </row>
    <row r="593" spans="1:19" ht="25.5" x14ac:dyDescent="0.25">
      <c r="A593" s="90" t="s">
        <v>1672</v>
      </c>
      <c r="B593" s="90" t="s">
        <v>45</v>
      </c>
      <c r="C593" s="98" t="s">
        <v>1673</v>
      </c>
      <c r="D593" s="92" t="s">
        <v>1674</v>
      </c>
      <c r="E593" s="90" t="s">
        <v>16</v>
      </c>
      <c r="F593" s="99">
        <v>2</v>
      </c>
      <c r="G593" s="94">
        <v>1894.79</v>
      </c>
      <c r="H593" s="94">
        <v>221.05</v>
      </c>
      <c r="I593" s="95">
        <v>2115.84</v>
      </c>
      <c r="J593" s="95">
        <v>3789.58</v>
      </c>
      <c r="K593" s="95">
        <v>442.10000000000036</v>
      </c>
      <c r="L593" s="95">
        <v>4231.68</v>
      </c>
      <c r="M593" s="96">
        <v>0.27529999999999999</v>
      </c>
      <c r="N593" s="95">
        <v>2416.4299999999998</v>
      </c>
      <c r="O593" s="95">
        <v>281.91000000000003</v>
      </c>
      <c r="P593" s="95">
        <v>2698.3399999999997</v>
      </c>
      <c r="Q593" s="95">
        <v>4832.8599999999997</v>
      </c>
      <c r="R593" s="95">
        <v>563.82000000000005</v>
      </c>
      <c r="S593" s="95">
        <v>5396.6799999999994</v>
      </c>
    </row>
    <row r="594" spans="1:19" ht="25.5" x14ac:dyDescent="0.25">
      <c r="A594" s="90" t="s">
        <v>1675</v>
      </c>
      <c r="B594" s="90" t="s">
        <v>108</v>
      </c>
      <c r="C594" s="98" t="s">
        <v>1676</v>
      </c>
      <c r="D594" s="92" t="s">
        <v>1677</v>
      </c>
      <c r="E594" s="90" t="s">
        <v>16</v>
      </c>
      <c r="F594" s="99">
        <v>6</v>
      </c>
      <c r="G594" s="94">
        <v>5129.16</v>
      </c>
      <c r="H594" s="94">
        <v>500</v>
      </c>
      <c r="I594" s="95">
        <v>5629.16</v>
      </c>
      <c r="J594" s="95">
        <v>30774.959999999999</v>
      </c>
      <c r="K594" s="95">
        <v>3000</v>
      </c>
      <c r="L594" s="95">
        <v>33774.959999999999</v>
      </c>
      <c r="M594" s="96">
        <v>0.27529999999999999</v>
      </c>
      <c r="N594" s="95">
        <v>6541.22</v>
      </c>
      <c r="O594" s="95">
        <v>637.65</v>
      </c>
      <c r="P594" s="95">
        <v>7178.87</v>
      </c>
      <c r="Q594" s="95">
        <v>39247.32</v>
      </c>
      <c r="R594" s="95">
        <v>3825.9</v>
      </c>
      <c r="S594" s="95">
        <v>43073.22</v>
      </c>
    </row>
    <row r="595" spans="1:19" ht="15" x14ac:dyDescent="0.25">
      <c r="A595" s="90" t="s">
        <v>1678</v>
      </c>
      <c r="B595" s="90" t="s">
        <v>75</v>
      </c>
      <c r="C595" s="98" t="s">
        <v>1679</v>
      </c>
      <c r="D595" s="92" t="s">
        <v>1680</v>
      </c>
      <c r="E595" s="90" t="s">
        <v>16</v>
      </c>
      <c r="F595" s="99">
        <v>5</v>
      </c>
      <c r="G595" s="94">
        <v>56932.1</v>
      </c>
      <c r="H595" s="94">
        <v>55.34</v>
      </c>
      <c r="I595" s="95">
        <v>56987.439999999995</v>
      </c>
      <c r="J595" s="95">
        <v>284660.5</v>
      </c>
      <c r="K595" s="95">
        <v>276.70000000001164</v>
      </c>
      <c r="L595" s="95">
        <v>284937.2</v>
      </c>
      <c r="M595" s="96">
        <v>0.27529999999999999</v>
      </c>
      <c r="N595" s="95">
        <v>72605.509999999995</v>
      </c>
      <c r="O595" s="95">
        <v>70.58</v>
      </c>
      <c r="P595" s="95">
        <v>72676.09</v>
      </c>
      <c r="Q595" s="95">
        <v>363027.55</v>
      </c>
      <c r="R595" s="95">
        <v>352.9</v>
      </c>
      <c r="S595" s="95">
        <v>363380.45</v>
      </c>
    </row>
    <row r="596" spans="1:19" ht="38.25" x14ac:dyDescent="0.25">
      <c r="A596" s="90" t="s">
        <v>1681</v>
      </c>
      <c r="B596" s="90" t="s">
        <v>86</v>
      </c>
      <c r="C596" s="98" t="s">
        <v>1682</v>
      </c>
      <c r="D596" s="92" t="s">
        <v>1683</v>
      </c>
      <c r="E596" s="90" t="s">
        <v>16</v>
      </c>
      <c r="F596" s="99">
        <v>100</v>
      </c>
      <c r="G596" s="94">
        <v>3742.17</v>
      </c>
      <c r="H596" s="94">
        <v>409.06</v>
      </c>
      <c r="I596" s="95">
        <v>4151.2300000000005</v>
      </c>
      <c r="J596" s="95">
        <v>374217</v>
      </c>
      <c r="K596" s="95">
        <v>40906</v>
      </c>
      <c r="L596" s="95">
        <v>415123</v>
      </c>
      <c r="M596" s="96">
        <v>0.27529999999999999</v>
      </c>
      <c r="N596" s="95">
        <v>4772.3900000000003</v>
      </c>
      <c r="O596" s="95">
        <v>521.66999999999996</v>
      </c>
      <c r="P596" s="95">
        <v>5294.06</v>
      </c>
      <c r="Q596" s="95">
        <v>477239</v>
      </c>
      <c r="R596" s="95">
        <v>52167</v>
      </c>
      <c r="S596" s="95">
        <v>529406</v>
      </c>
    </row>
    <row r="597" spans="1:19" ht="38.25" x14ac:dyDescent="0.25">
      <c r="A597" s="90" t="s">
        <v>1684</v>
      </c>
      <c r="B597" s="90" t="s">
        <v>86</v>
      </c>
      <c r="C597" s="98" t="s">
        <v>1685</v>
      </c>
      <c r="D597" s="92" t="s">
        <v>1686</v>
      </c>
      <c r="E597" s="90" t="s">
        <v>16</v>
      </c>
      <c r="F597" s="99">
        <v>2</v>
      </c>
      <c r="G597" s="94">
        <v>103451.61</v>
      </c>
      <c r="H597" s="94">
        <v>10813.08</v>
      </c>
      <c r="I597" s="95">
        <v>114264.69</v>
      </c>
      <c r="J597" s="95">
        <v>206903.22</v>
      </c>
      <c r="K597" s="95">
        <v>21626.160000000003</v>
      </c>
      <c r="L597" s="95">
        <v>228529.38</v>
      </c>
      <c r="M597" s="96">
        <v>0.1837</v>
      </c>
      <c r="N597" s="95">
        <v>122455.67</v>
      </c>
      <c r="O597" s="95">
        <v>12799.44</v>
      </c>
      <c r="P597" s="95">
        <v>135255.10999999999</v>
      </c>
      <c r="Q597" s="95">
        <v>244911.34</v>
      </c>
      <c r="R597" s="95">
        <v>25598.880000000001</v>
      </c>
      <c r="S597" s="95">
        <v>270510.21999999997</v>
      </c>
    </row>
    <row r="598" spans="1:19" ht="15" x14ac:dyDescent="0.25">
      <c r="A598" s="90" t="s">
        <v>1687</v>
      </c>
      <c r="B598" s="90"/>
      <c r="C598" s="91" t="s">
        <v>1688</v>
      </c>
      <c r="D598" s="92"/>
      <c r="E598" s="90"/>
      <c r="F598" s="99"/>
      <c r="G598" s="94"/>
      <c r="H598" s="94"/>
      <c r="I598" s="95"/>
      <c r="J598" s="95"/>
      <c r="K598" s="95"/>
      <c r="L598" s="95"/>
      <c r="M598" s="96">
        <v>0</v>
      </c>
      <c r="N598" s="95"/>
      <c r="O598" s="95"/>
      <c r="P598" s="95"/>
      <c r="Q598" s="95">
        <v>0</v>
      </c>
      <c r="R598" s="95">
        <v>0</v>
      </c>
      <c r="S598" s="95">
        <v>0</v>
      </c>
    </row>
    <row r="599" spans="1:19" ht="15" x14ac:dyDescent="0.25">
      <c r="A599" s="90" t="s">
        <v>1689</v>
      </c>
      <c r="B599" s="90" t="s">
        <v>45</v>
      </c>
      <c r="C599" s="98" t="s">
        <v>1690</v>
      </c>
      <c r="D599" s="92" t="s">
        <v>1691</v>
      </c>
      <c r="E599" s="90" t="s">
        <v>93</v>
      </c>
      <c r="F599" s="99">
        <v>33</v>
      </c>
      <c r="G599" s="94">
        <v>114.85</v>
      </c>
      <c r="H599" s="94">
        <v>13.96</v>
      </c>
      <c r="I599" s="95">
        <v>128.81</v>
      </c>
      <c r="J599" s="95">
        <v>3790.05</v>
      </c>
      <c r="K599" s="95">
        <v>460.67999999999938</v>
      </c>
      <c r="L599" s="95">
        <v>4250.7299999999996</v>
      </c>
      <c r="M599" s="96">
        <v>0.27529999999999999</v>
      </c>
      <c r="N599" s="95">
        <v>146.47</v>
      </c>
      <c r="O599" s="95">
        <v>17.8</v>
      </c>
      <c r="P599" s="95">
        <v>164.27</v>
      </c>
      <c r="Q599" s="95">
        <v>4833.51</v>
      </c>
      <c r="R599" s="95">
        <v>587.4</v>
      </c>
      <c r="S599" s="95">
        <v>5420.91</v>
      </c>
    </row>
    <row r="600" spans="1:19" ht="15" x14ac:dyDescent="0.25">
      <c r="A600" s="90" t="s">
        <v>1692</v>
      </c>
      <c r="B600" s="90" t="s">
        <v>45</v>
      </c>
      <c r="C600" s="98" t="s">
        <v>1693</v>
      </c>
      <c r="D600" s="92" t="s">
        <v>1694</v>
      </c>
      <c r="E600" s="90" t="s">
        <v>93</v>
      </c>
      <c r="F600" s="99">
        <v>11</v>
      </c>
      <c r="G600" s="94">
        <v>158.52000000000001</v>
      </c>
      <c r="H600" s="94">
        <v>13.96</v>
      </c>
      <c r="I600" s="95">
        <v>172.48000000000002</v>
      </c>
      <c r="J600" s="95">
        <v>1743.72</v>
      </c>
      <c r="K600" s="95">
        <v>153.55999999999995</v>
      </c>
      <c r="L600" s="95">
        <v>1897.28</v>
      </c>
      <c r="M600" s="96">
        <v>0.27529999999999999</v>
      </c>
      <c r="N600" s="95">
        <v>202.16</v>
      </c>
      <c r="O600" s="95">
        <v>17.8</v>
      </c>
      <c r="P600" s="95">
        <v>219.96</v>
      </c>
      <c r="Q600" s="95">
        <v>2223.7600000000002</v>
      </c>
      <c r="R600" s="95">
        <v>195.8</v>
      </c>
      <c r="S600" s="95">
        <v>2419.5600000000004</v>
      </c>
    </row>
    <row r="601" spans="1:19" ht="15" x14ac:dyDescent="0.25">
      <c r="A601" s="90" t="s">
        <v>1695</v>
      </c>
      <c r="B601" s="90" t="s">
        <v>45</v>
      </c>
      <c r="C601" s="98" t="s">
        <v>1696</v>
      </c>
      <c r="D601" s="92" t="s">
        <v>1697</v>
      </c>
      <c r="E601" s="90" t="s">
        <v>93</v>
      </c>
      <c r="F601" s="99">
        <v>97</v>
      </c>
      <c r="G601" s="94">
        <v>204.23</v>
      </c>
      <c r="H601" s="94">
        <v>13.96</v>
      </c>
      <c r="I601" s="95">
        <v>218.19</v>
      </c>
      <c r="J601" s="95">
        <v>19810.310000000001</v>
      </c>
      <c r="K601" s="95">
        <v>1354.119999999999</v>
      </c>
      <c r="L601" s="95">
        <v>21164.43</v>
      </c>
      <c r="M601" s="96">
        <v>0.27529999999999999</v>
      </c>
      <c r="N601" s="95">
        <v>260.45</v>
      </c>
      <c r="O601" s="95">
        <v>17.8</v>
      </c>
      <c r="P601" s="95">
        <v>278.25</v>
      </c>
      <c r="Q601" s="95">
        <v>25263.65</v>
      </c>
      <c r="R601" s="95">
        <v>1726.6</v>
      </c>
      <c r="S601" s="95">
        <v>26990.25</v>
      </c>
    </row>
    <row r="602" spans="1:19" ht="15" x14ac:dyDescent="0.25">
      <c r="A602" s="90" t="s">
        <v>1698</v>
      </c>
      <c r="B602" s="90" t="s">
        <v>45</v>
      </c>
      <c r="C602" s="98" t="s">
        <v>1699</v>
      </c>
      <c r="D602" s="92" t="s">
        <v>1700</v>
      </c>
      <c r="E602" s="90" t="s">
        <v>93</v>
      </c>
      <c r="F602" s="99">
        <v>138</v>
      </c>
      <c r="G602" s="94">
        <v>250.2</v>
      </c>
      <c r="H602" s="94">
        <v>13.96</v>
      </c>
      <c r="I602" s="95">
        <v>264.15999999999997</v>
      </c>
      <c r="J602" s="95">
        <v>34527.599999999999</v>
      </c>
      <c r="K602" s="95">
        <v>1926.4800000000032</v>
      </c>
      <c r="L602" s="95">
        <v>36454.080000000002</v>
      </c>
      <c r="M602" s="96">
        <v>0.27529999999999999</v>
      </c>
      <c r="N602" s="95">
        <v>319.08</v>
      </c>
      <c r="O602" s="95">
        <v>17.8</v>
      </c>
      <c r="P602" s="95">
        <v>336.88</v>
      </c>
      <c r="Q602" s="95">
        <v>44033.04</v>
      </c>
      <c r="R602" s="95">
        <v>2456.4</v>
      </c>
      <c r="S602" s="95">
        <v>46489.440000000002</v>
      </c>
    </row>
    <row r="603" spans="1:19" ht="15" x14ac:dyDescent="0.25">
      <c r="A603" s="90" t="s">
        <v>1701</v>
      </c>
      <c r="B603" s="90" t="s">
        <v>45</v>
      </c>
      <c r="C603" s="98" t="s">
        <v>1702</v>
      </c>
      <c r="D603" s="92" t="s">
        <v>1703</v>
      </c>
      <c r="E603" s="90" t="s">
        <v>93</v>
      </c>
      <c r="F603" s="99">
        <v>7</v>
      </c>
      <c r="G603" s="94">
        <v>276.73</v>
      </c>
      <c r="H603" s="94">
        <v>13.96</v>
      </c>
      <c r="I603" s="95">
        <v>290.69</v>
      </c>
      <c r="J603" s="95">
        <v>1937.11</v>
      </c>
      <c r="K603" s="95">
        <v>97.720000000000027</v>
      </c>
      <c r="L603" s="95">
        <v>2034.83</v>
      </c>
      <c r="M603" s="96">
        <v>0.27529999999999999</v>
      </c>
      <c r="N603" s="95">
        <v>352.91</v>
      </c>
      <c r="O603" s="95">
        <v>17.8</v>
      </c>
      <c r="P603" s="95">
        <v>370.71000000000004</v>
      </c>
      <c r="Q603" s="95">
        <v>2470.37</v>
      </c>
      <c r="R603" s="95">
        <v>124.6</v>
      </c>
      <c r="S603" s="95">
        <v>2594.9699999999998</v>
      </c>
    </row>
    <row r="604" spans="1:19" ht="15" x14ac:dyDescent="0.25">
      <c r="A604" s="90" t="s">
        <v>1704</v>
      </c>
      <c r="B604" s="90" t="s">
        <v>45</v>
      </c>
      <c r="C604" s="98" t="s">
        <v>1705</v>
      </c>
      <c r="D604" s="92" t="s">
        <v>1706</v>
      </c>
      <c r="E604" s="90" t="s">
        <v>16</v>
      </c>
      <c r="F604" s="99">
        <v>6</v>
      </c>
      <c r="G604" s="94">
        <v>100.18</v>
      </c>
      <c r="H604" s="94">
        <v>17.440000000000001</v>
      </c>
      <c r="I604" s="95">
        <v>117.62</v>
      </c>
      <c r="J604" s="95">
        <v>601.08000000000004</v>
      </c>
      <c r="K604" s="95">
        <v>104.63999999999999</v>
      </c>
      <c r="L604" s="95">
        <v>705.72</v>
      </c>
      <c r="M604" s="96">
        <v>0.27529999999999999</v>
      </c>
      <c r="N604" s="95">
        <v>127.76</v>
      </c>
      <c r="O604" s="95">
        <v>22.24</v>
      </c>
      <c r="P604" s="95">
        <v>150</v>
      </c>
      <c r="Q604" s="95">
        <v>766.56</v>
      </c>
      <c r="R604" s="95">
        <v>133.44</v>
      </c>
      <c r="S604" s="95">
        <v>900</v>
      </c>
    </row>
    <row r="605" spans="1:19" ht="15" x14ac:dyDescent="0.25">
      <c r="A605" s="90" t="s">
        <v>1707</v>
      </c>
      <c r="B605" s="90" t="s">
        <v>45</v>
      </c>
      <c r="C605" s="98" t="s">
        <v>1708</v>
      </c>
      <c r="D605" s="92" t="s">
        <v>1709</v>
      </c>
      <c r="E605" s="90" t="s">
        <v>16</v>
      </c>
      <c r="F605" s="99">
        <v>4</v>
      </c>
      <c r="G605" s="94">
        <v>202.91</v>
      </c>
      <c r="H605" s="94">
        <v>17.440000000000001</v>
      </c>
      <c r="I605" s="95">
        <v>220.35</v>
      </c>
      <c r="J605" s="95">
        <v>811.64</v>
      </c>
      <c r="K605" s="95">
        <v>69.759999999999991</v>
      </c>
      <c r="L605" s="95">
        <v>881.4</v>
      </c>
      <c r="M605" s="96">
        <v>0.27529999999999999</v>
      </c>
      <c r="N605" s="95">
        <v>258.77</v>
      </c>
      <c r="O605" s="95">
        <v>22.24</v>
      </c>
      <c r="P605" s="95">
        <v>281.01</v>
      </c>
      <c r="Q605" s="95">
        <v>1035.08</v>
      </c>
      <c r="R605" s="95">
        <v>88.96</v>
      </c>
      <c r="S605" s="95">
        <v>1124.04</v>
      </c>
    </row>
    <row r="606" spans="1:19" ht="15" x14ac:dyDescent="0.25">
      <c r="A606" s="90" t="s">
        <v>1710</v>
      </c>
      <c r="B606" s="90" t="s">
        <v>706</v>
      </c>
      <c r="C606" s="98" t="s">
        <v>1711</v>
      </c>
      <c r="D606" s="92" t="s">
        <v>1712</v>
      </c>
      <c r="E606" s="90" t="s">
        <v>16</v>
      </c>
      <c r="F606" s="99">
        <v>2</v>
      </c>
      <c r="G606" s="94">
        <v>4027.6</v>
      </c>
      <c r="H606" s="94">
        <v>0</v>
      </c>
      <c r="I606" s="95">
        <v>4027.6</v>
      </c>
      <c r="J606" s="95">
        <v>8055.2</v>
      </c>
      <c r="K606" s="95">
        <v>0</v>
      </c>
      <c r="L606" s="95">
        <v>8055.2</v>
      </c>
      <c r="M606" s="96">
        <v>0.27529999999999999</v>
      </c>
      <c r="N606" s="95">
        <v>5136.3999999999996</v>
      </c>
      <c r="O606" s="95">
        <v>0</v>
      </c>
      <c r="P606" s="95">
        <v>5136.3999999999996</v>
      </c>
      <c r="Q606" s="95">
        <v>10272.799999999999</v>
      </c>
      <c r="R606" s="95">
        <v>0</v>
      </c>
      <c r="S606" s="95">
        <v>10272.799999999999</v>
      </c>
    </row>
    <row r="607" spans="1:19" ht="15" x14ac:dyDescent="0.25">
      <c r="A607" s="90" t="s">
        <v>1713</v>
      </c>
      <c r="B607" s="90" t="s">
        <v>100</v>
      </c>
      <c r="C607" s="98" t="s">
        <v>1714</v>
      </c>
      <c r="D607" s="92" t="s">
        <v>1715</v>
      </c>
      <c r="E607" s="90" t="s">
        <v>16</v>
      </c>
      <c r="F607" s="99">
        <v>6</v>
      </c>
      <c r="G607" s="94">
        <v>181.89</v>
      </c>
      <c r="H607" s="94">
        <v>11.63</v>
      </c>
      <c r="I607" s="95">
        <v>193.51999999999998</v>
      </c>
      <c r="J607" s="95">
        <v>1091.3399999999999</v>
      </c>
      <c r="K607" s="95">
        <v>69.779999999999973</v>
      </c>
      <c r="L607" s="95">
        <v>1161.1199999999999</v>
      </c>
      <c r="M607" s="96">
        <v>0.27529999999999999</v>
      </c>
      <c r="N607" s="95">
        <v>231.96</v>
      </c>
      <c r="O607" s="95">
        <v>14.83</v>
      </c>
      <c r="P607" s="95">
        <v>246.79000000000002</v>
      </c>
      <c r="Q607" s="95">
        <v>1391.76</v>
      </c>
      <c r="R607" s="95">
        <v>88.98</v>
      </c>
      <c r="S607" s="95">
        <v>1480.74</v>
      </c>
    </row>
    <row r="608" spans="1:19" ht="15" x14ac:dyDescent="0.25">
      <c r="A608" s="90" t="s">
        <v>1689</v>
      </c>
      <c r="B608" s="90" t="s">
        <v>1716</v>
      </c>
      <c r="C608" s="98" t="s">
        <v>1717</v>
      </c>
      <c r="D608" s="92" t="s">
        <v>1718</v>
      </c>
      <c r="E608" s="90" t="s">
        <v>16</v>
      </c>
      <c r="F608" s="99">
        <v>10</v>
      </c>
      <c r="G608" s="94">
        <v>445.09</v>
      </c>
      <c r="H608" s="94">
        <v>0</v>
      </c>
      <c r="I608" s="95">
        <v>445.09</v>
      </c>
      <c r="J608" s="95">
        <v>4450.8999999999996</v>
      </c>
      <c r="K608" s="95">
        <v>0</v>
      </c>
      <c r="L608" s="95">
        <v>4450.8999999999996</v>
      </c>
      <c r="M608" s="96">
        <v>0.27529999999999999</v>
      </c>
      <c r="N608" s="95">
        <v>567.62</v>
      </c>
      <c r="O608" s="95">
        <v>0</v>
      </c>
      <c r="P608" s="95">
        <v>567.62</v>
      </c>
      <c r="Q608" s="95">
        <v>5676.2</v>
      </c>
      <c r="R608" s="95">
        <v>0</v>
      </c>
      <c r="S608" s="95">
        <v>5676.2</v>
      </c>
    </row>
    <row r="609" spans="1:19" ht="15" x14ac:dyDescent="0.25">
      <c r="A609" s="90" t="s">
        <v>1689</v>
      </c>
      <c r="B609" s="90" t="s">
        <v>1055</v>
      </c>
      <c r="C609" s="98" t="s">
        <v>1719</v>
      </c>
      <c r="D609" s="92" t="s">
        <v>1720</v>
      </c>
      <c r="E609" s="90" t="s">
        <v>16</v>
      </c>
      <c r="F609" s="99">
        <v>4</v>
      </c>
      <c r="G609" s="94">
        <v>689</v>
      </c>
      <c r="H609" s="94">
        <v>0</v>
      </c>
      <c r="I609" s="95">
        <v>689</v>
      </c>
      <c r="J609" s="95">
        <v>2756</v>
      </c>
      <c r="K609" s="95">
        <v>0</v>
      </c>
      <c r="L609" s="95">
        <v>2756</v>
      </c>
      <c r="M609" s="96">
        <v>0.27529999999999999</v>
      </c>
      <c r="N609" s="95">
        <v>878.68</v>
      </c>
      <c r="O609" s="95">
        <v>0</v>
      </c>
      <c r="P609" s="95">
        <v>878.68</v>
      </c>
      <c r="Q609" s="95">
        <v>3514.72</v>
      </c>
      <c r="R609" s="95">
        <v>0</v>
      </c>
      <c r="S609" s="95">
        <v>3514.72</v>
      </c>
    </row>
    <row r="610" spans="1:19" ht="15" x14ac:dyDescent="0.25">
      <c r="A610" s="90" t="s">
        <v>1689</v>
      </c>
      <c r="B610" s="90" t="s">
        <v>1716</v>
      </c>
      <c r="C610" s="98" t="s">
        <v>1717</v>
      </c>
      <c r="D610" s="92" t="s">
        <v>1721</v>
      </c>
      <c r="E610" s="90" t="s">
        <v>16</v>
      </c>
      <c r="F610" s="99">
        <v>5</v>
      </c>
      <c r="G610" s="94">
        <v>445.09</v>
      </c>
      <c r="H610" s="94">
        <v>0</v>
      </c>
      <c r="I610" s="95">
        <v>445.09</v>
      </c>
      <c r="J610" s="95">
        <v>2225.4499999999998</v>
      </c>
      <c r="K610" s="95">
        <v>0</v>
      </c>
      <c r="L610" s="95">
        <v>2225.4499999999998</v>
      </c>
      <c r="M610" s="96">
        <v>0.27529999999999999</v>
      </c>
      <c r="N610" s="95">
        <v>567.62</v>
      </c>
      <c r="O610" s="95">
        <v>0</v>
      </c>
      <c r="P610" s="95">
        <v>567.62</v>
      </c>
      <c r="Q610" s="95">
        <v>2838.1</v>
      </c>
      <c r="R610" s="95">
        <v>0</v>
      </c>
      <c r="S610" s="95">
        <v>2838.1</v>
      </c>
    </row>
    <row r="611" spans="1:19" ht="15" x14ac:dyDescent="0.25">
      <c r="A611" s="90" t="s">
        <v>1689</v>
      </c>
      <c r="B611" s="90" t="s">
        <v>1716</v>
      </c>
      <c r="C611" s="98" t="s">
        <v>1717</v>
      </c>
      <c r="D611" s="92" t="s">
        <v>1722</v>
      </c>
      <c r="E611" s="90" t="s">
        <v>16</v>
      </c>
      <c r="F611" s="99">
        <v>2</v>
      </c>
      <c r="G611" s="94">
        <v>445.09</v>
      </c>
      <c r="H611" s="94">
        <v>0</v>
      </c>
      <c r="I611" s="95">
        <v>445.09</v>
      </c>
      <c r="J611" s="95">
        <v>890.18</v>
      </c>
      <c r="K611" s="95">
        <v>0</v>
      </c>
      <c r="L611" s="95">
        <v>890.18</v>
      </c>
      <c r="M611" s="96">
        <v>0.27529999999999999</v>
      </c>
      <c r="N611" s="95">
        <v>567.62</v>
      </c>
      <c r="O611" s="95">
        <v>0</v>
      </c>
      <c r="P611" s="95">
        <v>567.62</v>
      </c>
      <c r="Q611" s="95">
        <v>1135.24</v>
      </c>
      <c r="R611" s="95">
        <v>0</v>
      </c>
      <c r="S611" s="95">
        <v>1135.24</v>
      </c>
    </row>
    <row r="612" spans="1:19" ht="15" x14ac:dyDescent="0.25">
      <c r="A612" s="90" t="s">
        <v>1689</v>
      </c>
      <c r="B612" s="90" t="s">
        <v>45</v>
      </c>
      <c r="C612" s="98" t="s">
        <v>1723</v>
      </c>
      <c r="D612" s="92" t="s">
        <v>1724</v>
      </c>
      <c r="E612" s="90" t="s">
        <v>16</v>
      </c>
      <c r="F612" s="99">
        <v>2</v>
      </c>
      <c r="G612" s="94">
        <v>1066.46</v>
      </c>
      <c r="H612" s="94">
        <v>5.1100000000000003</v>
      </c>
      <c r="I612" s="95">
        <v>1071.57</v>
      </c>
      <c r="J612" s="95">
        <v>2132.92</v>
      </c>
      <c r="K612" s="95">
        <v>10.2199999999998</v>
      </c>
      <c r="L612" s="95">
        <v>2143.14</v>
      </c>
      <c r="M612" s="96">
        <v>0.27529999999999999</v>
      </c>
      <c r="N612" s="95">
        <v>1360.06</v>
      </c>
      <c r="O612" s="95">
        <v>6.52</v>
      </c>
      <c r="P612" s="95">
        <v>1366.58</v>
      </c>
      <c r="Q612" s="95">
        <v>2720.12</v>
      </c>
      <c r="R612" s="95">
        <v>13.04</v>
      </c>
      <c r="S612" s="95">
        <v>2733.16</v>
      </c>
    </row>
    <row r="613" spans="1:19" ht="15" x14ac:dyDescent="0.25">
      <c r="A613" s="90" t="s">
        <v>1689</v>
      </c>
      <c r="B613" s="90" t="s">
        <v>706</v>
      </c>
      <c r="C613" s="98" t="s">
        <v>1725</v>
      </c>
      <c r="D613" s="92" t="s">
        <v>1726</v>
      </c>
      <c r="E613" s="90" t="s">
        <v>16</v>
      </c>
      <c r="F613" s="99">
        <v>2</v>
      </c>
      <c r="G613" s="94">
        <v>192.76</v>
      </c>
      <c r="H613" s="94">
        <v>32.950000000000003</v>
      </c>
      <c r="I613" s="95">
        <v>225.70999999999998</v>
      </c>
      <c r="J613" s="95">
        <v>385.52</v>
      </c>
      <c r="K613" s="95">
        <v>65.900000000000034</v>
      </c>
      <c r="L613" s="95">
        <v>451.42</v>
      </c>
      <c r="M613" s="96">
        <v>0.27529999999999999</v>
      </c>
      <c r="N613" s="95">
        <v>245.83</v>
      </c>
      <c r="O613" s="95">
        <v>42.02</v>
      </c>
      <c r="P613" s="95">
        <v>287.85000000000002</v>
      </c>
      <c r="Q613" s="95">
        <v>491.66</v>
      </c>
      <c r="R613" s="95">
        <v>84.04</v>
      </c>
      <c r="S613" s="95">
        <v>575.70000000000005</v>
      </c>
    </row>
    <row r="614" spans="1:19" ht="15" x14ac:dyDescent="0.25">
      <c r="A614" s="90" t="s">
        <v>1689</v>
      </c>
      <c r="B614" s="90" t="s">
        <v>1055</v>
      </c>
      <c r="C614" s="98" t="s">
        <v>1727</v>
      </c>
      <c r="D614" s="92" t="s">
        <v>1728</v>
      </c>
      <c r="E614" s="90" t="s">
        <v>1729</v>
      </c>
      <c r="F614" s="99">
        <v>4</v>
      </c>
      <c r="G614" s="94">
        <v>422.03</v>
      </c>
      <c r="H614" s="94">
        <v>0</v>
      </c>
      <c r="I614" s="95">
        <v>422.03</v>
      </c>
      <c r="J614" s="95">
        <v>1688.12</v>
      </c>
      <c r="K614" s="95">
        <v>0</v>
      </c>
      <c r="L614" s="95">
        <v>1688.12</v>
      </c>
      <c r="M614" s="96">
        <v>0.27529999999999999</v>
      </c>
      <c r="N614" s="95">
        <v>538.21</v>
      </c>
      <c r="O614" s="95">
        <v>0</v>
      </c>
      <c r="P614" s="95">
        <v>538.21</v>
      </c>
      <c r="Q614" s="95">
        <v>2152.84</v>
      </c>
      <c r="R614" s="95">
        <v>0</v>
      </c>
      <c r="S614" s="95">
        <v>2152.84</v>
      </c>
    </row>
    <row r="615" spans="1:19" ht="15" x14ac:dyDescent="0.25">
      <c r="A615" s="90" t="s">
        <v>1689</v>
      </c>
      <c r="B615" s="90" t="s">
        <v>1055</v>
      </c>
      <c r="C615" s="98" t="s">
        <v>1727</v>
      </c>
      <c r="D615" s="92" t="s">
        <v>1730</v>
      </c>
      <c r="E615" s="90" t="s">
        <v>1729</v>
      </c>
      <c r="F615" s="99">
        <v>1</v>
      </c>
      <c r="G615" s="94">
        <v>422.03</v>
      </c>
      <c r="H615" s="94">
        <v>0</v>
      </c>
      <c r="I615" s="95">
        <v>422.03</v>
      </c>
      <c r="J615" s="95">
        <v>422.03</v>
      </c>
      <c r="K615" s="95">
        <v>0</v>
      </c>
      <c r="L615" s="95">
        <v>422.03</v>
      </c>
      <c r="M615" s="96">
        <v>0.27529999999999999</v>
      </c>
      <c r="N615" s="95">
        <v>538.21</v>
      </c>
      <c r="O615" s="95">
        <v>0</v>
      </c>
      <c r="P615" s="95">
        <v>538.21</v>
      </c>
      <c r="Q615" s="95">
        <v>538.21</v>
      </c>
      <c r="R615" s="95">
        <v>0</v>
      </c>
      <c r="S615" s="95">
        <v>538.21</v>
      </c>
    </row>
    <row r="616" spans="1:19" ht="15" x14ac:dyDescent="0.25">
      <c r="A616" s="90" t="s">
        <v>1689</v>
      </c>
      <c r="B616" s="90" t="s">
        <v>86</v>
      </c>
      <c r="C616" s="98" t="s">
        <v>1731</v>
      </c>
      <c r="D616" s="92" t="s">
        <v>1732</v>
      </c>
      <c r="E616" s="90" t="s">
        <v>16</v>
      </c>
      <c r="F616" s="99">
        <v>2</v>
      </c>
      <c r="G616" s="94">
        <v>1528.44</v>
      </c>
      <c r="H616" s="94">
        <v>0</v>
      </c>
      <c r="I616" s="95">
        <v>1528.44</v>
      </c>
      <c r="J616" s="95">
        <v>3056.88</v>
      </c>
      <c r="K616" s="95">
        <v>0</v>
      </c>
      <c r="L616" s="95">
        <v>3056.88</v>
      </c>
      <c r="M616" s="96">
        <v>0.27529999999999999</v>
      </c>
      <c r="N616" s="95">
        <v>1949.22</v>
      </c>
      <c r="O616" s="95">
        <v>0</v>
      </c>
      <c r="P616" s="95">
        <v>1949.22</v>
      </c>
      <c r="Q616" s="95">
        <v>3898.44</v>
      </c>
      <c r="R616" s="95">
        <v>0</v>
      </c>
      <c r="S616" s="95">
        <v>3898.44</v>
      </c>
    </row>
    <row r="617" spans="1:19" ht="15" x14ac:dyDescent="0.25">
      <c r="A617" s="90" t="s">
        <v>1689</v>
      </c>
      <c r="B617" s="90" t="s">
        <v>622</v>
      </c>
      <c r="C617" s="98" t="s">
        <v>1733</v>
      </c>
      <c r="D617" s="92" t="s">
        <v>1734</v>
      </c>
      <c r="E617" s="90" t="s">
        <v>16</v>
      </c>
      <c r="F617" s="99">
        <v>5</v>
      </c>
      <c r="G617" s="94">
        <v>110.53</v>
      </c>
      <c r="H617" s="94">
        <v>30.59</v>
      </c>
      <c r="I617" s="95">
        <v>141.12</v>
      </c>
      <c r="J617" s="95">
        <v>552.65</v>
      </c>
      <c r="K617" s="95">
        <v>152.95000000000005</v>
      </c>
      <c r="L617" s="95">
        <v>705.6</v>
      </c>
      <c r="M617" s="96">
        <v>0.27529999999999999</v>
      </c>
      <c r="N617" s="95">
        <v>140.96</v>
      </c>
      <c r="O617" s="95">
        <v>39.01</v>
      </c>
      <c r="P617" s="95">
        <v>179.97</v>
      </c>
      <c r="Q617" s="95">
        <v>704.8</v>
      </c>
      <c r="R617" s="95">
        <v>195.05</v>
      </c>
      <c r="S617" s="95">
        <v>899.84999999999991</v>
      </c>
    </row>
    <row r="618" spans="1:19" ht="15" x14ac:dyDescent="0.25">
      <c r="A618" s="90" t="s">
        <v>1692</v>
      </c>
      <c r="B618" s="90" t="s">
        <v>45</v>
      </c>
      <c r="C618" s="98" t="s">
        <v>1735</v>
      </c>
      <c r="D618" s="92" t="s">
        <v>1736</v>
      </c>
      <c r="E618" s="90" t="s">
        <v>16</v>
      </c>
      <c r="F618" s="99">
        <v>2</v>
      </c>
      <c r="G618" s="94">
        <v>183.78</v>
      </c>
      <c r="H618" s="94">
        <v>0</v>
      </c>
      <c r="I618" s="95">
        <v>183.78</v>
      </c>
      <c r="J618" s="95">
        <v>367.56</v>
      </c>
      <c r="K618" s="95">
        <v>0</v>
      </c>
      <c r="L618" s="95">
        <v>367.56</v>
      </c>
      <c r="M618" s="96">
        <v>0.27529999999999999</v>
      </c>
      <c r="N618" s="95">
        <v>234.37</v>
      </c>
      <c r="O618" s="95">
        <v>0</v>
      </c>
      <c r="P618" s="95">
        <v>234.37</v>
      </c>
      <c r="Q618" s="95">
        <v>468.74</v>
      </c>
      <c r="R618" s="95">
        <v>0</v>
      </c>
      <c r="S618" s="95">
        <v>468.74</v>
      </c>
    </row>
    <row r="619" spans="1:19" ht="15" x14ac:dyDescent="0.25">
      <c r="A619" s="90" t="s">
        <v>1692</v>
      </c>
      <c r="B619" s="90" t="s">
        <v>45</v>
      </c>
      <c r="C619" s="98" t="s">
        <v>1737</v>
      </c>
      <c r="D619" s="92" t="s">
        <v>1738</v>
      </c>
      <c r="E619" s="90" t="s">
        <v>16</v>
      </c>
      <c r="F619" s="99">
        <v>20</v>
      </c>
      <c r="G619" s="94">
        <v>127.51</v>
      </c>
      <c r="H619" s="94">
        <v>0</v>
      </c>
      <c r="I619" s="95">
        <v>127.51</v>
      </c>
      <c r="J619" s="95">
        <v>2550.1999999999998</v>
      </c>
      <c r="K619" s="95">
        <v>0</v>
      </c>
      <c r="L619" s="95">
        <v>2550.1999999999998</v>
      </c>
      <c r="M619" s="96">
        <v>0.27529999999999999</v>
      </c>
      <c r="N619" s="95">
        <v>162.61000000000001</v>
      </c>
      <c r="O619" s="95">
        <v>0</v>
      </c>
      <c r="P619" s="95">
        <v>162.61000000000001</v>
      </c>
      <c r="Q619" s="95">
        <v>3252.2</v>
      </c>
      <c r="R619" s="95">
        <v>0</v>
      </c>
      <c r="S619" s="95">
        <v>3252.2</v>
      </c>
    </row>
    <row r="620" spans="1:19" ht="15" x14ac:dyDescent="0.25">
      <c r="A620" s="90" t="s">
        <v>1692</v>
      </c>
      <c r="B620" s="90" t="s">
        <v>45</v>
      </c>
      <c r="C620" s="98" t="s">
        <v>1739</v>
      </c>
      <c r="D620" s="92" t="s">
        <v>1740</v>
      </c>
      <c r="E620" s="90" t="s">
        <v>16</v>
      </c>
      <c r="F620" s="99">
        <v>7</v>
      </c>
      <c r="G620" s="94">
        <v>543.27</v>
      </c>
      <c r="H620" s="94">
        <v>38.770000000000003</v>
      </c>
      <c r="I620" s="95">
        <v>582.04</v>
      </c>
      <c r="J620" s="95">
        <v>3802.89</v>
      </c>
      <c r="K620" s="95">
        <v>271.39000000000033</v>
      </c>
      <c r="L620" s="95">
        <v>4074.28</v>
      </c>
      <c r="M620" s="96">
        <v>0.27529999999999999</v>
      </c>
      <c r="N620" s="95">
        <v>692.83</v>
      </c>
      <c r="O620" s="95">
        <v>49.44</v>
      </c>
      <c r="P620" s="95">
        <v>742.27</v>
      </c>
      <c r="Q620" s="95">
        <v>4849.8100000000004</v>
      </c>
      <c r="R620" s="95">
        <v>346.08</v>
      </c>
      <c r="S620" s="95">
        <v>5195.8900000000003</v>
      </c>
    </row>
    <row r="621" spans="1:19" ht="15" x14ac:dyDescent="0.25">
      <c r="A621" s="90" t="s">
        <v>1692</v>
      </c>
      <c r="B621" s="90" t="s">
        <v>45</v>
      </c>
      <c r="C621" s="98" t="s">
        <v>1741</v>
      </c>
      <c r="D621" s="92" t="s">
        <v>1742</v>
      </c>
      <c r="E621" s="90" t="s">
        <v>16</v>
      </c>
      <c r="F621" s="99">
        <v>2</v>
      </c>
      <c r="G621" s="94">
        <v>2499.02</v>
      </c>
      <c r="H621" s="94">
        <v>9.18</v>
      </c>
      <c r="I621" s="95">
        <v>2508.1999999999998</v>
      </c>
      <c r="J621" s="95">
        <v>4998.04</v>
      </c>
      <c r="K621" s="95">
        <v>18.359999999999673</v>
      </c>
      <c r="L621" s="95">
        <v>5016.3999999999996</v>
      </c>
      <c r="M621" s="96">
        <v>0.27529999999999999</v>
      </c>
      <c r="N621" s="95">
        <v>3187</v>
      </c>
      <c r="O621" s="95">
        <v>11.71</v>
      </c>
      <c r="P621" s="95">
        <v>3198.71</v>
      </c>
      <c r="Q621" s="95">
        <v>6374</v>
      </c>
      <c r="R621" s="95">
        <v>23.42</v>
      </c>
      <c r="S621" s="95">
        <v>6397.42</v>
      </c>
    </row>
    <row r="622" spans="1:19" ht="15" x14ac:dyDescent="0.25">
      <c r="A622" s="90" t="s">
        <v>1692</v>
      </c>
      <c r="B622" s="90" t="s">
        <v>706</v>
      </c>
      <c r="C622" s="98" t="s">
        <v>1743</v>
      </c>
      <c r="D622" s="92" t="s">
        <v>1744</v>
      </c>
      <c r="E622" s="90" t="s">
        <v>16</v>
      </c>
      <c r="F622" s="99">
        <v>4</v>
      </c>
      <c r="G622" s="94">
        <v>1456.14</v>
      </c>
      <c r="H622" s="94">
        <v>0</v>
      </c>
      <c r="I622" s="95">
        <v>1456.14</v>
      </c>
      <c r="J622" s="95">
        <v>5824.56</v>
      </c>
      <c r="K622" s="95">
        <v>0</v>
      </c>
      <c r="L622" s="95">
        <v>5824.56</v>
      </c>
      <c r="M622" s="96">
        <v>0.27529999999999999</v>
      </c>
      <c r="N622" s="95">
        <v>1857.02</v>
      </c>
      <c r="O622" s="95">
        <v>0</v>
      </c>
      <c r="P622" s="95">
        <v>1857.02</v>
      </c>
      <c r="Q622" s="95">
        <v>7428.08</v>
      </c>
      <c r="R622" s="95">
        <v>0</v>
      </c>
      <c r="S622" s="95">
        <v>7428.08</v>
      </c>
    </row>
    <row r="623" spans="1:19" ht="15" x14ac:dyDescent="0.25">
      <c r="A623" s="90" t="s">
        <v>1692</v>
      </c>
      <c r="B623" s="90" t="s">
        <v>75</v>
      </c>
      <c r="C623" s="98" t="s">
        <v>1745</v>
      </c>
      <c r="D623" s="92" t="s">
        <v>1746</v>
      </c>
      <c r="E623" s="90" t="s">
        <v>16</v>
      </c>
      <c r="F623" s="99">
        <v>2</v>
      </c>
      <c r="G623" s="94">
        <v>2822.69</v>
      </c>
      <c r="H623" s="94">
        <v>1071.31</v>
      </c>
      <c r="I623" s="95">
        <v>3894</v>
      </c>
      <c r="J623" s="95">
        <v>5645.38</v>
      </c>
      <c r="K623" s="95">
        <v>2142.62</v>
      </c>
      <c r="L623" s="95">
        <v>7788</v>
      </c>
      <c r="M623" s="96">
        <v>0.27529999999999999</v>
      </c>
      <c r="N623" s="95">
        <v>3599.78</v>
      </c>
      <c r="O623" s="95">
        <v>1366.24</v>
      </c>
      <c r="P623" s="95">
        <v>4966.0200000000004</v>
      </c>
      <c r="Q623" s="95">
        <v>7199.56</v>
      </c>
      <c r="R623" s="95">
        <v>2732.48</v>
      </c>
      <c r="S623" s="95">
        <v>9932.0400000000009</v>
      </c>
    </row>
    <row r="624" spans="1:19" ht="15" x14ac:dyDescent="0.25">
      <c r="A624" s="90" t="s">
        <v>1692</v>
      </c>
      <c r="B624" s="90" t="s">
        <v>75</v>
      </c>
      <c r="C624" s="98" t="s">
        <v>1745</v>
      </c>
      <c r="D624" s="92" t="s">
        <v>1747</v>
      </c>
      <c r="E624" s="90" t="s">
        <v>16</v>
      </c>
      <c r="F624" s="99">
        <v>1</v>
      </c>
      <c r="G624" s="94">
        <v>3297.69</v>
      </c>
      <c r="H624" s="94">
        <v>1071.31</v>
      </c>
      <c r="I624" s="95">
        <v>4369</v>
      </c>
      <c r="J624" s="95">
        <v>3297.69</v>
      </c>
      <c r="K624" s="95">
        <v>1071.31</v>
      </c>
      <c r="L624" s="95">
        <v>4369</v>
      </c>
      <c r="M624" s="96">
        <v>0.27529999999999999</v>
      </c>
      <c r="N624" s="95">
        <v>4205.54</v>
      </c>
      <c r="O624" s="95">
        <v>1366.24</v>
      </c>
      <c r="P624" s="95">
        <v>5571.78</v>
      </c>
      <c r="Q624" s="95">
        <v>4205.54</v>
      </c>
      <c r="R624" s="95">
        <v>1366.24</v>
      </c>
      <c r="S624" s="95">
        <v>5571.78</v>
      </c>
    </row>
    <row r="625" spans="1:19" ht="15" x14ac:dyDescent="0.25">
      <c r="A625" s="90" t="s">
        <v>1692</v>
      </c>
      <c r="B625" s="90" t="s">
        <v>75</v>
      </c>
      <c r="C625" s="98" t="s">
        <v>1745</v>
      </c>
      <c r="D625" s="92" t="s">
        <v>1748</v>
      </c>
      <c r="E625" s="90" t="s">
        <v>16</v>
      </c>
      <c r="F625" s="99">
        <v>2</v>
      </c>
      <c r="G625" s="94">
        <v>4370.6899999999996</v>
      </c>
      <c r="H625" s="94">
        <v>1071.31</v>
      </c>
      <c r="I625" s="95">
        <v>5442</v>
      </c>
      <c r="J625" s="95">
        <v>8741.3799999999992</v>
      </c>
      <c r="K625" s="95">
        <v>2142.6200000000008</v>
      </c>
      <c r="L625" s="95">
        <v>10884</v>
      </c>
      <c r="M625" s="96">
        <v>0.27529999999999999</v>
      </c>
      <c r="N625" s="95">
        <v>5573.94</v>
      </c>
      <c r="O625" s="95">
        <v>1366.24</v>
      </c>
      <c r="P625" s="95">
        <v>6940.1799999999994</v>
      </c>
      <c r="Q625" s="95">
        <v>11147.88</v>
      </c>
      <c r="R625" s="95">
        <v>2732.48</v>
      </c>
      <c r="S625" s="95">
        <v>13880.359999999999</v>
      </c>
    </row>
    <row r="626" spans="1:19" ht="15" x14ac:dyDescent="0.25">
      <c r="A626" s="90" t="s">
        <v>1692</v>
      </c>
      <c r="B626" s="90" t="s">
        <v>31</v>
      </c>
      <c r="C626" s="98" t="s">
        <v>1749</v>
      </c>
      <c r="D626" s="92" t="s">
        <v>1750</v>
      </c>
      <c r="E626" s="90" t="s">
        <v>16</v>
      </c>
      <c r="F626" s="99">
        <v>7</v>
      </c>
      <c r="G626" s="94">
        <v>68.86</v>
      </c>
      <c r="H626" s="94">
        <v>1.23</v>
      </c>
      <c r="I626" s="95">
        <v>70.09</v>
      </c>
      <c r="J626" s="95">
        <v>482.02</v>
      </c>
      <c r="K626" s="95">
        <v>8.6100000000000136</v>
      </c>
      <c r="L626" s="95">
        <v>490.63</v>
      </c>
      <c r="M626" s="96">
        <v>0.27529999999999999</v>
      </c>
      <c r="N626" s="95">
        <v>87.82</v>
      </c>
      <c r="O626" s="95">
        <v>1.57</v>
      </c>
      <c r="P626" s="95">
        <v>89.389999999999986</v>
      </c>
      <c r="Q626" s="95">
        <v>614.74</v>
      </c>
      <c r="R626" s="95">
        <v>10.99</v>
      </c>
      <c r="S626" s="95">
        <v>625.73</v>
      </c>
    </row>
    <row r="627" spans="1:19" ht="15" x14ac:dyDescent="0.25">
      <c r="A627" s="90" t="s">
        <v>1692</v>
      </c>
      <c r="B627" s="90" t="s">
        <v>184</v>
      </c>
      <c r="C627" s="98" t="s">
        <v>1751</v>
      </c>
      <c r="D627" s="92" t="s">
        <v>1752</v>
      </c>
      <c r="E627" s="90" t="s">
        <v>93</v>
      </c>
      <c r="F627" s="99">
        <v>1</v>
      </c>
      <c r="G627" s="94">
        <v>96.94</v>
      </c>
      <c r="H627" s="94">
        <v>11.34</v>
      </c>
      <c r="I627" s="95">
        <v>108.28</v>
      </c>
      <c r="J627" s="95">
        <v>96.94</v>
      </c>
      <c r="K627" s="95">
        <v>11.340000000000003</v>
      </c>
      <c r="L627" s="95">
        <v>108.28</v>
      </c>
      <c r="M627" s="96">
        <v>0.27529999999999999</v>
      </c>
      <c r="N627" s="95">
        <v>123.63</v>
      </c>
      <c r="O627" s="95">
        <v>14.46</v>
      </c>
      <c r="P627" s="95">
        <v>138.09</v>
      </c>
      <c r="Q627" s="95">
        <v>123.63</v>
      </c>
      <c r="R627" s="95">
        <v>14.46</v>
      </c>
      <c r="S627" s="95">
        <v>138.09</v>
      </c>
    </row>
    <row r="628" spans="1:19" ht="15" x14ac:dyDescent="0.25">
      <c r="A628" s="90" t="s">
        <v>1695</v>
      </c>
      <c r="B628" s="90" t="s">
        <v>184</v>
      </c>
      <c r="C628" s="98" t="s">
        <v>1753</v>
      </c>
      <c r="D628" s="92" t="s">
        <v>1754</v>
      </c>
      <c r="E628" s="90" t="s">
        <v>93</v>
      </c>
      <c r="F628" s="99">
        <v>1</v>
      </c>
      <c r="G628" s="94">
        <v>221.16</v>
      </c>
      <c r="H628" s="94">
        <v>15.72</v>
      </c>
      <c r="I628" s="95">
        <v>236.88</v>
      </c>
      <c r="J628" s="95">
        <v>221.16</v>
      </c>
      <c r="K628" s="95">
        <v>15.719999999999999</v>
      </c>
      <c r="L628" s="95">
        <v>236.88</v>
      </c>
      <c r="M628" s="96">
        <v>0.27529999999999999</v>
      </c>
      <c r="N628" s="95">
        <v>282.05</v>
      </c>
      <c r="O628" s="95">
        <v>20.05</v>
      </c>
      <c r="P628" s="95">
        <v>302.10000000000002</v>
      </c>
      <c r="Q628" s="95">
        <v>282.05</v>
      </c>
      <c r="R628" s="95">
        <v>20.05</v>
      </c>
      <c r="S628" s="95">
        <v>302.10000000000002</v>
      </c>
    </row>
    <row r="629" spans="1:19" ht="15" x14ac:dyDescent="0.25">
      <c r="A629" s="90" t="s">
        <v>1695</v>
      </c>
      <c r="B629" s="90" t="s">
        <v>95</v>
      </c>
      <c r="C629" s="98" t="s">
        <v>1755</v>
      </c>
      <c r="D629" s="92" t="s">
        <v>1756</v>
      </c>
      <c r="E629" s="90" t="s">
        <v>16</v>
      </c>
      <c r="F629" s="99">
        <v>4</v>
      </c>
      <c r="G629" s="94">
        <v>4.09</v>
      </c>
      <c r="H629" s="94">
        <v>0</v>
      </c>
      <c r="I629" s="95">
        <v>4.09</v>
      </c>
      <c r="J629" s="95">
        <v>16.36</v>
      </c>
      <c r="K629" s="95">
        <v>0</v>
      </c>
      <c r="L629" s="95">
        <v>16.36</v>
      </c>
      <c r="M629" s="96">
        <v>0.27529999999999999</v>
      </c>
      <c r="N629" s="95">
        <v>5.22</v>
      </c>
      <c r="O629" s="95">
        <v>0</v>
      </c>
      <c r="P629" s="95">
        <v>5.22</v>
      </c>
      <c r="Q629" s="95">
        <v>20.88</v>
      </c>
      <c r="R629" s="95">
        <v>0</v>
      </c>
      <c r="S629" s="95">
        <v>20.88</v>
      </c>
    </row>
    <row r="630" spans="1:19" ht="15" x14ac:dyDescent="0.25">
      <c r="A630" s="90" t="s">
        <v>1757</v>
      </c>
      <c r="B630" s="90"/>
      <c r="C630" s="91" t="s">
        <v>1758</v>
      </c>
      <c r="D630" s="92"/>
      <c r="E630" s="90"/>
      <c r="F630" s="99"/>
      <c r="G630" s="94"/>
      <c r="H630" s="94"/>
      <c r="I630" s="95"/>
      <c r="J630" s="95"/>
      <c r="K630" s="95"/>
      <c r="L630" s="95"/>
      <c r="M630" s="96">
        <v>0</v>
      </c>
      <c r="N630" s="95"/>
      <c r="O630" s="95"/>
      <c r="P630" s="95"/>
      <c r="Q630" s="95">
        <v>0</v>
      </c>
      <c r="R630" s="95">
        <v>0</v>
      </c>
      <c r="S630" s="95">
        <v>0</v>
      </c>
    </row>
    <row r="631" spans="1:19" ht="15" x14ac:dyDescent="0.25">
      <c r="A631" s="90" t="s">
        <v>1759</v>
      </c>
      <c r="B631" s="90" t="s">
        <v>100</v>
      </c>
      <c r="C631" s="98" t="s">
        <v>1760</v>
      </c>
      <c r="D631" s="92" t="s">
        <v>1761</v>
      </c>
      <c r="E631" s="90" t="s">
        <v>16</v>
      </c>
      <c r="F631" s="99">
        <v>1</v>
      </c>
      <c r="G631" s="94">
        <v>59.84</v>
      </c>
      <c r="H631" s="94">
        <v>23.5</v>
      </c>
      <c r="I631" s="95">
        <v>83.34</v>
      </c>
      <c r="J631" s="95">
        <v>59.84</v>
      </c>
      <c r="K631" s="95">
        <v>23.5</v>
      </c>
      <c r="L631" s="95">
        <v>83.34</v>
      </c>
      <c r="M631" s="96">
        <v>0.27529999999999999</v>
      </c>
      <c r="N631" s="95">
        <v>76.31</v>
      </c>
      <c r="O631" s="95">
        <v>29.97</v>
      </c>
      <c r="P631" s="95">
        <v>106.28</v>
      </c>
      <c r="Q631" s="95">
        <v>76.31</v>
      </c>
      <c r="R631" s="95">
        <v>29.97</v>
      </c>
      <c r="S631" s="95">
        <v>106.28</v>
      </c>
    </row>
    <row r="632" spans="1:19" ht="15" x14ac:dyDescent="0.25">
      <c r="A632" s="90" t="s">
        <v>1762</v>
      </c>
      <c r="B632" s="90" t="s">
        <v>100</v>
      </c>
      <c r="C632" s="98" t="s">
        <v>1763</v>
      </c>
      <c r="D632" s="92" t="s">
        <v>1764</v>
      </c>
      <c r="E632" s="90" t="s">
        <v>16</v>
      </c>
      <c r="F632" s="99">
        <v>4</v>
      </c>
      <c r="G632" s="94">
        <v>76.12</v>
      </c>
      <c r="H632" s="94">
        <v>23.5</v>
      </c>
      <c r="I632" s="95">
        <v>99.62</v>
      </c>
      <c r="J632" s="95">
        <v>304.48</v>
      </c>
      <c r="K632" s="95">
        <v>94</v>
      </c>
      <c r="L632" s="95">
        <v>398.48</v>
      </c>
      <c r="M632" s="96">
        <v>0.27529999999999999</v>
      </c>
      <c r="N632" s="95">
        <v>97.08</v>
      </c>
      <c r="O632" s="95">
        <v>29.97</v>
      </c>
      <c r="P632" s="95">
        <v>127.05</v>
      </c>
      <c r="Q632" s="95">
        <v>388.32</v>
      </c>
      <c r="R632" s="95">
        <v>119.88</v>
      </c>
      <c r="S632" s="95">
        <v>508.2</v>
      </c>
    </row>
    <row r="633" spans="1:19" ht="15" x14ac:dyDescent="0.25">
      <c r="A633" s="90" t="s">
        <v>1765</v>
      </c>
      <c r="B633" s="90" t="s">
        <v>104</v>
      </c>
      <c r="C633" s="98" t="s">
        <v>1766</v>
      </c>
      <c r="D633" s="92" t="s">
        <v>1767</v>
      </c>
      <c r="E633" s="90" t="s">
        <v>16</v>
      </c>
      <c r="F633" s="99">
        <v>4</v>
      </c>
      <c r="G633" s="94">
        <v>258.92</v>
      </c>
      <c r="H633" s="94">
        <v>0</v>
      </c>
      <c r="I633" s="95">
        <v>258.92</v>
      </c>
      <c r="J633" s="95">
        <v>1035.68</v>
      </c>
      <c r="K633" s="95">
        <v>0</v>
      </c>
      <c r="L633" s="95">
        <v>1035.68</v>
      </c>
      <c r="M633" s="96">
        <v>0.27529999999999999</v>
      </c>
      <c r="N633" s="95">
        <v>330.2</v>
      </c>
      <c r="O633" s="95">
        <v>0</v>
      </c>
      <c r="P633" s="95">
        <v>330.2</v>
      </c>
      <c r="Q633" s="95">
        <v>1320.8</v>
      </c>
      <c r="R633" s="95">
        <v>0</v>
      </c>
      <c r="S633" s="95">
        <v>1320.8</v>
      </c>
    </row>
    <row r="634" spans="1:19" ht="15" x14ac:dyDescent="0.25">
      <c r="A634" s="90" t="s">
        <v>1768</v>
      </c>
      <c r="B634" s="90" t="s">
        <v>706</v>
      </c>
      <c r="C634" s="98" t="s">
        <v>1769</v>
      </c>
      <c r="D634" s="92" t="s">
        <v>1770</v>
      </c>
      <c r="E634" s="90" t="s">
        <v>93</v>
      </c>
      <c r="F634" s="99">
        <v>7</v>
      </c>
      <c r="G634" s="94">
        <v>25.84</v>
      </c>
      <c r="H634" s="94">
        <v>6.71</v>
      </c>
      <c r="I634" s="95">
        <v>32.549999999999997</v>
      </c>
      <c r="J634" s="95">
        <v>180.88</v>
      </c>
      <c r="K634" s="95">
        <v>46.97</v>
      </c>
      <c r="L634" s="95">
        <v>227.85</v>
      </c>
      <c r="M634" s="96">
        <v>0.27529999999999999</v>
      </c>
      <c r="N634" s="95">
        <v>32.950000000000003</v>
      </c>
      <c r="O634" s="95">
        <v>8.56</v>
      </c>
      <c r="P634" s="95">
        <v>41.510000000000005</v>
      </c>
      <c r="Q634" s="95">
        <v>230.65</v>
      </c>
      <c r="R634" s="95">
        <v>59.92</v>
      </c>
      <c r="S634" s="95">
        <v>290.57</v>
      </c>
    </row>
    <row r="635" spans="1:19" ht="15" x14ac:dyDescent="0.25">
      <c r="A635" s="90" t="s">
        <v>1771</v>
      </c>
      <c r="B635" s="90" t="s">
        <v>184</v>
      </c>
      <c r="C635" s="98" t="s">
        <v>1772</v>
      </c>
      <c r="D635" s="92" t="s">
        <v>1773</v>
      </c>
      <c r="E635" s="90" t="s">
        <v>16</v>
      </c>
      <c r="F635" s="99">
        <v>1</v>
      </c>
      <c r="G635" s="94">
        <v>3084.25</v>
      </c>
      <c r="H635" s="94">
        <v>0</v>
      </c>
      <c r="I635" s="95">
        <v>3084.25</v>
      </c>
      <c r="J635" s="95">
        <v>3084.25</v>
      </c>
      <c r="K635" s="95">
        <v>0</v>
      </c>
      <c r="L635" s="95">
        <v>3084.25</v>
      </c>
      <c r="M635" s="96">
        <v>0.27529999999999999</v>
      </c>
      <c r="N635" s="95">
        <v>3933.34</v>
      </c>
      <c r="O635" s="95">
        <v>0</v>
      </c>
      <c r="P635" s="95">
        <v>3933.34</v>
      </c>
      <c r="Q635" s="95">
        <v>3933.34</v>
      </c>
      <c r="R635" s="95">
        <v>0</v>
      </c>
      <c r="S635" s="95">
        <v>3933.34</v>
      </c>
    </row>
    <row r="636" spans="1:19" ht="15" x14ac:dyDescent="0.25">
      <c r="A636" s="90" t="s">
        <v>1774</v>
      </c>
      <c r="B636" s="90" t="s">
        <v>706</v>
      </c>
      <c r="C636" s="98" t="s">
        <v>1775</v>
      </c>
      <c r="D636" s="92" t="s">
        <v>1776</v>
      </c>
      <c r="E636" s="90" t="s">
        <v>93</v>
      </c>
      <c r="F636" s="99">
        <v>41</v>
      </c>
      <c r="G636" s="94">
        <v>7.41</v>
      </c>
      <c r="H636" s="94">
        <v>6.71</v>
      </c>
      <c r="I636" s="95">
        <v>14.120000000000001</v>
      </c>
      <c r="J636" s="95">
        <v>303.81</v>
      </c>
      <c r="K636" s="95">
        <v>275.10999999999996</v>
      </c>
      <c r="L636" s="95">
        <v>578.91999999999996</v>
      </c>
      <c r="M636" s="96">
        <v>0.27529999999999999</v>
      </c>
      <c r="N636" s="95">
        <v>9.4499999999999993</v>
      </c>
      <c r="O636" s="95">
        <v>8.56</v>
      </c>
      <c r="P636" s="95">
        <v>18.009999999999998</v>
      </c>
      <c r="Q636" s="95">
        <v>387.45</v>
      </c>
      <c r="R636" s="95">
        <v>350.96</v>
      </c>
      <c r="S636" s="95">
        <v>738.41</v>
      </c>
    </row>
    <row r="637" spans="1:19" ht="15" x14ac:dyDescent="0.25">
      <c r="A637" s="90" t="s">
        <v>1777</v>
      </c>
      <c r="B637" s="90" t="s">
        <v>706</v>
      </c>
      <c r="C637" s="98" t="s">
        <v>1778</v>
      </c>
      <c r="D637" s="92" t="s">
        <v>1779</v>
      </c>
      <c r="E637" s="90" t="s">
        <v>16</v>
      </c>
      <c r="F637" s="99">
        <v>8</v>
      </c>
      <c r="G637" s="94">
        <v>4.4000000000000004</v>
      </c>
      <c r="H637" s="94">
        <v>3.95</v>
      </c>
      <c r="I637" s="95">
        <v>8.3500000000000014</v>
      </c>
      <c r="J637" s="95">
        <v>35.200000000000003</v>
      </c>
      <c r="K637" s="95">
        <v>31.599999999999994</v>
      </c>
      <c r="L637" s="95">
        <v>66.8</v>
      </c>
      <c r="M637" s="96">
        <v>0.27529999999999999</v>
      </c>
      <c r="N637" s="95">
        <v>5.61</v>
      </c>
      <c r="O637" s="95">
        <v>5.04</v>
      </c>
      <c r="P637" s="95">
        <v>10.65</v>
      </c>
      <c r="Q637" s="95">
        <v>44.88</v>
      </c>
      <c r="R637" s="95">
        <v>40.32</v>
      </c>
      <c r="S637" s="95">
        <v>85.2</v>
      </c>
    </row>
    <row r="638" spans="1:19" ht="15" x14ac:dyDescent="0.25">
      <c r="A638" s="90" t="s">
        <v>1780</v>
      </c>
      <c r="B638" s="90" t="s">
        <v>100</v>
      </c>
      <c r="C638" s="98" t="s">
        <v>1781</v>
      </c>
      <c r="D638" s="92" t="s">
        <v>1782</v>
      </c>
      <c r="E638" s="90" t="s">
        <v>16</v>
      </c>
      <c r="F638" s="99">
        <v>7</v>
      </c>
      <c r="G638" s="94">
        <v>10.1</v>
      </c>
      <c r="H638" s="94">
        <v>11.44</v>
      </c>
      <c r="I638" s="95">
        <v>21.54</v>
      </c>
      <c r="J638" s="95">
        <v>70.7</v>
      </c>
      <c r="K638" s="95">
        <v>80.08</v>
      </c>
      <c r="L638" s="95">
        <v>150.78</v>
      </c>
      <c r="M638" s="96">
        <v>0.27529999999999999</v>
      </c>
      <c r="N638" s="95">
        <v>12.88</v>
      </c>
      <c r="O638" s="95">
        <v>14.59</v>
      </c>
      <c r="P638" s="95">
        <v>27.47</v>
      </c>
      <c r="Q638" s="95">
        <v>90.16</v>
      </c>
      <c r="R638" s="95">
        <v>102.13</v>
      </c>
      <c r="S638" s="95">
        <v>192.29</v>
      </c>
    </row>
    <row r="639" spans="1:19" ht="15" x14ac:dyDescent="0.25">
      <c r="A639" s="90" t="s">
        <v>1783</v>
      </c>
      <c r="B639" s="90" t="s">
        <v>706</v>
      </c>
      <c r="C639" s="98" t="s">
        <v>1784</v>
      </c>
      <c r="D639" s="92" t="s">
        <v>1785</v>
      </c>
      <c r="E639" s="90" t="s">
        <v>93</v>
      </c>
      <c r="F639" s="99">
        <v>66</v>
      </c>
      <c r="G639" s="94">
        <v>3.94</v>
      </c>
      <c r="H639" s="94">
        <v>5.92</v>
      </c>
      <c r="I639" s="95">
        <v>9.86</v>
      </c>
      <c r="J639" s="95">
        <v>260.04000000000002</v>
      </c>
      <c r="K639" s="95">
        <v>390.71999999999997</v>
      </c>
      <c r="L639" s="95">
        <v>650.76</v>
      </c>
      <c r="M639" s="96">
        <v>0.27529999999999999</v>
      </c>
      <c r="N639" s="95">
        <v>5.0199999999999996</v>
      </c>
      <c r="O639" s="95">
        <v>7.55</v>
      </c>
      <c r="P639" s="95">
        <v>12.57</v>
      </c>
      <c r="Q639" s="95">
        <v>331.32</v>
      </c>
      <c r="R639" s="95">
        <v>498.3</v>
      </c>
      <c r="S639" s="95">
        <v>829.62</v>
      </c>
    </row>
    <row r="640" spans="1:19" ht="15" x14ac:dyDescent="0.25">
      <c r="A640" s="90" t="s">
        <v>1759</v>
      </c>
      <c r="B640" s="90" t="s">
        <v>100</v>
      </c>
      <c r="C640" s="98" t="s">
        <v>1786</v>
      </c>
      <c r="D640" s="92" t="s">
        <v>1787</v>
      </c>
      <c r="E640" s="90" t="s">
        <v>93</v>
      </c>
      <c r="F640" s="99">
        <v>72</v>
      </c>
      <c r="G640" s="94">
        <v>2.38</v>
      </c>
      <c r="H640" s="94">
        <v>1.37</v>
      </c>
      <c r="I640" s="95">
        <v>3.75</v>
      </c>
      <c r="J640" s="95">
        <v>171.36</v>
      </c>
      <c r="K640" s="95">
        <v>98.639999999999986</v>
      </c>
      <c r="L640" s="95">
        <v>270</v>
      </c>
      <c r="M640" s="96">
        <v>0.27529999999999999</v>
      </c>
      <c r="N640" s="95">
        <v>3.04</v>
      </c>
      <c r="O640" s="95">
        <v>1.75</v>
      </c>
      <c r="P640" s="95">
        <v>4.79</v>
      </c>
      <c r="Q640" s="95">
        <v>218.88</v>
      </c>
      <c r="R640" s="95">
        <v>126</v>
      </c>
      <c r="S640" s="95">
        <v>344.88</v>
      </c>
    </row>
    <row r="641" spans="1:19" ht="15" x14ac:dyDescent="0.25">
      <c r="A641" s="90" t="s">
        <v>1759</v>
      </c>
      <c r="B641" s="90" t="s">
        <v>45</v>
      </c>
      <c r="C641" s="98" t="s">
        <v>1788</v>
      </c>
      <c r="D641" s="92" t="s">
        <v>1789</v>
      </c>
      <c r="E641" s="90" t="s">
        <v>16</v>
      </c>
      <c r="F641" s="99">
        <v>1</v>
      </c>
      <c r="G641" s="94">
        <v>5379.67</v>
      </c>
      <c r="H641" s="94">
        <v>169.66</v>
      </c>
      <c r="I641" s="95">
        <v>5549.33</v>
      </c>
      <c r="J641" s="95">
        <v>5379.67</v>
      </c>
      <c r="K641" s="95">
        <v>169.65999999999985</v>
      </c>
      <c r="L641" s="95">
        <v>5549.33</v>
      </c>
      <c r="M641" s="96">
        <v>0.27529999999999999</v>
      </c>
      <c r="N641" s="95">
        <v>6860.69</v>
      </c>
      <c r="O641" s="95">
        <v>216.37</v>
      </c>
      <c r="P641" s="95">
        <v>7077.0599999999995</v>
      </c>
      <c r="Q641" s="95">
        <v>6860.69</v>
      </c>
      <c r="R641" s="95">
        <v>216.37</v>
      </c>
      <c r="S641" s="95">
        <v>7077.0599999999995</v>
      </c>
    </row>
    <row r="642" spans="1:19" ht="25.5" x14ac:dyDescent="0.25">
      <c r="A642" s="90" t="s">
        <v>1759</v>
      </c>
      <c r="B642" s="90" t="s">
        <v>45</v>
      </c>
      <c r="C642" s="98" t="s">
        <v>1790</v>
      </c>
      <c r="D642" s="92" t="s">
        <v>1791</v>
      </c>
      <c r="E642" s="90" t="s">
        <v>16</v>
      </c>
      <c r="F642" s="99">
        <v>4</v>
      </c>
      <c r="G642" s="94">
        <v>291.37</v>
      </c>
      <c r="H642" s="94">
        <v>32.28</v>
      </c>
      <c r="I642" s="95">
        <v>323.64999999999998</v>
      </c>
      <c r="J642" s="95">
        <v>1165.48</v>
      </c>
      <c r="K642" s="95">
        <v>129.11999999999989</v>
      </c>
      <c r="L642" s="95">
        <v>1294.5999999999999</v>
      </c>
      <c r="M642" s="96">
        <v>0.27529999999999999</v>
      </c>
      <c r="N642" s="95">
        <v>371.58</v>
      </c>
      <c r="O642" s="95">
        <v>41.17</v>
      </c>
      <c r="P642" s="95">
        <v>412.75</v>
      </c>
      <c r="Q642" s="95">
        <v>1486.32</v>
      </c>
      <c r="R642" s="95">
        <v>164.68</v>
      </c>
      <c r="S642" s="95">
        <v>1651</v>
      </c>
    </row>
    <row r="643" spans="1:19" ht="15" x14ac:dyDescent="0.25">
      <c r="A643" s="90" t="s">
        <v>1759</v>
      </c>
      <c r="B643" s="90" t="s">
        <v>488</v>
      </c>
      <c r="C643" s="98" t="s">
        <v>1792</v>
      </c>
      <c r="D643" s="92" t="s">
        <v>1793</v>
      </c>
      <c r="E643" s="90" t="s">
        <v>16</v>
      </c>
      <c r="F643" s="99">
        <v>1</v>
      </c>
      <c r="G643" s="94">
        <v>142.80000000000001</v>
      </c>
      <c r="H643" s="94">
        <v>0</v>
      </c>
      <c r="I643" s="95">
        <v>142.80000000000001</v>
      </c>
      <c r="J643" s="95">
        <v>142.80000000000001</v>
      </c>
      <c r="K643" s="95">
        <v>0</v>
      </c>
      <c r="L643" s="95">
        <v>142.80000000000001</v>
      </c>
      <c r="M643" s="96">
        <v>0.27529999999999999</v>
      </c>
      <c r="N643" s="95">
        <v>182.11</v>
      </c>
      <c r="O643" s="95">
        <v>0</v>
      </c>
      <c r="P643" s="95">
        <v>182.11</v>
      </c>
      <c r="Q643" s="95">
        <v>182.11</v>
      </c>
      <c r="R643" s="95">
        <v>0</v>
      </c>
      <c r="S643" s="95">
        <v>182.11</v>
      </c>
    </row>
    <row r="644" spans="1:19" ht="15" x14ac:dyDescent="0.25">
      <c r="A644" s="90" t="s">
        <v>1759</v>
      </c>
      <c r="B644" s="90" t="s">
        <v>45</v>
      </c>
      <c r="C644" s="98" t="s">
        <v>1794</v>
      </c>
      <c r="D644" s="92" t="s">
        <v>1795</v>
      </c>
      <c r="E644" s="90" t="s">
        <v>16</v>
      </c>
      <c r="F644" s="99">
        <v>4</v>
      </c>
      <c r="G644" s="94">
        <v>290.27</v>
      </c>
      <c r="H644" s="94">
        <v>19.440000000000001</v>
      </c>
      <c r="I644" s="95">
        <v>309.70999999999998</v>
      </c>
      <c r="J644" s="95">
        <v>1161.08</v>
      </c>
      <c r="K644" s="95">
        <v>77.759999999999991</v>
      </c>
      <c r="L644" s="95">
        <v>1238.8399999999999</v>
      </c>
      <c r="M644" s="96">
        <v>0.27529999999999999</v>
      </c>
      <c r="N644" s="95">
        <v>370.18</v>
      </c>
      <c r="O644" s="95">
        <v>24.79</v>
      </c>
      <c r="P644" s="95">
        <v>394.97</v>
      </c>
      <c r="Q644" s="95">
        <v>1480.72</v>
      </c>
      <c r="R644" s="95">
        <v>99.16</v>
      </c>
      <c r="S644" s="95">
        <v>1579.88</v>
      </c>
    </row>
    <row r="645" spans="1:19" ht="15" x14ac:dyDescent="0.25">
      <c r="A645" s="90" t="s">
        <v>1759</v>
      </c>
      <c r="B645" s="90" t="s">
        <v>45</v>
      </c>
      <c r="C645" s="98" t="s">
        <v>1796</v>
      </c>
      <c r="D645" s="92" t="s">
        <v>1797</v>
      </c>
      <c r="E645" s="90" t="s">
        <v>16</v>
      </c>
      <c r="F645" s="99">
        <v>1</v>
      </c>
      <c r="G645" s="94">
        <v>213.2</v>
      </c>
      <c r="H645" s="94">
        <v>1.94</v>
      </c>
      <c r="I645" s="95">
        <v>215.14</v>
      </c>
      <c r="J645" s="95">
        <v>213.2</v>
      </c>
      <c r="K645" s="95">
        <v>1.9399999999999977</v>
      </c>
      <c r="L645" s="95">
        <v>215.14</v>
      </c>
      <c r="M645" s="96">
        <v>0.27529999999999999</v>
      </c>
      <c r="N645" s="95">
        <v>271.89</v>
      </c>
      <c r="O645" s="95">
        <v>2.4700000000000002</v>
      </c>
      <c r="P645" s="95">
        <v>274.36</v>
      </c>
      <c r="Q645" s="95">
        <v>271.89</v>
      </c>
      <c r="R645" s="95">
        <v>2.4700000000000002</v>
      </c>
      <c r="S645" s="95">
        <v>274.36</v>
      </c>
    </row>
    <row r="646" spans="1:19" ht="15" x14ac:dyDescent="0.25">
      <c r="A646" s="90" t="s">
        <v>1759</v>
      </c>
      <c r="B646" s="90" t="s">
        <v>488</v>
      </c>
      <c r="C646" s="98" t="s">
        <v>1798</v>
      </c>
      <c r="D646" s="92" t="s">
        <v>1799</v>
      </c>
      <c r="E646" s="90" t="s">
        <v>16</v>
      </c>
      <c r="F646" s="99">
        <v>44</v>
      </c>
      <c r="G646" s="94">
        <v>14.37</v>
      </c>
      <c r="H646" s="94">
        <v>13.68</v>
      </c>
      <c r="I646" s="95">
        <v>28.049999999999997</v>
      </c>
      <c r="J646" s="95">
        <v>632.28</v>
      </c>
      <c r="K646" s="95">
        <v>601.92000000000007</v>
      </c>
      <c r="L646" s="95">
        <v>1234.2</v>
      </c>
      <c r="M646" s="96">
        <v>0.27529999999999999</v>
      </c>
      <c r="N646" s="95">
        <v>18.329999999999998</v>
      </c>
      <c r="O646" s="95">
        <v>17.45</v>
      </c>
      <c r="P646" s="95">
        <v>35.78</v>
      </c>
      <c r="Q646" s="95">
        <v>806.52</v>
      </c>
      <c r="R646" s="95">
        <v>767.8</v>
      </c>
      <c r="S646" s="95">
        <v>1574.32</v>
      </c>
    </row>
    <row r="647" spans="1:19" ht="15" x14ac:dyDescent="0.25">
      <c r="A647" s="90" t="s">
        <v>1759</v>
      </c>
      <c r="B647" s="90" t="s">
        <v>86</v>
      </c>
      <c r="C647" s="98" t="s">
        <v>1800</v>
      </c>
      <c r="D647" s="92" t="s">
        <v>1801</v>
      </c>
      <c r="E647" s="90" t="s">
        <v>16</v>
      </c>
      <c r="F647" s="99">
        <v>4</v>
      </c>
      <c r="G647" s="94">
        <v>16.25</v>
      </c>
      <c r="H647" s="94">
        <v>0</v>
      </c>
      <c r="I647" s="95">
        <v>16.25</v>
      </c>
      <c r="J647" s="95">
        <v>65</v>
      </c>
      <c r="K647" s="95">
        <v>0</v>
      </c>
      <c r="L647" s="95">
        <v>65</v>
      </c>
      <c r="M647" s="96">
        <v>0.27529999999999999</v>
      </c>
      <c r="N647" s="95">
        <v>20.72</v>
      </c>
      <c r="O647" s="95">
        <v>0</v>
      </c>
      <c r="P647" s="95">
        <v>20.72</v>
      </c>
      <c r="Q647" s="95">
        <v>82.88</v>
      </c>
      <c r="R647" s="95">
        <v>0</v>
      </c>
      <c r="S647" s="95">
        <v>82.88</v>
      </c>
    </row>
    <row r="648" spans="1:19" ht="15" x14ac:dyDescent="0.25">
      <c r="A648" s="90" t="s">
        <v>1759</v>
      </c>
      <c r="B648" s="90" t="s">
        <v>1802</v>
      </c>
      <c r="C648" s="98" t="s">
        <v>1803</v>
      </c>
      <c r="D648" s="92" t="s">
        <v>1804</v>
      </c>
      <c r="E648" s="90" t="s">
        <v>16</v>
      </c>
      <c r="F648" s="99">
        <v>4</v>
      </c>
      <c r="G648" s="94">
        <v>34.94</v>
      </c>
      <c r="H648" s="94">
        <v>0</v>
      </c>
      <c r="I648" s="95">
        <v>34.94</v>
      </c>
      <c r="J648" s="95">
        <v>139.76</v>
      </c>
      <c r="K648" s="95">
        <v>0</v>
      </c>
      <c r="L648" s="95">
        <v>139.76</v>
      </c>
      <c r="M648" s="96">
        <v>0.27529999999999999</v>
      </c>
      <c r="N648" s="95">
        <v>44.56</v>
      </c>
      <c r="O648" s="95">
        <v>0</v>
      </c>
      <c r="P648" s="95">
        <v>44.56</v>
      </c>
      <c r="Q648" s="95">
        <v>178.24</v>
      </c>
      <c r="R648" s="95">
        <v>0</v>
      </c>
      <c r="S648" s="95">
        <v>178.24</v>
      </c>
    </row>
    <row r="649" spans="1:19" ht="15" x14ac:dyDescent="0.25">
      <c r="A649" s="90" t="s">
        <v>1759</v>
      </c>
      <c r="B649" s="90" t="s">
        <v>1805</v>
      </c>
      <c r="C649" s="98" t="s">
        <v>1806</v>
      </c>
      <c r="D649" s="92" t="s">
        <v>1807</v>
      </c>
      <c r="E649" s="90" t="s">
        <v>16</v>
      </c>
      <c r="F649" s="99">
        <v>1</v>
      </c>
      <c r="G649" s="94">
        <v>29.31</v>
      </c>
      <c r="H649" s="94">
        <v>0</v>
      </c>
      <c r="I649" s="95">
        <v>29.31</v>
      </c>
      <c r="J649" s="95">
        <v>29.31</v>
      </c>
      <c r="K649" s="95">
        <v>0</v>
      </c>
      <c r="L649" s="95">
        <v>29.31</v>
      </c>
      <c r="M649" s="96">
        <v>0.27529999999999999</v>
      </c>
      <c r="N649" s="95">
        <v>37.380000000000003</v>
      </c>
      <c r="O649" s="95">
        <v>0</v>
      </c>
      <c r="P649" s="95">
        <v>37.380000000000003</v>
      </c>
      <c r="Q649" s="95">
        <v>37.380000000000003</v>
      </c>
      <c r="R649" s="95">
        <v>0</v>
      </c>
      <c r="S649" s="95">
        <v>37.380000000000003</v>
      </c>
    </row>
    <row r="650" spans="1:19" ht="15" x14ac:dyDescent="0.25">
      <c r="A650" s="90" t="s">
        <v>1762</v>
      </c>
      <c r="B650" s="90" t="s">
        <v>95</v>
      </c>
      <c r="C650" s="98" t="s">
        <v>1808</v>
      </c>
      <c r="D650" s="92" t="s">
        <v>1809</v>
      </c>
      <c r="E650" s="90" t="s">
        <v>16</v>
      </c>
      <c r="F650" s="99">
        <v>4</v>
      </c>
      <c r="G650" s="94">
        <v>25.95</v>
      </c>
      <c r="H650" s="94">
        <v>0</v>
      </c>
      <c r="I650" s="95">
        <v>25.95</v>
      </c>
      <c r="J650" s="95">
        <v>103.8</v>
      </c>
      <c r="K650" s="95">
        <v>0</v>
      </c>
      <c r="L650" s="95">
        <v>103.8</v>
      </c>
      <c r="M650" s="96">
        <v>0.27529999999999999</v>
      </c>
      <c r="N650" s="95">
        <v>33.090000000000003</v>
      </c>
      <c r="O650" s="95">
        <v>0</v>
      </c>
      <c r="P650" s="95">
        <v>33.090000000000003</v>
      </c>
      <c r="Q650" s="95">
        <v>132.36000000000001</v>
      </c>
      <c r="R650" s="95">
        <v>0</v>
      </c>
      <c r="S650" s="95">
        <v>132.36000000000001</v>
      </c>
    </row>
    <row r="651" spans="1:19" ht="15" x14ac:dyDescent="0.25">
      <c r="A651" s="90" t="s">
        <v>1762</v>
      </c>
      <c r="B651" s="90" t="s">
        <v>95</v>
      </c>
      <c r="C651" s="98" t="s">
        <v>1810</v>
      </c>
      <c r="D651" s="92" t="s">
        <v>1811</v>
      </c>
      <c r="E651" s="90" t="s">
        <v>16</v>
      </c>
      <c r="F651" s="99">
        <v>5</v>
      </c>
      <c r="G651" s="94">
        <v>32.950000000000003</v>
      </c>
      <c r="H651" s="94">
        <v>0</v>
      </c>
      <c r="I651" s="95">
        <v>32.950000000000003</v>
      </c>
      <c r="J651" s="95">
        <v>164.75</v>
      </c>
      <c r="K651" s="95">
        <v>0</v>
      </c>
      <c r="L651" s="95">
        <v>164.75</v>
      </c>
      <c r="M651" s="96">
        <v>0.27529999999999999</v>
      </c>
      <c r="N651" s="95">
        <v>42.02</v>
      </c>
      <c r="O651" s="95">
        <v>0</v>
      </c>
      <c r="P651" s="95">
        <v>42.02</v>
      </c>
      <c r="Q651" s="95">
        <v>210.1</v>
      </c>
      <c r="R651" s="95">
        <v>0</v>
      </c>
      <c r="S651" s="95">
        <v>210.1</v>
      </c>
    </row>
    <row r="652" spans="1:19" ht="15" x14ac:dyDescent="0.25">
      <c r="A652" s="90" t="s">
        <v>1812</v>
      </c>
      <c r="B652" s="102"/>
      <c r="C652" s="91" t="s">
        <v>1813</v>
      </c>
      <c r="D652" s="92"/>
      <c r="E652" s="90"/>
      <c r="F652" s="99"/>
      <c r="G652" s="94"/>
      <c r="H652" s="94"/>
      <c r="I652" s="95"/>
      <c r="J652" s="95"/>
      <c r="K652" s="95"/>
      <c r="L652" s="95"/>
      <c r="M652" s="96"/>
      <c r="N652" s="95"/>
      <c r="O652" s="95"/>
      <c r="P652" s="95"/>
      <c r="Q652" s="95">
        <v>0</v>
      </c>
      <c r="R652" s="95">
        <v>0</v>
      </c>
      <c r="S652" s="95">
        <v>0</v>
      </c>
    </row>
    <row r="653" spans="1:19" ht="15" x14ac:dyDescent="0.25">
      <c r="A653" s="90" t="s">
        <v>1814</v>
      </c>
      <c r="B653" s="90" t="s">
        <v>706</v>
      </c>
      <c r="C653" s="98" t="s">
        <v>1815</v>
      </c>
      <c r="D653" s="92" t="s">
        <v>1764</v>
      </c>
      <c r="E653" s="90" t="s">
        <v>16</v>
      </c>
      <c r="F653" s="99">
        <v>3</v>
      </c>
      <c r="G653" s="94">
        <v>61.14</v>
      </c>
      <c r="H653" s="94">
        <v>23.7</v>
      </c>
      <c r="I653" s="95">
        <v>84.84</v>
      </c>
      <c r="J653" s="95">
        <v>183.42</v>
      </c>
      <c r="K653" s="95">
        <v>71.100000000000023</v>
      </c>
      <c r="L653" s="95">
        <v>254.52</v>
      </c>
      <c r="M653" s="96">
        <v>0.27529999999999999</v>
      </c>
      <c r="N653" s="95">
        <v>77.97</v>
      </c>
      <c r="O653" s="95">
        <v>30.22</v>
      </c>
      <c r="P653" s="95">
        <v>108.19</v>
      </c>
      <c r="Q653" s="95">
        <v>233.91</v>
      </c>
      <c r="R653" s="95">
        <v>90.66</v>
      </c>
      <c r="S653" s="95">
        <v>324.57</v>
      </c>
    </row>
    <row r="654" spans="1:19" ht="15" x14ac:dyDescent="0.25">
      <c r="A654" s="90" t="s">
        <v>1816</v>
      </c>
      <c r="B654" s="90" t="s">
        <v>104</v>
      </c>
      <c r="C654" s="98" t="s">
        <v>1817</v>
      </c>
      <c r="D654" s="92" t="s">
        <v>1767</v>
      </c>
      <c r="E654" s="90" t="s">
        <v>16</v>
      </c>
      <c r="F654" s="99">
        <v>2</v>
      </c>
      <c r="G654" s="94">
        <v>314.86</v>
      </c>
      <c r="H654" s="94">
        <v>0</v>
      </c>
      <c r="I654" s="95">
        <v>314.86</v>
      </c>
      <c r="J654" s="95">
        <v>629.72</v>
      </c>
      <c r="K654" s="95">
        <v>0</v>
      </c>
      <c r="L654" s="95">
        <v>629.72</v>
      </c>
      <c r="M654" s="96">
        <v>0.27529999999999999</v>
      </c>
      <c r="N654" s="95">
        <v>401.54</v>
      </c>
      <c r="O654" s="95">
        <v>0</v>
      </c>
      <c r="P654" s="95">
        <v>401.54</v>
      </c>
      <c r="Q654" s="95">
        <v>803.08</v>
      </c>
      <c r="R654" s="95">
        <v>0</v>
      </c>
      <c r="S654" s="95">
        <v>803.08</v>
      </c>
    </row>
    <row r="655" spans="1:19" ht="15" x14ac:dyDescent="0.25">
      <c r="A655" s="90" t="s">
        <v>1818</v>
      </c>
      <c r="B655" s="90" t="s">
        <v>104</v>
      </c>
      <c r="C655" s="98" t="s">
        <v>1819</v>
      </c>
      <c r="D655" s="92" t="s">
        <v>1820</v>
      </c>
      <c r="E655" s="90" t="s">
        <v>93</v>
      </c>
      <c r="F655" s="99">
        <v>3</v>
      </c>
      <c r="G655" s="94">
        <v>25</v>
      </c>
      <c r="H655" s="94">
        <v>5.08</v>
      </c>
      <c r="I655" s="95">
        <v>30.08</v>
      </c>
      <c r="J655" s="95">
        <v>75</v>
      </c>
      <c r="K655" s="95">
        <v>15.239999999999995</v>
      </c>
      <c r="L655" s="95">
        <v>90.24</v>
      </c>
      <c r="M655" s="96">
        <v>0.27529999999999999</v>
      </c>
      <c r="N655" s="95">
        <v>31.88</v>
      </c>
      <c r="O655" s="95">
        <v>6.48</v>
      </c>
      <c r="P655" s="95">
        <v>38.36</v>
      </c>
      <c r="Q655" s="95">
        <v>95.64</v>
      </c>
      <c r="R655" s="95">
        <v>19.440000000000001</v>
      </c>
      <c r="S655" s="95">
        <v>115.08</v>
      </c>
    </row>
    <row r="656" spans="1:19" ht="15" x14ac:dyDescent="0.25">
      <c r="A656" s="90" t="s">
        <v>1821</v>
      </c>
      <c r="B656" s="90" t="s">
        <v>31</v>
      </c>
      <c r="C656" s="98" t="s">
        <v>1822</v>
      </c>
      <c r="D656" s="92" t="s">
        <v>1823</v>
      </c>
      <c r="E656" s="90" t="s">
        <v>1435</v>
      </c>
      <c r="F656" s="99">
        <v>1</v>
      </c>
      <c r="G656" s="94">
        <v>0.78</v>
      </c>
      <c r="H656" s="94">
        <v>0</v>
      </c>
      <c r="I656" s="95">
        <v>0.78</v>
      </c>
      <c r="J656" s="95">
        <v>0.78</v>
      </c>
      <c r="K656" s="95">
        <v>0</v>
      </c>
      <c r="L656" s="95">
        <v>0.78</v>
      </c>
      <c r="M656" s="96">
        <v>0.27529999999999999</v>
      </c>
      <c r="N656" s="95">
        <v>0.99</v>
      </c>
      <c r="O656" s="95">
        <v>0</v>
      </c>
      <c r="P656" s="95">
        <v>0.99</v>
      </c>
      <c r="Q656" s="95">
        <v>0.99</v>
      </c>
      <c r="R656" s="95">
        <v>0</v>
      </c>
      <c r="S656" s="95">
        <v>0.99</v>
      </c>
    </row>
    <row r="657" spans="1:19" ht="15" x14ac:dyDescent="0.25">
      <c r="A657" s="90" t="s">
        <v>1824</v>
      </c>
      <c r="B657" s="90" t="s">
        <v>86</v>
      </c>
      <c r="C657" s="98" t="s">
        <v>1825</v>
      </c>
      <c r="D657" s="92" t="s">
        <v>1826</v>
      </c>
      <c r="E657" s="90" t="s">
        <v>93</v>
      </c>
      <c r="F657" s="99">
        <v>13</v>
      </c>
      <c r="G657" s="94">
        <v>6.66</v>
      </c>
      <c r="H657" s="94">
        <v>4.67</v>
      </c>
      <c r="I657" s="95">
        <v>11.33</v>
      </c>
      <c r="J657" s="95">
        <v>86.58</v>
      </c>
      <c r="K657" s="95">
        <v>60.709999999999994</v>
      </c>
      <c r="L657" s="95">
        <v>147.29</v>
      </c>
      <c r="M657" s="96">
        <v>0.27529999999999999</v>
      </c>
      <c r="N657" s="95">
        <v>8.49</v>
      </c>
      <c r="O657" s="95">
        <v>5.96</v>
      </c>
      <c r="P657" s="95">
        <v>14.45</v>
      </c>
      <c r="Q657" s="95">
        <v>110.37</v>
      </c>
      <c r="R657" s="95">
        <v>77.48</v>
      </c>
      <c r="S657" s="95">
        <v>187.85000000000002</v>
      </c>
    </row>
    <row r="658" spans="1:19" ht="15" x14ac:dyDescent="0.25">
      <c r="A658" s="90" t="s">
        <v>1827</v>
      </c>
      <c r="B658" s="90" t="s">
        <v>706</v>
      </c>
      <c r="C658" s="98" t="s">
        <v>1784</v>
      </c>
      <c r="D658" s="92" t="s">
        <v>1828</v>
      </c>
      <c r="E658" s="90" t="s">
        <v>93</v>
      </c>
      <c r="F658" s="99">
        <v>13</v>
      </c>
      <c r="G658" s="94">
        <v>3.94</v>
      </c>
      <c r="H658" s="94">
        <v>5.92</v>
      </c>
      <c r="I658" s="95">
        <v>9.86</v>
      </c>
      <c r="J658" s="95">
        <v>51.22</v>
      </c>
      <c r="K658" s="95">
        <v>76.960000000000008</v>
      </c>
      <c r="L658" s="95">
        <v>128.18</v>
      </c>
      <c r="M658" s="96">
        <v>0.27529999999999999</v>
      </c>
      <c r="N658" s="95">
        <v>5.0199999999999996</v>
      </c>
      <c r="O658" s="95">
        <v>7.55</v>
      </c>
      <c r="P658" s="95">
        <v>12.57</v>
      </c>
      <c r="Q658" s="95">
        <v>65.260000000000005</v>
      </c>
      <c r="R658" s="95">
        <v>98.15</v>
      </c>
      <c r="S658" s="95">
        <v>163.41000000000003</v>
      </c>
    </row>
    <row r="659" spans="1:19" ht="15" x14ac:dyDescent="0.25">
      <c r="A659" s="90" t="s">
        <v>1829</v>
      </c>
      <c r="B659" s="90" t="s">
        <v>31</v>
      </c>
      <c r="C659" s="98" t="s">
        <v>1830</v>
      </c>
      <c r="D659" s="92" t="s">
        <v>1787</v>
      </c>
      <c r="E659" s="90" t="s">
        <v>1435</v>
      </c>
      <c r="F659" s="99">
        <v>48</v>
      </c>
      <c r="G659" s="94">
        <v>7.66</v>
      </c>
      <c r="H659" s="94">
        <v>22.2</v>
      </c>
      <c r="I659" s="95">
        <v>29.86</v>
      </c>
      <c r="J659" s="95">
        <v>367.68</v>
      </c>
      <c r="K659" s="95">
        <v>1065.5999999999999</v>
      </c>
      <c r="L659" s="95">
        <v>1433.28</v>
      </c>
      <c r="M659" s="96">
        <v>0.27529999999999999</v>
      </c>
      <c r="N659" s="95">
        <v>9.77</v>
      </c>
      <c r="O659" s="95">
        <v>28.31</v>
      </c>
      <c r="P659" s="95">
        <v>38.08</v>
      </c>
      <c r="Q659" s="95">
        <v>468.96</v>
      </c>
      <c r="R659" s="95">
        <v>1358.88</v>
      </c>
      <c r="S659" s="95">
        <v>1827.8400000000001</v>
      </c>
    </row>
    <row r="660" spans="1:19" ht="15" x14ac:dyDescent="0.25">
      <c r="A660" s="90" t="s">
        <v>1831</v>
      </c>
      <c r="B660" s="90" t="s">
        <v>45</v>
      </c>
      <c r="C660" s="98" t="s">
        <v>1788</v>
      </c>
      <c r="D660" s="92" t="s">
        <v>1789</v>
      </c>
      <c r="E660" s="90" t="s">
        <v>16</v>
      </c>
      <c r="F660" s="99">
        <v>1</v>
      </c>
      <c r="G660" s="94">
        <v>5379.67</v>
      </c>
      <c r="H660" s="94">
        <v>169.66</v>
      </c>
      <c r="I660" s="95">
        <v>5549.33</v>
      </c>
      <c r="J660" s="95">
        <v>5379.67</v>
      </c>
      <c r="K660" s="95">
        <v>169.65999999999985</v>
      </c>
      <c r="L660" s="95">
        <v>5549.33</v>
      </c>
      <c r="M660" s="96">
        <v>0.27529999999999999</v>
      </c>
      <c r="N660" s="95">
        <v>6860.69</v>
      </c>
      <c r="O660" s="95">
        <v>216.37</v>
      </c>
      <c r="P660" s="95">
        <v>7077.0599999999995</v>
      </c>
      <c r="Q660" s="95">
        <v>6860.69</v>
      </c>
      <c r="R660" s="95">
        <v>216.37</v>
      </c>
      <c r="S660" s="95">
        <v>7077.0599999999995</v>
      </c>
    </row>
    <row r="661" spans="1:19" ht="15" x14ac:dyDescent="0.25">
      <c r="A661" s="90" t="s">
        <v>1832</v>
      </c>
      <c r="B661" s="90" t="s">
        <v>45</v>
      </c>
      <c r="C661" s="98" t="s">
        <v>1833</v>
      </c>
      <c r="D661" s="92" t="s">
        <v>1834</v>
      </c>
      <c r="E661" s="90" t="s">
        <v>16</v>
      </c>
      <c r="F661" s="99">
        <v>1</v>
      </c>
      <c r="G661" s="94">
        <v>352.15</v>
      </c>
      <c r="H661" s="94">
        <v>19.440000000000001</v>
      </c>
      <c r="I661" s="95">
        <v>371.59</v>
      </c>
      <c r="J661" s="95">
        <v>352.15</v>
      </c>
      <c r="K661" s="95">
        <v>19.439999999999998</v>
      </c>
      <c r="L661" s="95">
        <v>371.59</v>
      </c>
      <c r="M661" s="96">
        <v>0.27529999999999999</v>
      </c>
      <c r="N661" s="95">
        <v>449.1</v>
      </c>
      <c r="O661" s="95">
        <v>24.79</v>
      </c>
      <c r="P661" s="95">
        <v>473.89000000000004</v>
      </c>
      <c r="Q661" s="95">
        <v>449.1</v>
      </c>
      <c r="R661" s="95">
        <v>24.79</v>
      </c>
      <c r="S661" s="95">
        <v>473.89000000000004</v>
      </c>
    </row>
    <row r="662" spans="1:19" ht="15" x14ac:dyDescent="0.25">
      <c r="A662" s="90" t="s">
        <v>1814</v>
      </c>
      <c r="B662" s="90" t="s">
        <v>488</v>
      </c>
      <c r="C662" s="98" t="s">
        <v>1792</v>
      </c>
      <c r="D662" s="92" t="s">
        <v>1793</v>
      </c>
      <c r="E662" s="90" t="s">
        <v>16</v>
      </c>
      <c r="F662" s="99">
        <v>1</v>
      </c>
      <c r="G662" s="94">
        <v>142.80000000000001</v>
      </c>
      <c r="H662" s="94">
        <v>0</v>
      </c>
      <c r="I662" s="95">
        <v>142.80000000000001</v>
      </c>
      <c r="J662" s="95">
        <v>142.80000000000001</v>
      </c>
      <c r="K662" s="95">
        <v>0</v>
      </c>
      <c r="L662" s="95">
        <v>142.80000000000001</v>
      </c>
      <c r="M662" s="96">
        <v>0.27529999999999999</v>
      </c>
      <c r="N662" s="95">
        <v>182.11</v>
      </c>
      <c r="O662" s="95">
        <v>0</v>
      </c>
      <c r="P662" s="95">
        <v>182.11</v>
      </c>
      <c r="Q662" s="95">
        <v>182.11</v>
      </c>
      <c r="R662" s="95">
        <v>0</v>
      </c>
      <c r="S662" s="95">
        <v>182.11</v>
      </c>
    </row>
    <row r="663" spans="1:19" ht="15" x14ac:dyDescent="0.25">
      <c r="A663" s="90" t="s">
        <v>1814</v>
      </c>
      <c r="B663" s="90" t="s">
        <v>488</v>
      </c>
      <c r="C663" s="98" t="s">
        <v>1792</v>
      </c>
      <c r="D663" s="92" t="s">
        <v>1793</v>
      </c>
      <c r="E663" s="90" t="s">
        <v>16</v>
      </c>
      <c r="F663" s="99">
        <v>1</v>
      </c>
      <c r="G663" s="94">
        <v>142.80000000000001</v>
      </c>
      <c r="H663" s="94">
        <v>0</v>
      </c>
      <c r="I663" s="95">
        <v>142.80000000000001</v>
      </c>
      <c r="J663" s="95">
        <v>142.80000000000001</v>
      </c>
      <c r="K663" s="95">
        <v>0</v>
      </c>
      <c r="L663" s="95">
        <v>142.80000000000001</v>
      </c>
      <c r="M663" s="96">
        <v>0.27529999999999999</v>
      </c>
      <c r="N663" s="95">
        <v>182.11</v>
      </c>
      <c r="O663" s="95">
        <v>0</v>
      </c>
      <c r="P663" s="95">
        <v>182.11</v>
      </c>
      <c r="Q663" s="95">
        <v>182.11</v>
      </c>
      <c r="R663" s="95">
        <v>0</v>
      </c>
      <c r="S663" s="95">
        <v>182.11</v>
      </c>
    </row>
    <row r="664" spans="1:19" ht="15" x14ac:dyDescent="0.25">
      <c r="A664" s="90" t="s">
        <v>1814</v>
      </c>
      <c r="B664" s="90" t="s">
        <v>45</v>
      </c>
      <c r="C664" s="98" t="s">
        <v>1794</v>
      </c>
      <c r="D664" s="92" t="s">
        <v>1795</v>
      </c>
      <c r="E664" s="90" t="s">
        <v>16</v>
      </c>
      <c r="F664" s="99">
        <v>4</v>
      </c>
      <c r="G664" s="94">
        <v>290.27</v>
      </c>
      <c r="H664" s="94">
        <v>19.440000000000001</v>
      </c>
      <c r="I664" s="95">
        <v>309.70999999999998</v>
      </c>
      <c r="J664" s="95">
        <v>1161.08</v>
      </c>
      <c r="K664" s="95">
        <v>77.759999999999991</v>
      </c>
      <c r="L664" s="95">
        <v>1238.8399999999999</v>
      </c>
      <c r="M664" s="96">
        <v>0.27529999999999999</v>
      </c>
      <c r="N664" s="95">
        <v>370.18</v>
      </c>
      <c r="O664" s="95">
        <v>24.79</v>
      </c>
      <c r="P664" s="95">
        <v>394.97</v>
      </c>
      <c r="Q664" s="95">
        <v>1480.72</v>
      </c>
      <c r="R664" s="95">
        <v>99.16</v>
      </c>
      <c r="S664" s="95">
        <v>1579.88</v>
      </c>
    </row>
    <row r="665" spans="1:19" ht="15" x14ac:dyDescent="0.25">
      <c r="A665" s="90" t="s">
        <v>1814</v>
      </c>
      <c r="B665" s="90" t="s">
        <v>45</v>
      </c>
      <c r="C665" s="98" t="s">
        <v>1796</v>
      </c>
      <c r="D665" s="92" t="s">
        <v>1797</v>
      </c>
      <c r="E665" s="90" t="s">
        <v>16</v>
      </c>
      <c r="F665" s="99">
        <v>1</v>
      </c>
      <c r="G665" s="94">
        <v>213.2</v>
      </c>
      <c r="H665" s="94">
        <v>1.94</v>
      </c>
      <c r="I665" s="95">
        <v>215.14</v>
      </c>
      <c r="J665" s="95">
        <v>213.2</v>
      </c>
      <c r="K665" s="95">
        <v>1.9399999999999977</v>
      </c>
      <c r="L665" s="95">
        <v>215.14</v>
      </c>
      <c r="M665" s="96">
        <v>0.27529999999999999</v>
      </c>
      <c r="N665" s="95">
        <v>271.89</v>
      </c>
      <c r="O665" s="95">
        <v>2.4700000000000002</v>
      </c>
      <c r="P665" s="95">
        <v>274.36</v>
      </c>
      <c r="Q665" s="95">
        <v>271.89</v>
      </c>
      <c r="R665" s="95">
        <v>2.4700000000000002</v>
      </c>
      <c r="S665" s="95">
        <v>274.36</v>
      </c>
    </row>
    <row r="666" spans="1:19" ht="15" x14ac:dyDescent="0.25">
      <c r="A666" s="90" t="s">
        <v>1814</v>
      </c>
      <c r="B666" s="90" t="s">
        <v>488</v>
      </c>
      <c r="C666" s="98" t="s">
        <v>1798</v>
      </c>
      <c r="D666" s="92" t="s">
        <v>1799</v>
      </c>
      <c r="E666" s="90" t="s">
        <v>16</v>
      </c>
      <c r="F666" s="99">
        <v>18</v>
      </c>
      <c r="G666" s="94">
        <v>14.37</v>
      </c>
      <c r="H666" s="94">
        <v>13.68</v>
      </c>
      <c r="I666" s="95">
        <v>28.049999999999997</v>
      </c>
      <c r="J666" s="95">
        <v>258.66000000000003</v>
      </c>
      <c r="K666" s="95">
        <v>246.23999999999995</v>
      </c>
      <c r="L666" s="95">
        <v>504.9</v>
      </c>
      <c r="M666" s="96">
        <v>0.27529999999999999</v>
      </c>
      <c r="N666" s="95">
        <v>18.329999999999998</v>
      </c>
      <c r="O666" s="95">
        <v>17.45</v>
      </c>
      <c r="P666" s="95">
        <v>35.78</v>
      </c>
      <c r="Q666" s="95">
        <v>329.94</v>
      </c>
      <c r="R666" s="95">
        <v>314.10000000000002</v>
      </c>
      <c r="S666" s="95">
        <v>644.04</v>
      </c>
    </row>
    <row r="667" spans="1:19" ht="15" x14ac:dyDescent="0.25">
      <c r="A667" s="90" t="s">
        <v>1814</v>
      </c>
      <c r="B667" s="90" t="s">
        <v>86</v>
      </c>
      <c r="C667" s="98" t="s">
        <v>1800</v>
      </c>
      <c r="D667" s="92" t="s">
        <v>1801</v>
      </c>
      <c r="E667" s="90" t="s">
        <v>16</v>
      </c>
      <c r="F667" s="99">
        <v>3</v>
      </c>
      <c r="G667" s="94">
        <v>16.25</v>
      </c>
      <c r="H667" s="94">
        <v>0</v>
      </c>
      <c r="I667" s="95">
        <v>16.25</v>
      </c>
      <c r="J667" s="95">
        <v>48.75</v>
      </c>
      <c r="K667" s="95">
        <v>0</v>
      </c>
      <c r="L667" s="95">
        <v>48.75</v>
      </c>
      <c r="M667" s="96">
        <v>0.27529999999999999</v>
      </c>
      <c r="N667" s="95">
        <v>20.72</v>
      </c>
      <c r="O667" s="95">
        <v>0</v>
      </c>
      <c r="P667" s="95">
        <v>20.72</v>
      </c>
      <c r="Q667" s="95">
        <v>62.16</v>
      </c>
      <c r="R667" s="95">
        <v>0</v>
      </c>
      <c r="S667" s="95">
        <v>62.16</v>
      </c>
    </row>
    <row r="668" spans="1:19" ht="15" x14ac:dyDescent="0.25">
      <c r="A668" s="90" t="s">
        <v>1814</v>
      </c>
      <c r="B668" s="90" t="s">
        <v>1802</v>
      </c>
      <c r="C668" s="98" t="s">
        <v>1803</v>
      </c>
      <c r="D668" s="92" t="s">
        <v>1804</v>
      </c>
      <c r="E668" s="90" t="s">
        <v>16</v>
      </c>
      <c r="F668" s="99">
        <v>1</v>
      </c>
      <c r="G668" s="94">
        <v>34.94</v>
      </c>
      <c r="H668" s="94">
        <v>0</v>
      </c>
      <c r="I668" s="95">
        <v>34.94</v>
      </c>
      <c r="J668" s="95">
        <v>34.94</v>
      </c>
      <c r="K668" s="95">
        <v>0</v>
      </c>
      <c r="L668" s="95">
        <v>34.94</v>
      </c>
      <c r="M668" s="96">
        <v>0.27529999999999999</v>
      </c>
      <c r="N668" s="95">
        <v>44.56</v>
      </c>
      <c r="O668" s="95">
        <v>0</v>
      </c>
      <c r="P668" s="95">
        <v>44.56</v>
      </c>
      <c r="Q668" s="95">
        <v>44.56</v>
      </c>
      <c r="R668" s="95">
        <v>0</v>
      </c>
      <c r="S668" s="95">
        <v>44.56</v>
      </c>
    </row>
    <row r="669" spans="1:19" ht="15" x14ac:dyDescent="0.25">
      <c r="A669" s="90" t="s">
        <v>1814</v>
      </c>
      <c r="B669" s="90" t="s">
        <v>1805</v>
      </c>
      <c r="C669" s="98" t="s">
        <v>1806</v>
      </c>
      <c r="D669" s="92" t="s">
        <v>1807</v>
      </c>
      <c r="E669" s="90" t="s">
        <v>16</v>
      </c>
      <c r="F669" s="99">
        <v>1</v>
      </c>
      <c r="G669" s="94">
        <v>29.31</v>
      </c>
      <c r="H669" s="94">
        <v>0</v>
      </c>
      <c r="I669" s="95">
        <v>29.31</v>
      </c>
      <c r="J669" s="95">
        <v>29.31</v>
      </c>
      <c r="K669" s="95">
        <v>0</v>
      </c>
      <c r="L669" s="95">
        <v>29.31</v>
      </c>
      <c r="M669" s="96">
        <v>0.27529999999999999</v>
      </c>
      <c r="N669" s="95">
        <v>37.380000000000003</v>
      </c>
      <c r="O669" s="95">
        <v>0</v>
      </c>
      <c r="P669" s="95">
        <v>37.380000000000003</v>
      </c>
      <c r="Q669" s="95">
        <v>37.380000000000003</v>
      </c>
      <c r="R669" s="95">
        <v>0</v>
      </c>
      <c r="S669" s="95">
        <v>37.380000000000003</v>
      </c>
    </row>
    <row r="670" spans="1:19" ht="15" x14ac:dyDescent="0.25">
      <c r="A670" s="90" t="s">
        <v>1814</v>
      </c>
      <c r="B670" s="90" t="s">
        <v>95</v>
      </c>
      <c r="C670" s="98" t="s">
        <v>1808</v>
      </c>
      <c r="D670" s="92" t="s">
        <v>1809</v>
      </c>
      <c r="E670" s="90" t="s">
        <v>16</v>
      </c>
      <c r="F670" s="99">
        <v>2</v>
      </c>
      <c r="G670" s="94">
        <v>25.95</v>
      </c>
      <c r="H670" s="94">
        <v>0</v>
      </c>
      <c r="I670" s="95">
        <v>25.95</v>
      </c>
      <c r="J670" s="95">
        <v>51.9</v>
      </c>
      <c r="K670" s="95">
        <v>0</v>
      </c>
      <c r="L670" s="95">
        <v>51.9</v>
      </c>
      <c r="M670" s="96">
        <v>0.27529999999999999</v>
      </c>
      <c r="N670" s="95">
        <v>33.090000000000003</v>
      </c>
      <c r="O670" s="95">
        <v>0</v>
      </c>
      <c r="P670" s="95">
        <v>33.090000000000003</v>
      </c>
      <c r="Q670" s="95">
        <v>66.180000000000007</v>
      </c>
      <c r="R670" s="95">
        <v>0</v>
      </c>
      <c r="S670" s="95">
        <v>66.180000000000007</v>
      </c>
    </row>
    <row r="671" spans="1:19" ht="15" x14ac:dyDescent="0.25">
      <c r="A671" s="90" t="s">
        <v>1814</v>
      </c>
      <c r="B671" s="90" t="s">
        <v>95</v>
      </c>
      <c r="C671" s="98" t="s">
        <v>1810</v>
      </c>
      <c r="D671" s="92" t="s">
        <v>1811</v>
      </c>
      <c r="E671" s="90" t="s">
        <v>16</v>
      </c>
      <c r="F671" s="99">
        <v>5</v>
      </c>
      <c r="G671" s="94">
        <v>32.950000000000003</v>
      </c>
      <c r="H671" s="94">
        <v>0</v>
      </c>
      <c r="I671" s="95">
        <v>32.950000000000003</v>
      </c>
      <c r="J671" s="95">
        <v>164.75</v>
      </c>
      <c r="K671" s="95">
        <v>0</v>
      </c>
      <c r="L671" s="95">
        <v>164.75</v>
      </c>
      <c r="M671" s="96">
        <v>0.27529999999999999</v>
      </c>
      <c r="N671" s="95">
        <v>42.02</v>
      </c>
      <c r="O671" s="95">
        <v>0</v>
      </c>
      <c r="P671" s="95">
        <v>42.02</v>
      </c>
      <c r="Q671" s="95">
        <v>210.1</v>
      </c>
      <c r="R671" s="95">
        <v>0</v>
      </c>
      <c r="S671" s="95">
        <v>210.1</v>
      </c>
    </row>
    <row r="672" spans="1:19" ht="15" x14ac:dyDescent="0.25">
      <c r="A672" s="90" t="s">
        <v>1835</v>
      </c>
      <c r="B672" s="90"/>
      <c r="C672" s="91" t="s">
        <v>1836</v>
      </c>
      <c r="D672" s="92"/>
      <c r="E672" s="90"/>
      <c r="F672" s="99"/>
      <c r="G672" s="94"/>
      <c r="H672" s="94"/>
      <c r="I672" s="95"/>
      <c r="J672" s="95"/>
      <c r="K672" s="95"/>
      <c r="L672" s="95"/>
      <c r="M672" s="96"/>
      <c r="N672" s="95"/>
      <c r="O672" s="95"/>
      <c r="P672" s="95"/>
      <c r="Q672" s="95"/>
      <c r="R672" s="95">
        <v>0</v>
      </c>
      <c r="S672" s="95">
        <v>0</v>
      </c>
    </row>
    <row r="673" spans="1:19" ht="76.5" x14ac:dyDescent="0.25">
      <c r="A673" s="90" t="s">
        <v>1837</v>
      </c>
      <c r="B673" s="90" t="s">
        <v>233</v>
      </c>
      <c r="C673" s="98" t="s">
        <v>1838</v>
      </c>
      <c r="D673" s="92" t="s">
        <v>1839</v>
      </c>
      <c r="E673" s="90" t="s">
        <v>16</v>
      </c>
      <c r="F673" s="99">
        <v>1</v>
      </c>
      <c r="G673" s="94">
        <v>48777.42</v>
      </c>
      <c r="H673" s="94">
        <v>1994.13</v>
      </c>
      <c r="I673" s="95">
        <v>50771.549999999996</v>
      </c>
      <c r="J673" s="95">
        <v>48777.42</v>
      </c>
      <c r="K673" s="95">
        <v>1994.1300000000047</v>
      </c>
      <c r="L673" s="95">
        <v>50771.55</v>
      </c>
      <c r="M673" s="96">
        <v>0.27529999999999999</v>
      </c>
      <c r="N673" s="95">
        <v>62205.84</v>
      </c>
      <c r="O673" s="95">
        <v>2543.11</v>
      </c>
      <c r="P673" s="95">
        <v>64748.95</v>
      </c>
      <c r="Q673" s="95">
        <v>62205.84</v>
      </c>
      <c r="R673" s="95">
        <v>2543.11</v>
      </c>
      <c r="S673" s="95">
        <v>64748.95</v>
      </c>
    </row>
    <row r="674" spans="1:19" ht="15" x14ac:dyDescent="0.25">
      <c r="A674" s="90" t="s">
        <v>1840</v>
      </c>
      <c r="B674" s="90" t="s">
        <v>45</v>
      </c>
      <c r="C674" s="98" t="s">
        <v>1841</v>
      </c>
      <c r="D674" s="92" t="s">
        <v>1842</v>
      </c>
      <c r="E674" s="90" t="s">
        <v>16</v>
      </c>
      <c r="F674" s="99">
        <v>2</v>
      </c>
      <c r="G674" s="94">
        <v>2592.71</v>
      </c>
      <c r="H674" s="94">
        <v>29.07</v>
      </c>
      <c r="I674" s="95">
        <v>2621.78</v>
      </c>
      <c r="J674" s="95">
        <v>5185.42</v>
      </c>
      <c r="K674" s="95">
        <v>58.140000000000327</v>
      </c>
      <c r="L674" s="95">
        <v>5243.56</v>
      </c>
      <c r="M674" s="96">
        <v>0.27529999999999999</v>
      </c>
      <c r="N674" s="95">
        <v>3306.48</v>
      </c>
      <c r="O674" s="95">
        <v>37.07</v>
      </c>
      <c r="P674" s="95">
        <v>3343.55</v>
      </c>
      <c r="Q674" s="95">
        <v>6612.96</v>
      </c>
      <c r="R674" s="95">
        <v>74.14</v>
      </c>
      <c r="S674" s="95">
        <v>6687.1</v>
      </c>
    </row>
    <row r="675" spans="1:19" ht="38.25" x14ac:dyDescent="0.25">
      <c r="A675" s="90" t="s">
        <v>1843</v>
      </c>
      <c r="B675" s="90" t="s">
        <v>31</v>
      </c>
      <c r="C675" s="98" t="s">
        <v>1844</v>
      </c>
      <c r="D675" s="92" t="s">
        <v>1845</v>
      </c>
      <c r="E675" s="90" t="s">
        <v>16</v>
      </c>
      <c r="F675" s="99">
        <v>2</v>
      </c>
      <c r="G675" s="94">
        <v>1770.47</v>
      </c>
      <c r="H675" s="94">
        <v>110.38</v>
      </c>
      <c r="I675" s="95">
        <v>1880.85</v>
      </c>
      <c r="J675" s="95">
        <v>3540.94</v>
      </c>
      <c r="K675" s="95">
        <v>220.75999999999976</v>
      </c>
      <c r="L675" s="95">
        <v>3761.7</v>
      </c>
      <c r="M675" s="96">
        <v>0.27529999999999999</v>
      </c>
      <c r="N675" s="95">
        <v>2257.88</v>
      </c>
      <c r="O675" s="95">
        <v>140.77000000000001</v>
      </c>
      <c r="P675" s="95">
        <v>2398.65</v>
      </c>
      <c r="Q675" s="95">
        <v>4515.76</v>
      </c>
      <c r="R675" s="95">
        <v>281.54000000000002</v>
      </c>
      <c r="S675" s="95">
        <v>4797.3</v>
      </c>
    </row>
    <row r="676" spans="1:19" ht="15" x14ac:dyDescent="0.25">
      <c r="A676" s="90" t="s">
        <v>1846</v>
      </c>
      <c r="B676" s="90"/>
      <c r="C676" s="98" t="s">
        <v>1847</v>
      </c>
      <c r="D676" s="92"/>
      <c r="E676" s="90"/>
      <c r="F676" s="99"/>
      <c r="G676" s="94"/>
      <c r="H676" s="94"/>
      <c r="I676" s="95"/>
      <c r="J676" s="95"/>
      <c r="K676" s="95"/>
      <c r="L676" s="95"/>
      <c r="M676" s="96">
        <v>0</v>
      </c>
      <c r="N676" s="95"/>
      <c r="O676" s="95"/>
      <c r="P676" s="95"/>
      <c r="Q676" s="95">
        <v>0</v>
      </c>
      <c r="R676" s="95">
        <v>0</v>
      </c>
      <c r="S676" s="95">
        <v>0</v>
      </c>
    </row>
    <row r="677" spans="1:19" ht="15" x14ac:dyDescent="0.25">
      <c r="A677" s="90" t="s">
        <v>1848</v>
      </c>
      <c r="B677" s="90" t="s">
        <v>706</v>
      </c>
      <c r="C677" s="98" t="s">
        <v>1849</v>
      </c>
      <c r="D677" s="92" t="s">
        <v>1850</v>
      </c>
      <c r="E677" s="90" t="s">
        <v>93</v>
      </c>
      <c r="F677" s="99">
        <v>4</v>
      </c>
      <c r="G677" s="94">
        <v>49.64</v>
      </c>
      <c r="H677" s="94">
        <v>31.02</v>
      </c>
      <c r="I677" s="95">
        <v>80.66</v>
      </c>
      <c r="J677" s="95">
        <v>198.56</v>
      </c>
      <c r="K677" s="95">
        <v>124.07999999999998</v>
      </c>
      <c r="L677" s="95">
        <v>322.64</v>
      </c>
      <c r="M677" s="96">
        <v>0.27529999999999999</v>
      </c>
      <c r="N677" s="95">
        <v>63.31</v>
      </c>
      <c r="O677" s="95">
        <v>39.56</v>
      </c>
      <c r="P677" s="95">
        <v>102.87</v>
      </c>
      <c r="Q677" s="95">
        <v>253.24</v>
      </c>
      <c r="R677" s="95">
        <v>158.24</v>
      </c>
      <c r="S677" s="95">
        <v>411.48</v>
      </c>
    </row>
    <row r="678" spans="1:19" ht="15" x14ac:dyDescent="0.25">
      <c r="A678" s="90" t="s">
        <v>1851</v>
      </c>
      <c r="B678" s="90" t="s">
        <v>706</v>
      </c>
      <c r="C678" s="98" t="s">
        <v>1852</v>
      </c>
      <c r="D678" s="92" t="s">
        <v>1853</v>
      </c>
      <c r="E678" s="90" t="s">
        <v>93</v>
      </c>
      <c r="F678" s="99">
        <v>9</v>
      </c>
      <c r="G678" s="94">
        <v>83.94</v>
      </c>
      <c r="H678" s="94">
        <v>46.53</v>
      </c>
      <c r="I678" s="95">
        <v>130.47</v>
      </c>
      <c r="J678" s="95">
        <v>755.46</v>
      </c>
      <c r="K678" s="95">
        <v>418.77</v>
      </c>
      <c r="L678" s="95">
        <v>1174.23</v>
      </c>
      <c r="M678" s="96">
        <v>0.27529999999999999</v>
      </c>
      <c r="N678" s="95">
        <v>107.05</v>
      </c>
      <c r="O678" s="95">
        <v>59.34</v>
      </c>
      <c r="P678" s="95">
        <v>166.39</v>
      </c>
      <c r="Q678" s="95">
        <v>963.45</v>
      </c>
      <c r="R678" s="95">
        <v>534.05999999999995</v>
      </c>
      <c r="S678" s="95">
        <v>1497.51</v>
      </c>
    </row>
    <row r="679" spans="1:19" ht="15" x14ac:dyDescent="0.25">
      <c r="A679" s="90" t="s">
        <v>1854</v>
      </c>
      <c r="B679" s="90" t="s">
        <v>706</v>
      </c>
      <c r="C679" s="98" t="s">
        <v>1855</v>
      </c>
      <c r="D679" s="92" t="s">
        <v>1856</v>
      </c>
      <c r="E679" s="90" t="s">
        <v>93</v>
      </c>
      <c r="F679" s="99">
        <v>34</v>
      </c>
      <c r="G679" s="94">
        <v>92.59</v>
      </c>
      <c r="H679" s="94">
        <v>54.28</v>
      </c>
      <c r="I679" s="95">
        <v>146.87</v>
      </c>
      <c r="J679" s="95">
        <v>3148.06</v>
      </c>
      <c r="K679" s="95">
        <v>1845.52</v>
      </c>
      <c r="L679" s="95">
        <v>4993.58</v>
      </c>
      <c r="M679" s="96">
        <v>0.27529999999999999</v>
      </c>
      <c r="N679" s="95">
        <v>118.08</v>
      </c>
      <c r="O679" s="95">
        <v>69.22</v>
      </c>
      <c r="P679" s="95">
        <v>187.3</v>
      </c>
      <c r="Q679" s="95">
        <v>4014.72</v>
      </c>
      <c r="R679" s="95">
        <v>2353.48</v>
      </c>
      <c r="S679" s="95">
        <v>6368.2</v>
      </c>
    </row>
    <row r="680" spans="1:19" ht="15" x14ac:dyDescent="0.25">
      <c r="A680" s="90" t="s">
        <v>1857</v>
      </c>
      <c r="B680" s="90" t="s">
        <v>706</v>
      </c>
      <c r="C680" s="98" t="s">
        <v>1858</v>
      </c>
      <c r="D680" s="92" t="s">
        <v>1859</v>
      </c>
      <c r="E680" s="90" t="s">
        <v>93</v>
      </c>
      <c r="F680" s="99">
        <v>1</v>
      </c>
      <c r="G680" s="94">
        <v>154.78</v>
      </c>
      <c r="H680" s="94">
        <v>69.78</v>
      </c>
      <c r="I680" s="95">
        <v>224.56</v>
      </c>
      <c r="J680" s="95">
        <v>154.78</v>
      </c>
      <c r="K680" s="95">
        <v>69.78</v>
      </c>
      <c r="L680" s="95">
        <v>224.56</v>
      </c>
      <c r="M680" s="96">
        <v>0.27529999999999999</v>
      </c>
      <c r="N680" s="95">
        <v>197.39</v>
      </c>
      <c r="O680" s="95">
        <v>88.99</v>
      </c>
      <c r="P680" s="95">
        <v>286.38</v>
      </c>
      <c r="Q680" s="95">
        <v>197.39</v>
      </c>
      <c r="R680" s="95">
        <v>88.99</v>
      </c>
      <c r="S680" s="95">
        <v>286.38</v>
      </c>
    </row>
    <row r="681" spans="1:19" ht="15" x14ac:dyDescent="0.25">
      <c r="A681" s="90" t="s">
        <v>1860</v>
      </c>
      <c r="B681" s="90" t="s">
        <v>45</v>
      </c>
      <c r="C681" s="98" t="s">
        <v>1861</v>
      </c>
      <c r="D681" s="92" t="s">
        <v>1862</v>
      </c>
      <c r="E681" s="90" t="s">
        <v>16</v>
      </c>
      <c r="F681" s="99">
        <v>1</v>
      </c>
      <c r="G681" s="94">
        <v>80</v>
      </c>
      <c r="H681" s="94">
        <v>17.440000000000001</v>
      </c>
      <c r="I681" s="95">
        <v>97.44</v>
      </c>
      <c r="J681" s="95">
        <v>80</v>
      </c>
      <c r="K681" s="95">
        <v>17.439999999999998</v>
      </c>
      <c r="L681" s="95">
        <v>97.44</v>
      </c>
      <c r="M681" s="96">
        <v>0.27529999999999999</v>
      </c>
      <c r="N681" s="95">
        <v>102.02</v>
      </c>
      <c r="O681" s="95">
        <v>22.24</v>
      </c>
      <c r="P681" s="95">
        <v>124.25999999999999</v>
      </c>
      <c r="Q681" s="95">
        <v>102.02</v>
      </c>
      <c r="R681" s="95">
        <v>22.24</v>
      </c>
      <c r="S681" s="95">
        <v>124.25999999999999</v>
      </c>
    </row>
    <row r="682" spans="1:19" ht="15" x14ac:dyDescent="0.25">
      <c r="A682" s="90" t="s">
        <v>1863</v>
      </c>
      <c r="B682" s="90" t="s">
        <v>706</v>
      </c>
      <c r="C682" s="98" t="s">
        <v>1711</v>
      </c>
      <c r="D682" s="92" t="s">
        <v>1864</v>
      </c>
      <c r="E682" s="90" t="s">
        <v>16</v>
      </c>
      <c r="F682" s="99">
        <v>5</v>
      </c>
      <c r="G682" s="94">
        <v>4027.6</v>
      </c>
      <c r="H682" s="94">
        <v>0</v>
      </c>
      <c r="I682" s="95">
        <v>4027.6</v>
      </c>
      <c r="J682" s="95">
        <v>20138</v>
      </c>
      <c r="K682" s="95">
        <v>0</v>
      </c>
      <c r="L682" s="95">
        <v>20138</v>
      </c>
      <c r="M682" s="96">
        <v>0.27529999999999999</v>
      </c>
      <c r="N682" s="95">
        <v>5136.3999999999996</v>
      </c>
      <c r="O682" s="95">
        <v>0</v>
      </c>
      <c r="P682" s="95">
        <v>5136.3999999999996</v>
      </c>
      <c r="Q682" s="95">
        <v>25682</v>
      </c>
      <c r="R682" s="95">
        <v>0</v>
      </c>
      <c r="S682" s="95">
        <v>25682</v>
      </c>
    </row>
    <row r="683" spans="1:19" ht="15" x14ac:dyDescent="0.25">
      <c r="A683" s="90" t="s">
        <v>1865</v>
      </c>
      <c r="B683" s="90" t="s">
        <v>104</v>
      </c>
      <c r="C683" s="98" t="s">
        <v>1866</v>
      </c>
      <c r="D683" s="92" t="s">
        <v>1867</v>
      </c>
      <c r="E683" s="90" t="s">
        <v>1610</v>
      </c>
      <c r="F683" s="99">
        <v>1</v>
      </c>
      <c r="G683" s="94">
        <v>107.2</v>
      </c>
      <c r="H683" s="94">
        <v>19.38</v>
      </c>
      <c r="I683" s="95">
        <v>126.58</v>
      </c>
      <c r="J683" s="95">
        <v>107.2</v>
      </c>
      <c r="K683" s="95">
        <v>19.379999999999995</v>
      </c>
      <c r="L683" s="95">
        <v>126.58</v>
      </c>
      <c r="M683" s="96">
        <v>0.27529999999999999</v>
      </c>
      <c r="N683" s="95">
        <v>136.71</v>
      </c>
      <c r="O683" s="95">
        <v>24.72</v>
      </c>
      <c r="P683" s="95">
        <v>161.43</v>
      </c>
      <c r="Q683" s="95">
        <v>136.71</v>
      </c>
      <c r="R683" s="95">
        <v>24.72</v>
      </c>
      <c r="S683" s="95">
        <v>161.43</v>
      </c>
    </row>
    <row r="684" spans="1:19" ht="25.5" x14ac:dyDescent="0.25">
      <c r="A684" s="90" t="s">
        <v>1868</v>
      </c>
      <c r="B684" s="90" t="s">
        <v>100</v>
      </c>
      <c r="C684" s="98" t="s">
        <v>1869</v>
      </c>
      <c r="D684" s="92" t="s">
        <v>1870</v>
      </c>
      <c r="E684" s="90" t="s">
        <v>93</v>
      </c>
      <c r="F684" s="99">
        <v>10</v>
      </c>
      <c r="G684" s="94">
        <v>0.7</v>
      </c>
      <c r="H684" s="94">
        <v>1.72</v>
      </c>
      <c r="I684" s="95">
        <v>2.42</v>
      </c>
      <c r="J684" s="95">
        <v>7</v>
      </c>
      <c r="K684" s="95">
        <v>17.2</v>
      </c>
      <c r="L684" s="95">
        <v>24.2</v>
      </c>
      <c r="M684" s="96">
        <v>0.27529999999999999</v>
      </c>
      <c r="N684" s="95">
        <v>0.89</v>
      </c>
      <c r="O684" s="95">
        <v>2.19</v>
      </c>
      <c r="P684" s="95">
        <v>3.08</v>
      </c>
      <c r="Q684" s="95">
        <v>8.9</v>
      </c>
      <c r="R684" s="95">
        <v>21.9</v>
      </c>
      <c r="S684" s="95">
        <v>30.799999999999997</v>
      </c>
    </row>
    <row r="685" spans="1:19" ht="15" x14ac:dyDescent="0.25">
      <c r="A685" s="90" t="s">
        <v>1871</v>
      </c>
      <c r="B685" s="90" t="s">
        <v>45</v>
      </c>
      <c r="C685" s="98" t="s">
        <v>1861</v>
      </c>
      <c r="D685" s="92" t="s">
        <v>1872</v>
      </c>
      <c r="E685" s="90" t="s">
        <v>16</v>
      </c>
      <c r="F685" s="99">
        <v>6</v>
      </c>
      <c r="G685" s="94">
        <v>80</v>
      </c>
      <c r="H685" s="94">
        <v>17.440000000000001</v>
      </c>
      <c r="I685" s="95">
        <v>97.44</v>
      </c>
      <c r="J685" s="95">
        <v>480</v>
      </c>
      <c r="K685" s="95">
        <v>104.63999999999999</v>
      </c>
      <c r="L685" s="95">
        <v>584.64</v>
      </c>
      <c r="M685" s="96">
        <v>0.27529999999999999</v>
      </c>
      <c r="N685" s="95">
        <v>102.02</v>
      </c>
      <c r="O685" s="95">
        <v>22.24</v>
      </c>
      <c r="P685" s="95">
        <v>124.25999999999999</v>
      </c>
      <c r="Q685" s="95">
        <v>612.12</v>
      </c>
      <c r="R685" s="95">
        <v>133.44</v>
      </c>
      <c r="S685" s="95">
        <v>745.56</v>
      </c>
    </row>
    <row r="686" spans="1:19" ht="15" x14ac:dyDescent="0.25">
      <c r="A686" s="90" t="s">
        <v>1873</v>
      </c>
      <c r="B686" s="90"/>
      <c r="C686" s="98" t="s">
        <v>1874</v>
      </c>
      <c r="D686" s="92"/>
      <c r="E686" s="90"/>
      <c r="F686" s="99"/>
      <c r="G686" s="94"/>
      <c r="H686" s="94"/>
      <c r="I686" s="95"/>
      <c r="J686" s="95"/>
      <c r="K686" s="95"/>
      <c r="L686" s="95"/>
      <c r="M686" s="96">
        <v>0</v>
      </c>
      <c r="N686" s="95"/>
      <c r="O686" s="95"/>
      <c r="P686" s="95"/>
      <c r="Q686" s="95">
        <v>0</v>
      </c>
      <c r="R686" s="95">
        <v>0</v>
      </c>
      <c r="S686" s="95">
        <v>0</v>
      </c>
    </row>
    <row r="687" spans="1:19" ht="15" x14ac:dyDescent="0.25">
      <c r="A687" s="90" t="s">
        <v>1875</v>
      </c>
      <c r="B687" s="90" t="s">
        <v>100</v>
      </c>
      <c r="C687" s="98" t="s">
        <v>1876</v>
      </c>
      <c r="D687" s="92" t="s">
        <v>1877</v>
      </c>
      <c r="E687" s="90" t="s">
        <v>93</v>
      </c>
      <c r="F687" s="99">
        <v>60</v>
      </c>
      <c r="G687" s="94">
        <v>69.11</v>
      </c>
      <c r="H687" s="94">
        <v>14.04</v>
      </c>
      <c r="I687" s="95">
        <v>83.15</v>
      </c>
      <c r="J687" s="95">
        <v>4146.6000000000004</v>
      </c>
      <c r="K687" s="95">
        <v>842.39999999999964</v>
      </c>
      <c r="L687" s="95">
        <v>4989</v>
      </c>
      <c r="M687" s="96">
        <v>0.27529999999999999</v>
      </c>
      <c r="N687" s="95">
        <v>88.14</v>
      </c>
      <c r="O687" s="95">
        <v>17.91</v>
      </c>
      <c r="P687" s="95">
        <v>106.05</v>
      </c>
      <c r="Q687" s="95">
        <v>5288.4</v>
      </c>
      <c r="R687" s="95">
        <v>1074.5999999999999</v>
      </c>
      <c r="S687" s="95">
        <v>6363</v>
      </c>
    </row>
    <row r="688" spans="1:19" ht="15" x14ac:dyDescent="0.25">
      <c r="A688" s="90" t="s">
        <v>1878</v>
      </c>
      <c r="B688" s="90" t="s">
        <v>45</v>
      </c>
      <c r="C688" s="98" t="s">
        <v>1879</v>
      </c>
      <c r="D688" s="92" t="s">
        <v>1880</v>
      </c>
      <c r="E688" s="90" t="s">
        <v>93</v>
      </c>
      <c r="F688" s="99">
        <v>25</v>
      </c>
      <c r="G688" s="94">
        <v>100.37</v>
      </c>
      <c r="H688" s="94">
        <v>54.28</v>
      </c>
      <c r="I688" s="95">
        <v>154.65</v>
      </c>
      <c r="J688" s="95">
        <v>2509.25</v>
      </c>
      <c r="K688" s="95">
        <v>1357</v>
      </c>
      <c r="L688" s="95">
        <v>3866.25</v>
      </c>
      <c r="M688" s="96">
        <v>0.27529999999999999</v>
      </c>
      <c r="N688" s="95">
        <v>128</v>
      </c>
      <c r="O688" s="95">
        <v>69.22</v>
      </c>
      <c r="P688" s="95">
        <v>197.22</v>
      </c>
      <c r="Q688" s="95">
        <v>3200</v>
      </c>
      <c r="R688" s="95">
        <v>1730.5</v>
      </c>
      <c r="S688" s="95">
        <v>4930.5</v>
      </c>
    </row>
    <row r="689" spans="1:19" ht="15" x14ac:dyDescent="0.25">
      <c r="A689" s="90" t="s">
        <v>1881</v>
      </c>
      <c r="B689" s="90" t="s">
        <v>45</v>
      </c>
      <c r="C689" s="98" t="s">
        <v>1882</v>
      </c>
      <c r="D689" s="92" t="s">
        <v>1883</v>
      </c>
      <c r="E689" s="90" t="s">
        <v>93</v>
      </c>
      <c r="F689" s="99">
        <v>50</v>
      </c>
      <c r="G689" s="94">
        <v>125.89</v>
      </c>
      <c r="H689" s="94">
        <v>62.03</v>
      </c>
      <c r="I689" s="95">
        <v>187.92000000000002</v>
      </c>
      <c r="J689" s="95">
        <v>6294.5</v>
      </c>
      <c r="K689" s="95">
        <v>3101.5</v>
      </c>
      <c r="L689" s="95">
        <v>9396</v>
      </c>
      <c r="M689" s="96">
        <v>0.27529999999999999</v>
      </c>
      <c r="N689" s="95">
        <v>160.55000000000001</v>
      </c>
      <c r="O689" s="95">
        <v>79.11</v>
      </c>
      <c r="P689" s="95">
        <v>239.66000000000003</v>
      </c>
      <c r="Q689" s="95">
        <v>8027.5</v>
      </c>
      <c r="R689" s="95">
        <v>3955.5</v>
      </c>
      <c r="S689" s="95">
        <v>11983</v>
      </c>
    </row>
    <row r="690" spans="1:19" ht="15" x14ac:dyDescent="0.25">
      <c r="A690" s="90" t="s">
        <v>1884</v>
      </c>
      <c r="B690" s="90" t="s">
        <v>45</v>
      </c>
      <c r="C690" s="98" t="s">
        <v>1885</v>
      </c>
      <c r="D690" s="92" t="s">
        <v>1886</v>
      </c>
      <c r="E690" s="90" t="s">
        <v>16</v>
      </c>
      <c r="F690" s="99">
        <v>1</v>
      </c>
      <c r="G690" s="94">
        <v>1602.38</v>
      </c>
      <c r="H690" s="94">
        <v>0</v>
      </c>
      <c r="I690" s="95">
        <v>1602.38</v>
      </c>
      <c r="J690" s="95">
        <v>1602.38</v>
      </c>
      <c r="K690" s="95">
        <v>0</v>
      </c>
      <c r="L690" s="95">
        <v>1602.38</v>
      </c>
      <c r="M690" s="96">
        <v>0.27529999999999999</v>
      </c>
      <c r="N690" s="95">
        <v>2043.52</v>
      </c>
      <c r="O690" s="95">
        <v>0</v>
      </c>
      <c r="P690" s="95">
        <v>2043.52</v>
      </c>
      <c r="Q690" s="95">
        <v>2043.52</v>
      </c>
      <c r="R690" s="95">
        <v>0</v>
      </c>
      <c r="S690" s="95">
        <v>2043.52</v>
      </c>
    </row>
    <row r="691" spans="1:19" ht="15" x14ac:dyDescent="0.25">
      <c r="A691" s="90" t="s">
        <v>1887</v>
      </c>
      <c r="B691" s="90" t="s">
        <v>31</v>
      </c>
      <c r="C691" s="98" t="s">
        <v>1888</v>
      </c>
      <c r="D691" s="92" t="s">
        <v>1889</v>
      </c>
      <c r="E691" s="90" t="s">
        <v>16</v>
      </c>
      <c r="F691" s="99">
        <v>9</v>
      </c>
      <c r="G691" s="94">
        <v>52.77</v>
      </c>
      <c r="H691" s="94">
        <v>2.78</v>
      </c>
      <c r="I691" s="95">
        <v>55.550000000000004</v>
      </c>
      <c r="J691" s="95">
        <v>474.93</v>
      </c>
      <c r="K691" s="95">
        <v>25.019999999999982</v>
      </c>
      <c r="L691" s="95">
        <v>499.95</v>
      </c>
      <c r="M691" s="96">
        <v>0.27529999999999999</v>
      </c>
      <c r="N691" s="95">
        <v>67.3</v>
      </c>
      <c r="O691" s="95">
        <v>3.55</v>
      </c>
      <c r="P691" s="95">
        <v>70.849999999999994</v>
      </c>
      <c r="Q691" s="95">
        <v>605.70000000000005</v>
      </c>
      <c r="R691" s="95">
        <v>31.95</v>
      </c>
      <c r="S691" s="95">
        <v>637.65000000000009</v>
      </c>
    </row>
    <row r="692" spans="1:19" ht="15" x14ac:dyDescent="0.25">
      <c r="A692" s="90" t="s">
        <v>1890</v>
      </c>
      <c r="B692" s="90" t="s">
        <v>31</v>
      </c>
      <c r="C692" s="98" t="s">
        <v>1888</v>
      </c>
      <c r="D692" s="92" t="s">
        <v>1889</v>
      </c>
      <c r="E692" s="90" t="s">
        <v>16</v>
      </c>
      <c r="F692" s="99">
        <v>4</v>
      </c>
      <c r="G692" s="94">
        <v>52.77</v>
      </c>
      <c r="H692" s="94">
        <v>2.78</v>
      </c>
      <c r="I692" s="95">
        <v>55.550000000000004</v>
      </c>
      <c r="J692" s="95">
        <v>211.08</v>
      </c>
      <c r="K692" s="95">
        <v>11.119999999999976</v>
      </c>
      <c r="L692" s="95">
        <v>222.2</v>
      </c>
      <c r="M692" s="96">
        <v>0.27529999999999999</v>
      </c>
      <c r="N692" s="95">
        <v>67.3</v>
      </c>
      <c r="O692" s="95">
        <v>3.55</v>
      </c>
      <c r="P692" s="95">
        <v>70.849999999999994</v>
      </c>
      <c r="Q692" s="95">
        <v>269.2</v>
      </c>
      <c r="R692" s="95">
        <v>14.2</v>
      </c>
      <c r="S692" s="95">
        <v>283.39999999999998</v>
      </c>
    </row>
    <row r="693" spans="1:19" ht="15" x14ac:dyDescent="0.25">
      <c r="A693" s="90" t="s">
        <v>1891</v>
      </c>
      <c r="B693" s="90" t="s">
        <v>31</v>
      </c>
      <c r="C693" s="98" t="s">
        <v>1892</v>
      </c>
      <c r="D693" s="92" t="s">
        <v>1893</v>
      </c>
      <c r="E693" s="90" t="s">
        <v>16</v>
      </c>
      <c r="F693" s="99">
        <v>1</v>
      </c>
      <c r="G693" s="94">
        <v>119.74</v>
      </c>
      <c r="H693" s="94">
        <v>0</v>
      </c>
      <c r="I693" s="95">
        <v>119.74</v>
      </c>
      <c r="J693" s="95">
        <v>119.74</v>
      </c>
      <c r="K693" s="95">
        <v>0</v>
      </c>
      <c r="L693" s="95">
        <v>119.74</v>
      </c>
      <c r="M693" s="96">
        <v>0.27529999999999999</v>
      </c>
      <c r="N693" s="95">
        <v>152.69999999999999</v>
      </c>
      <c r="O693" s="95">
        <v>0</v>
      </c>
      <c r="P693" s="95">
        <v>152.69999999999999</v>
      </c>
      <c r="Q693" s="95">
        <v>152.69999999999999</v>
      </c>
      <c r="R693" s="95">
        <v>0</v>
      </c>
      <c r="S693" s="95">
        <v>152.69999999999999</v>
      </c>
    </row>
    <row r="694" spans="1:19" ht="15" x14ac:dyDescent="0.25">
      <c r="A694" s="90" t="s">
        <v>1894</v>
      </c>
      <c r="B694" s="90" t="s">
        <v>184</v>
      </c>
      <c r="C694" s="98" t="s">
        <v>1895</v>
      </c>
      <c r="D694" s="92" t="s">
        <v>1896</v>
      </c>
      <c r="E694" s="90" t="s">
        <v>16</v>
      </c>
      <c r="F694" s="99">
        <v>1</v>
      </c>
      <c r="G694" s="94">
        <v>10.61</v>
      </c>
      <c r="H694" s="94">
        <v>0</v>
      </c>
      <c r="I694" s="95">
        <v>10.61</v>
      </c>
      <c r="J694" s="95">
        <v>10.61</v>
      </c>
      <c r="K694" s="95">
        <v>0</v>
      </c>
      <c r="L694" s="95">
        <v>10.61</v>
      </c>
      <c r="M694" s="96">
        <v>0.27529999999999999</v>
      </c>
      <c r="N694" s="95">
        <v>13.53</v>
      </c>
      <c r="O694" s="95">
        <v>0</v>
      </c>
      <c r="P694" s="95">
        <v>13.53</v>
      </c>
      <c r="Q694" s="95">
        <v>13.53</v>
      </c>
      <c r="R694" s="95">
        <v>0</v>
      </c>
      <c r="S694" s="95">
        <v>13.53</v>
      </c>
    </row>
    <row r="695" spans="1:19" ht="15" x14ac:dyDescent="0.25">
      <c r="A695" s="90" t="s">
        <v>1897</v>
      </c>
      <c r="B695" s="90" t="s">
        <v>184</v>
      </c>
      <c r="C695" s="98" t="s">
        <v>1898</v>
      </c>
      <c r="D695" s="92" t="s">
        <v>1899</v>
      </c>
      <c r="E695" s="90" t="s">
        <v>16</v>
      </c>
      <c r="F695" s="99">
        <v>2</v>
      </c>
      <c r="G695" s="94">
        <v>727.56</v>
      </c>
      <c r="H695" s="94">
        <v>18.760000000000002</v>
      </c>
      <c r="I695" s="95">
        <v>746.31999999999994</v>
      </c>
      <c r="J695" s="95">
        <v>1455.12</v>
      </c>
      <c r="K695" s="95">
        <v>37.520000000000209</v>
      </c>
      <c r="L695" s="95">
        <v>1492.64</v>
      </c>
      <c r="M695" s="96">
        <v>0.27529999999999999</v>
      </c>
      <c r="N695" s="95">
        <v>927.86</v>
      </c>
      <c r="O695" s="95">
        <v>23.92</v>
      </c>
      <c r="P695" s="95">
        <v>951.78</v>
      </c>
      <c r="Q695" s="95">
        <v>1855.72</v>
      </c>
      <c r="R695" s="95">
        <v>47.84</v>
      </c>
      <c r="S695" s="95">
        <v>1903.56</v>
      </c>
    </row>
    <row r="696" spans="1:19" ht="15" x14ac:dyDescent="0.25">
      <c r="A696" s="90" t="s">
        <v>1900</v>
      </c>
      <c r="B696" s="90" t="s">
        <v>184</v>
      </c>
      <c r="C696" s="98" t="s">
        <v>1901</v>
      </c>
      <c r="D696" s="92" t="s">
        <v>1902</v>
      </c>
      <c r="E696" s="90" t="s">
        <v>16</v>
      </c>
      <c r="F696" s="99">
        <v>9</v>
      </c>
      <c r="G696" s="94">
        <v>685.32</v>
      </c>
      <c r="H696" s="94">
        <v>18.760000000000002</v>
      </c>
      <c r="I696" s="95">
        <v>704.08</v>
      </c>
      <c r="J696" s="95">
        <v>6167.88</v>
      </c>
      <c r="K696" s="95">
        <v>168.84000000000015</v>
      </c>
      <c r="L696" s="95">
        <v>6336.72</v>
      </c>
      <c r="M696" s="96">
        <v>0.27529999999999999</v>
      </c>
      <c r="N696" s="95">
        <v>873.99</v>
      </c>
      <c r="O696" s="95">
        <v>23.92</v>
      </c>
      <c r="P696" s="95">
        <v>897.91</v>
      </c>
      <c r="Q696" s="95">
        <v>7865.91</v>
      </c>
      <c r="R696" s="95">
        <v>215.28</v>
      </c>
      <c r="S696" s="95">
        <v>8081.19</v>
      </c>
    </row>
    <row r="697" spans="1:19" ht="15" x14ac:dyDescent="0.25">
      <c r="A697" s="90" t="s">
        <v>1903</v>
      </c>
      <c r="B697" s="90" t="s">
        <v>95</v>
      </c>
      <c r="C697" s="98" t="s">
        <v>1904</v>
      </c>
      <c r="D697" s="92" t="s">
        <v>1905</v>
      </c>
      <c r="E697" s="90" t="s">
        <v>16</v>
      </c>
      <c r="F697" s="99">
        <v>8</v>
      </c>
      <c r="G697" s="94">
        <v>8.1300000000000008</v>
      </c>
      <c r="H697" s="94">
        <v>0</v>
      </c>
      <c r="I697" s="95">
        <v>8.1300000000000008</v>
      </c>
      <c r="J697" s="95">
        <v>65.040000000000006</v>
      </c>
      <c r="K697" s="95">
        <v>0</v>
      </c>
      <c r="L697" s="95">
        <v>65.040000000000006</v>
      </c>
      <c r="M697" s="96">
        <v>0.27529999999999999</v>
      </c>
      <c r="N697" s="95">
        <v>10.37</v>
      </c>
      <c r="O697" s="95">
        <v>0</v>
      </c>
      <c r="P697" s="95">
        <v>10.37</v>
      </c>
      <c r="Q697" s="95">
        <v>82.96</v>
      </c>
      <c r="R697" s="95">
        <v>0</v>
      </c>
      <c r="S697" s="95">
        <v>82.96</v>
      </c>
    </row>
    <row r="698" spans="1:19" ht="15" x14ac:dyDescent="0.25">
      <c r="A698" s="90" t="s">
        <v>1906</v>
      </c>
      <c r="B698" s="90" t="s">
        <v>95</v>
      </c>
      <c r="C698" s="98" t="s">
        <v>1907</v>
      </c>
      <c r="D698" s="92" t="s">
        <v>1908</v>
      </c>
      <c r="E698" s="90" t="s">
        <v>16</v>
      </c>
      <c r="F698" s="99">
        <v>8</v>
      </c>
      <c r="G698" s="94">
        <v>1766.75</v>
      </c>
      <c r="H698" s="94">
        <v>0</v>
      </c>
      <c r="I698" s="95">
        <v>1766.75</v>
      </c>
      <c r="J698" s="95">
        <v>14134</v>
      </c>
      <c r="K698" s="95">
        <v>0</v>
      </c>
      <c r="L698" s="95">
        <v>14134</v>
      </c>
      <c r="M698" s="96">
        <v>0.27529999999999999</v>
      </c>
      <c r="N698" s="95">
        <v>2253.14</v>
      </c>
      <c r="O698" s="95">
        <v>0</v>
      </c>
      <c r="P698" s="95">
        <v>2253.14</v>
      </c>
      <c r="Q698" s="95">
        <v>18025.12</v>
      </c>
      <c r="R698" s="95">
        <v>0</v>
      </c>
      <c r="S698" s="95">
        <v>18025.12</v>
      </c>
    </row>
    <row r="699" spans="1:19" ht="15" x14ac:dyDescent="0.25">
      <c r="A699" s="90" t="s">
        <v>1909</v>
      </c>
      <c r="B699" s="90" t="s">
        <v>382</v>
      </c>
      <c r="C699" s="98" t="s">
        <v>1910</v>
      </c>
      <c r="D699" s="92" t="s">
        <v>1911</v>
      </c>
      <c r="E699" s="90" t="s">
        <v>16</v>
      </c>
      <c r="F699" s="99">
        <v>15</v>
      </c>
      <c r="G699" s="94">
        <v>1</v>
      </c>
      <c r="H699" s="94">
        <v>0</v>
      </c>
      <c r="I699" s="95">
        <v>1</v>
      </c>
      <c r="J699" s="95">
        <v>15</v>
      </c>
      <c r="K699" s="95">
        <v>0</v>
      </c>
      <c r="L699" s="95">
        <v>15</v>
      </c>
      <c r="M699" s="96">
        <v>0.27529999999999999</v>
      </c>
      <c r="N699" s="95">
        <v>1.28</v>
      </c>
      <c r="O699" s="95">
        <v>0</v>
      </c>
      <c r="P699" s="95">
        <v>1.28</v>
      </c>
      <c r="Q699" s="95">
        <v>19.2</v>
      </c>
      <c r="R699" s="95">
        <v>0</v>
      </c>
      <c r="S699" s="95">
        <v>19.2</v>
      </c>
    </row>
    <row r="700" spans="1:19" ht="15" x14ac:dyDescent="0.25">
      <c r="A700" s="90" t="s">
        <v>1912</v>
      </c>
      <c r="B700" s="90" t="s">
        <v>45</v>
      </c>
      <c r="C700" s="98" t="s">
        <v>1913</v>
      </c>
      <c r="D700" s="92" t="s">
        <v>1914</v>
      </c>
      <c r="E700" s="90" t="s">
        <v>16</v>
      </c>
      <c r="F700" s="99">
        <v>7</v>
      </c>
      <c r="G700" s="94">
        <v>328.05</v>
      </c>
      <c r="H700" s="94">
        <v>11.66</v>
      </c>
      <c r="I700" s="95">
        <v>339.71000000000004</v>
      </c>
      <c r="J700" s="95">
        <v>2296.35</v>
      </c>
      <c r="K700" s="95">
        <v>81.619999999999891</v>
      </c>
      <c r="L700" s="95">
        <v>2377.9699999999998</v>
      </c>
      <c r="M700" s="96">
        <v>0.27529999999999999</v>
      </c>
      <c r="N700" s="95">
        <v>418.36</v>
      </c>
      <c r="O700" s="95">
        <v>14.87</v>
      </c>
      <c r="P700" s="95">
        <v>433.23</v>
      </c>
      <c r="Q700" s="95">
        <v>2928.52</v>
      </c>
      <c r="R700" s="95">
        <v>104.09</v>
      </c>
      <c r="S700" s="95">
        <v>3032.61</v>
      </c>
    </row>
    <row r="701" spans="1:19" ht="15" x14ac:dyDescent="0.25">
      <c r="A701" s="90" t="s">
        <v>1915</v>
      </c>
      <c r="B701" s="90" t="s">
        <v>184</v>
      </c>
      <c r="C701" s="98" t="s">
        <v>1916</v>
      </c>
      <c r="D701" s="92" t="s">
        <v>1917</v>
      </c>
      <c r="E701" s="90" t="s">
        <v>93</v>
      </c>
      <c r="F701" s="99">
        <v>60</v>
      </c>
      <c r="G701" s="94">
        <v>15.62</v>
      </c>
      <c r="H701" s="94">
        <v>9.4</v>
      </c>
      <c r="I701" s="95">
        <v>25.02</v>
      </c>
      <c r="J701" s="95">
        <v>937.2</v>
      </c>
      <c r="K701" s="95">
        <v>564</v>
      </c>
      <c r="L701" s="95">
        <v>1501.2</v>
      </c>
      <c r="M701" s="96">
        <v>0.27529999999999999</v>
      </c>
      <c r="N701" s="95">
        <v>19.920000000000002</v>
      </c>
      <c r="O701" s="95">
        <v>11.99</v>
      </c>
      <c r="P701" s="95">
        <v>31.910000000000004</v>
      </c>
      <c r="Q701" s="95">
        <v>1195.2</v>
      </c>
      <c r="R701" s="95">
        <v>719.4</v>
      </c>
      <c r="S701" s="95">
        <v>1914.6</v>
      </c>
    </row>
    <row r="702" spans="1:19" ht="15" x14ac:dyDescent="0.25">
      <c r="A702" s="90" t="s">
        <v>1918</v>
      </c>
      <c r="B702" s="90" t="s">
        <v>104</v>
      </c>
      <c r="C702" s="98" t="s">
        <v>1919</v>
      </c>
      <c r="D702" s="92" t="s">
        <v>1920</v>
      </c>
      <c r="E702" s="90" t="s">
        <v>93</v>
      </c>
      <c r="F702" s="99">
        <v>900</v>
      </c>
      <c r="G702" s="94">
        <v>49.05</v>
      </c>
      <c r="H702" s="94">
        <v>15.25</v>
      </c>
      <c r="I702" s="95">
        <v>64.3</v>
      </c>
      <c r="J702" s="95">
        <v>44145</v>
      </c>
      <c r="K702" s="95">
        <v>13725</v>
      </c>
      <c r="L702" s="95">
        <v>57870</v>
      </c>
      <c r="M702" s="96">
        <v>0.27529999999999999</v>
      </c>
      <c r="N702" s="95">
        <v>62.55</v>
      </c>
      <c r="O702" s="95">
        <v>19.45</v>
      </c>
      <c r="P702" s="95">
        <v>82</v>
      </c>
      <c r="Q702" s="95">
        <v>56295</v>
      </c>
      <c r="R702" s="95">
        <v>17505</v>
      </c>
      <c r="S702" s="95">
        <v>73800</v>
      </c>
    </row>
    <row r="703" spans="1:19" s="89" customFormat="1" x14ac:dyDescent="0.25">
      <c r="A703" s="82" t="s">
        <v>1921</v>
      </c>
      <c r="B703" s="82"/>
      <c r="C703" s="83" t="s">
        <v>1922</v>
      </c>
      <c r="D703" s="84"/>
      <c r="E703" s="85"/>
      <c r="F703" s="101"/>
      <c r="G703" s="87"/>
      <c r="H703" s="87"/>
      <c r="I703" s="88"/>
      <c r="J703" s="87">
        <v>3029523.39</v>
      </c>
      <c r="K703" s="87">
        <v>304310.99000000005</v>
      </c>
      <c r="L703" s="87">
        <v>3333834.379999999</v>
      </c>
      <c r="M703" s="87"/>
      <c r="N703" s="87"/>
      <c r="O703" s="87"/>
      <c r="P703" s="87"/>
      <c r="Q703" s="87">
        <v>3803988.3099999991</v>
      </c>
      <c r="R703" s="87">
        <v>388060.41</v>
      </c>
      <c r="S703" s="87">
        <v>4192048.7199999997</v>
      </c>
    </row>
    <row r="704" spans="1:19" ht="15" x14ac:dyDescent="0.25">
      <c r="A704" s="90" t="s">
        <v>1923</v>
      </c>
      <c r="B704" s="90"/>
      <c r="C704" s="91" t="s">
        <v>1924</v>
      </c>
      <c r="D704" s="92"/>
      <c r="E704" s="90"/>
      <c r="F704" s="99"/>
      <c r="G704" s="94"/>
      <c r="H704" s="94"/>
      <c r="I704" s="95"/>
      <c r="J704" s="95"/>
      <c r="K704" s="95"/>
      <c r="L704" s="95"/>
      <c r="M704" s="96">
        <v>0</v>
      </c>
      <c r="N704" s="95"/>
      <c r="O704" s="95"/>
      <c r="P704" s="95"/>
      <c r="Q704" s="95"/>
      <c r="R704" s="95"/>
      <c r="S704" s="95"/>
    </row>
    <row r="705" spans="1:19" ht="38.25" x14ac:dyDescent="0.25">
      <c r="A705" s="90" t="s">
        <v>1925</v>
      </c>
      <c r="B705" s="90" t="s">
        <v>95</v>
      </c>
      <c r="C705" s="98" t="s">
        <v>1926</v>
      </c>
      <c r="D705" s="92" t="s">
        <v>1927</v>
      </c>
      <c r="E705" s="90" t="s">
        <v>16</v>
      </c>
      <c r="F705" s="99">
        <v>1</v>
      </c>
      <c r="G705" s="94">
        <v>182000</v>
      </c>
      <c r="H705" s="94">
        <v>0</v>
      </c>
      <c r="I705" s="95">
        <v>182000</v>
      </c>
      <c r="J705" s="95">
        <v>182000</v>
      </c>
      <c r="K705" s="95">
        <v>0</v>
      </c>
      <c r="L705" s="95">
        <v>182000</v>
      </c>
      <c r="M705" s="96">
        <v>0.1837</v>
      </c>
      <c r="N705" s="95">
        <v>215433.4</v>
      </c>
      <c r="O705" s="95">
        <v>0</v>
      </c>
      <c r="P705" s="95">
        <v>215433.4</v>
      </c>
      <c r="Q705" s="95">
        <v>215433.4</v>
      </c>
      <c r="R705" s="95">
        <v>0</v>
      </c>
      <c r="S705" s="95">
        <v>215433.4</v>
      </c>
    </row>
    <row r="706" spans="1:19" ht="76.5" x14ac:dyDescent="0.25">
      <c r="A706" s="90" t="s">
        <v>1928</v>
      </c>
      <c r="B706" s="90" t="s">
        <v>95</v>
      </c>
      <c r="C706" s="98" t="s">
        <v>1929</v>
      </c>
      <c r="D706" s="92" t="s">
        <v>1930</v>
      </c>
      <c r="E706" s="90" t="s">
        <v>16</v>
      </c>
      <c r="F706" s="99">
        <v>1</v>
      </c>
      <c r="G706" s="94">
        <v>468000</v>
      </c>
      <c r="H706" s="94">
        <v>0</v>
      </c>
      <c r="I706" s="95">
        <v>468000</v>
      </c>
      <c r="J706" s="95">
        <v>468000</v>
      </c>
      <c r="K706" s="95">
        <v>0</v>
      </c>
      <c r="L706" s="95">
        <v>468000</v>
      </c>
      <c r="M706" s="96">
        <v>0.1837</v>
      </c>
      <c r="N706" s="95">
        <v>553971.6</v>
      </c>
      <c r="O706" s="95">
        <v>0</v>
      </c>
      <c r="P706" s="95">
        <v>553971.6</v>
      </c>
      <c r="Q706" s="95">
        <v>553971.6</v>
      </c>
      <c r="R706" s="95">
        <v>0</v>
      </c>
      <c r="S706" s="95">
        <v>553971.6</v>
      </c>
    </row>
    <row r="707" spans="1:19" ht="15" x14ac:dyDescent="0.25">
      <c r="A707" s="90" t="s">
        <v>1931</v>
      </c>
      <c r="B707" s="90"/>
      <c r="C707" s="91" t="s">
        <v>1932</v>
      </c>
      <c r="D707" s="92"/>
      <c r="E707" s="90"/>
      <c r="F707" s="99"/>
      <c r="G707" s="94"/>
      <c r="H707" s="94"/>
      <c r="I707" s="95"/>
      <c r="J707" s="95"/>
      <c r="K707" s="95"/>
      <c r="L707" s="95"/>
      <c r="M707" s="96">
        <v>0</v>
      </c>
      <c r="N707" s="95"/>
      <c r="O707" s="95"/>
      <c r="P707" s="95"/>
      <c r="Q707" s="95">
        <v>0</v>
      </c>
      <c r="R707" s="95">
        <v>0</v>
      </c>
      <c r="S707" s="95">
        <v>0</v>
      </c>
    </row>
    <row r="708" spans="1:19" ht="38.25" x14ac:dyDescent="0.25">
      <c r="A708" s="90" t="s">
        <v>1933</v>
      </c>
      <c r="B708" s="90" t="s">
        <v>86</v>
      </c>
      <c r="C708" s="98" t="s">
        <v>1934</v>
      </c>
      <c r="D708" s="92" t="s">
        <v>1935</v>
      </c>
      <c r="E708" s="90" t="s">
        <v>16</v>
      </c>
      <c r="F708" s="99">
        <v>2</v>
      </c>
      <c r="G708" s="94">
        <v>2079.02</v>
      </c>
      <c r="H708" s="94">
        <v>434.89</v>
      </c>
      <c r="I708" s="95">
        <v>2513.91</v>
      </c>
      <c r="J708" s="95">
        <v>4158.04</v>
      </c>
      <c r="K708" s="95">
        <v>869.77999999999975</v>
      </c>
      <c r="L708" s="95">
        <v>5027.82</v>
      </c>
      <c r="M708" s="96">
        <v>0.27529999999999999</v>
      </c>
      <c r="N708" s="95">
        <v>2651.37</v>
      </c>
      <c r="O708" s="95">
        <v>554.62</v>
      </c>
      <c r="P708" s="95">
        <v>3205.99</v>
      </c>
      <c r="Q708" s="95">
        <v>5302.74</v>
      </c>
      <c r="R708" s="95">
        <v>1109.24</v>
      </c>
      <c r="S708" s="95">
        <v>6411.98</v>
      </c>
    </row>
    <row r="709" spans="1:19" ht="38.25" x14ac:dyDescent="0.25">
      <c r="A709" s="90" t="s">
        <v>1936</v>
      </c>
      <c r="B709" s="90" t="s">
        <v>86</v>
      </c>
      <c r="C709" s="98" t="s">
        <v>1934</v>
      </c>
      <c r="D709" s="92" t="s">
        <v>1937</v>
      </c>
      <c r="E709" s="90" t="s">
        <v>16</v>
      </c>
      <c r="F709" s="99">
        <v>14</v>
      </c>
      <c r="G709" s="94">
        <v>2079.02</v>
      </c>
      <c r="H709" s="94">
        <v>434.89</v>
      </c>
      <c r="I709" s="95">
        <v>2513.91</v>
      </c>
      <c r="J709" s="95">
        <v>29106.28</v>
      </c>
      <c r="K709" s="95">
        <v>6088.4599999999991</v>
      </c>
      <c r="L709" s="95">
        <v>35194.74</v>
      </c>
      <c r="M709" s="96">
        <v>0.27529999999999999</v>
      </c>
      <c r="N709" s="95">
        <v>2651.37</v>
      </c>
      <c r="O709" s="95">
        <v>554.62</v>
      </c>
      <c r="P709" s="95">
        <v>3205.99</v>
      </c>
      <c r="Q709" s="95">
        <v>37119.18</v>
      </c>
      <c r="R709" s="95">
        <v>7764.68</v>
      </c>
      <c r="S709" s="95">
        <v>44883.86</v>
      </c>
    </row>
    <row r="710" spans="1:19" ht="38.25" x14ac:dyDescent="0.25">
      <c r="A710" s="90" t="s">
        <v>1938</v>
      </c>
      <c r="B710" s="90" t="s">
        <v>86</v>
      </c>
      <c r="C710" s="98" t="s">
        <v>1934</v>
      </c>
      <c r="D710" s="92" t="s">
        <v>1939</v>
      </c>
      <c r="E710" s="90" t="s">
        <v>16</v>
      </c>
      <c r="F710" s="99">
        <v>14</v>
      </c>
      <c r="G710" s="94">
        <v>2079.02</v>
      </c>
      <c r="H710" s="94">
        <v>434.89</v>
      </c>
      <c r="I710" s="95">
        <v>2513.91</v>
      </c>
      <c r="J710" s="95">
        <v>29106.28</v>
      </c>
      <c r="K710" s="95">
        <v>6088.4599999999991</v>
      </c>
      <c r="L710" s="95">
        <v>35194.74</v>
      </c>
      <c r="M710" s="96">
        <v>0.27529999999999999</v>
      </c>
      <c r="N710" s="95">
        <v>2651.37</v>
      </c>
      <c r="O710" s="95">
        <v>554.62</v>
      </c>
      <c r="P710" s="95">
        <v>3205.99</v>
      </c>
      <c r="Q710" s="95">
        <v>37119.18</v>
      </c>
      <c r="R710" s="95">
        <v>7764.68</v>
      </c>
      <c r="S710" s="95">
        <v>44883.86</v>
      </c>
    </row>
    <row r="711" spans="1:19" ht="38.25" x14ac:dyDescent="0.25">
      <c r="A711" s="90" t="s">
        <v>1940</v>
      </c>
      <c r="B711" s="90" t="s">
        <v>86</v>
      </c>
      <c r="C711" s="98" t="s">
        <v>1934</v>
      </c>
      <c r="D711" s="92" t="s">
        <v>1941</v>
      </c>
      <c r="E711" s="90" t="s">
        <v>16</v>
      </c>
      <c r="F711" s="99">
        <v>13</v>
      </c>
      <c r="G711" s="94">
        <v>2079.02</v>
      </c>
      <c r="H711" s="94">
        <v>434.89</v>
      </c>
      <c r="I711" s="95">
        <v>2513.91</v>
      </c>
      <c r="J711" s="95">
        <v>27027.26</v>
      </c>
      <c r="K711" s="95">
        <v>5653.5700000000033</v>
      </c>
      <c r="L711" s="95">
        <v>32680.83</v>
      </c>
      <c r="M711" s="96">
        <v>0.27529999999999999</v>
      </c>
      <c r="N711" s="95">
        <v>2651.37</v>
      </c>
      <c r="O711" s="95">
        <v>554.62</v>
      </c>
      <c r="P711" s="95">
        <v>3205.99</v>
      </c>
      <c r="Q711" s="95">
        <v>34467.81</v>
      </c>
      <c r="R711" s="95">
        <v>7210.06</v>
      </c>
      <c r="S711" s="95">
        <v>41677.869999999995</v>
      </c>
    </row>
    <row r="712" spans="1:19" ht="38.25" x14ac:dyDescent="0.25">
      <c r="A712" s="90" t="s">
        <v>1942</v>
      </c>
      <c r="B712" s="90" t="s">
        <v>86</v>
      </c>
      <c r="C712" s="98" t="s">
        <v>1934</v>
      </c>
      <c r="D712" s="92" t="s">
        <v>1943</v>
      </c>
      <c r="E712" s="90" t="s">
        <v>16</v>
      </c>
      <c r="F712" s="99">
        <v>2</v>
      </c>
      <c r="G712" s="94">
        <v>2079.02</v>
      </c>
      <c r="H712" s="94">
        <v>434.89</v>
      </c>
      <c r="I712" s="95">
        <v>2513.91</v>
      </c>
      <c r="J712" s="95">
        <v>4158.04</v>
      </c>
      <c r="K712" s="95">
        <v>869.77999999999975</v>
      </c>
      <c r="L712" s="95">
        <v>5027.82</v>
      </c>
      <c r="M712" s="96">
        <v>0.27529999999999999</v>
      </c>
      <c r="N712" s="95">
        <v>2651.37</v>
      </c>
      <c r="O712" s="95">
        <v>554.62</v>
      </c>
      <c r="P712" s="95">
        <v>3205.99</v>
      </c>
      <c r="Q712" s="95">
        <v>5302.74</v>
      </c>
      <c r="R712" s="95">
        <v>1109.24</v>
      </c>
      <c r="S712" s="95">
        <v>6411.98</v>
      </c>
    </row>
    <row r="713" spans="1:19" ht="15" x14ac:dyDescent="0.25">
      <c r="A713" s="90" t="s">
        <v>1944</v>
      </c>
      <c r="B713" s="90" t="s">
        <v>86</v>
      </c>
      <c r="C713" s="98" t="s">
        <v>1945</v>
      </c>
      <c r="D713" s="92" t="s">
        <v>1946</v>
      </c>
      <c r="E713" s="90" t="s">
        <v>16</v>
      </c>
      <c r="F713" s="99">
        <v>41</v>
      </c>
      <c r="G713" s="94">
        <v>586.28</v>
      </c>
      <c r="H713" s="94">
        <v>9.39</v>
      </c>
      <c r="I713" s="95">
        <v>595.66999999999996</v>
      </c>
      <c r="J713" s="95">
        <v>24037.48</v>
      </c>
      <c r="K713" s="95">
        <v>384.9900000000016</v>
      </c>
      <c r="L713" s="95">
        <v>24422.47</v>
      </c>
      <c r="M713" s="96">
        <v>0.27529999999999999</v>
      </c>
      <c r="N713" s="95">
        <v>747.68</v>
      </c>
      <c r="O713" s="95">
        <v>11.98</v>
      </c>
      <c r="P713" s="95">
        <v>759.66</v>
      </c>
      <c r="Q713" s="95">
        <v>30654.880000000001</v>
      </c>
      <c r="R713" s="95">
        <v>491.18</v>
      </c>
      <c r="S713" s="95">
        <v>31146.06</v>
      </c>
    </row>
    <row r="714" spans="1:19" ht="15" x14ac:dyDescent="0.25">
      <c r="A714" s="90" t="s">
        <v>1947</v>
      </c>
      <c r="B714" s="90" t="s">
        <v>86</v>
      </c>
      <c r="C714" s="98" t="s">
        <v>1945</v>
      </c>
      <c r="D714" s="92" t="s">
        <v>1948</v>
      </c>
      <c r="E714" s="90" t="s">
        <v>16</v>
      </c>
      <c r="F714" s="99">
        <v>36</v>
      </c>
      <c r="G714" s="94">
        <v>586.28</v>
      </c>
      <c r="H714" s="94">
        <v>9.39</v>
      </c>
      <c r="I714" s="95">
        <v>595.66999999999996</v>
      </c>
      <c r="J714" s="95">
        <v>21106.080000000002</v>
      </c>
      <c r="K714" s="95">
        <v>338.03999999999724</v>
      </c>
      <c r="L714" s="95">
        <v>21444.12</v>
      </c>
      <c r="M714" s="96">
        <v>0.27529999999999999</v>
      </c>
      <c r="N714" s="95">
        <v>747.68</v>
      </c>
      <c r="O714" s="95">
        <v>11.98</v>
      </c>
      <c r="P714" s="95">
        <v>759.66</v>
      </c>
      <c r="Q714" s="95">
        <v>26916.48</v>
      </c>
      <c r="R714" s="95">
        <v>431.28</v>
      </c>
      <c r="S714" s="95">
        <v>27347.759999999998</v>
      </c>
    </row>
    <row r="715" spans="1:19" ht="15" x14ac:dyDescent="0.25">
      <c r="A715" s="90" t="s">
        <v>1949</v>
      </c>
      <c r="B715" s="90" t="s">
        <v>86</v>
      </c>
      <c r="C715" s="98" t="s">
        <v>1945</v>
      </c>
      <c r="D715" s="92" t="s">
        <v>1950</v>
      </c>
      <c r="E715" s="90" t="s">
        <v>16</v>
      </c>
      <c r="F715" s="99">
        <v>1</v>
      </c>
      <c r="G715" s="94">
        <v>586.28</v>
      </c>
      <c r="H715" s="94">
        <v>9.39</v>
      </c>
      <c r="I715" s="95">
        <v>595.66999999999996</v>
      </c>
      <c r="J715" s="95">
        <v>586.28</v>
      </c>
      <c r="K715" s="95">
        <v>9.3899999999999864</v>
      </c>
      <c r="L715" s="95">
        <v>595.66999999999996</v>
      </c>
      <c r="M715" s="96">
        <v>0.27529999999999999</v>
      </c>
      <c r="N715" s="95">
        <v>747.68</v>
      </c>
      <c r="O715" s="95">
        <v>11.98</v>
      </c>
      <c r="P715" s="95">
        <v>759.66</v>
      </c>
      <c r="Q715" s="95">
        <v>747.68</v>
      </c>
      <c r="R715" s="95">
        <v>11.98</v>
      </c>
      <c r="S715" s="95">
        <v>759.66</v>
      </c>
    </row>
    <row r="716" spans="1:19" ht="15" x14ac:dyDescent="0.25">
      <c r="A716" s="90" t="s">
        <v>1951</v>
      </c>
      <c r="B716" s="90" t="s">
        <v>86</v>
      </c>
      <c r="C716" s="98" t="s">
        <v>1945</v>
      </c>
      <c r="D716" s="92" t="s">
        <v>1952</v>
      </c>
      <c r="E716" s="90" t="s">
        <v>16</v>
      </c>
      <c r="F716" s="99">
        <v>1</v>
      </c>
      <c r="G716" s="94">
        <v>586.28</v>
      </c>
      <c r="H716" s="94">
        <v>9.39</v>
      </c>
      <c r="I716" s="95">
        <v>595.66999999999996</v>
      </c>
      <c r="J716" s="95">
        <v>586.28</v>
      </c>
      <c r="K716" s="95">
        <v>9.3899999999999864</v>
      </c>
      <c r="L716" s="95">
        <v>595.66999999999996</v>
      </c>
      <c r="M716" s="96">
        <v>0.27529999999999999</v>
      </c>
      <c r="N716" s="95">
        <v>747.68</v>
      </c>
      <c r="O716" s="95">
        <v>11.98</v>
      </c>
      <c r="P716" s="95">
        <v>759.66</v>
      </c>
      <c r="Q716" s="95">
        <v>747.68</v>
      </c>
      <c r="R716" s="95">
        <v>11.98</v>
      </c>
      <c r="S716" s="95">
        <v>759.66</v>
      </c>
    </row>
    <row r="717" spans="1:19" ht="25.5" x14ac:dyDescent="0.25">
      <c r="A717" s="90" t="s">
        <v>1953</v>
      </c>
      <c r="B717" s="90" t="s">
        <v>86</v>
      </c>
      <c r="C717" s="98" t="s">
        <v>1954</v>
      </c>
      <c r="D717" s="92" t="s">
        <v>1955</v>
      </c>
      <c r="E717" s="90" t="s">
        <v>16</v>
      </c>
      <c r="F717" s="99">
        <v>1</v>
      </c>
      <c r="G717" s="94">
        <v>2749.44</v>
      </c>
      <c r="H717" s="94">
        <v>16.66</v>
      </c>
      <c r="I717" s="95">
        <v>2766.1</v>
      </c>
      <c r="J717" s="95">
        <v>2749.44</v>
      </c>
      <c r="K717" s="95">
        <v>16.659999999999854</v>
      </c>
      <c r="L717" s="95">
        <v>2766.1</v>
      </c>
      <c r="M717" s="96">
        <v>0.27529999999999999</v>
      </c>
      <c r="N717" s="95">
        <v>3506.36</v>
      </c>
      <c r="O717" s="95">
        <v>21.25</v>
      </c>
      <c r="P717" s="95">
        <v>3527.61</v>
      </c>
      <c r="Q717" s="95">
        <v>3506.36</v>
      </c>
      <c r="R717" s="95">
        <v>21.25</v>
      </c>
      <c r="S717" s="95">
        <v>3527.61</v>
      </c>
    </row>
    <row r="718" spans="1:19" ht="25.5" x14ac:dyDescent="0.25">
      <c r="A718" s="90" t="s">
        <v>1956</v>
      </c>
      <c r="B718" s="90" t="s">
        <v>86</v>
      </c>
      <c r="C718" s="98" t="s">
        <v>1954</v>
      </c>
      <c r="D718" s="92" t="s">
        <v>1957</v>
      </c>
      <c r="E718" s="90" t="s">
        <v>16</v>
      </c>
      <c r="F718" s="99">
        <v>1</v>
      </c>
      <c r="G718" s="94">
        <v>2749.44</v>
      </c>
      <c r="H718" s="94">
        <v>16.66</v>
      </c>
      <c r="I718" s="95">
        <v>2766.1</v>
      </c>
      <c r="J718" s="95">
        <v>2749.44</v>
      </c>
      <c r="K718" s="95">
        <v>16.659999999999854</v>
      </c>
      <c r="L718" s="95">
        <v>2766.1</v>
      </c>
      <c r="M718" s="96">
        <v>0.27529999999999999</v>
      </c>
      <c r="N718" s="95">
        <v>3506.36</v>
      </c>
      <c r="O718" s="95">
        <v>21.25</v>
      </c>
      <c r="P718" s="95">
        <v>3527.61</v>
      </c>
      <c r="Q718" s="95">
        <v>3506.36</v>
      </c>
      <c r="R718" s="95">
        <v>21.25</v>
      </c>
      <c r="S718" s="95">
        <v>3527.61</v>
      </c>
    </row>
    <row r="719" spans="1:19" ht="25.5" x14ac:dyDescent="0.25">
      <c r="A719" s="90" t="s">
        <v>1958</v>
      </c>
      <c r="B719" s="90" t="s">
        <v>86</v>
      </c>
      <c r="C719" s="98" t="s">
        <v>1954</v>
      </c>
      <c r="D719" s="92" t="s">
        <v>1959</v>
      </c>
      <c r="E719" s="90" t="s">
        <v>16</v>
      </c>
      <c r="F719" s="99">
        <v>1</v>
      </c>
      <c r="G719" s="94">
        <v>2749.44</v>
      </c>
      <c r="H719" s="94">
        <v>16.66</v>
      </c>
      <c r="I719" s="95">
        <v>2766.1</v>
      </c>
      <c r="J719" s="95">
        <v>2749.44</v>
      </c>
      <c r="K719" s="95">
        <v>16.659999999999854</v>
      </c>
      <c r="L719" s="95">
        <v>2766.1</v>
      </c>
      <c r="M719" s="96">
        <v>0.27529999999999999</v>
      </c>
      <c r="N719" s="95">
        <v>3506.36</v>
      </c>
      <c r="O719" s="95">
        <v>21.25</v>
      </c>
      <c r="P719" s="95">
        <v>3527.61</v>
      </c>
      <c r="Q719" s="95">
        <v>3506.36</v>
      </c>
      <c r="R719" s="95">
        <v>21.25</v>
      </c>
      <c r="S719" s="95">
        <v>3527.61</v>
      </c>
    </row>
    <row r="720" spans="1:19" ht="25.5" x14ac:dyDescent="0.25">
      <c r="A720" s="90" t="s">
        <v>1960</v>
      </c>
      <c r="B720" s="90" t="s">
        <v>86</v>
      </c>
      <c r="C720" s="98" t="s">
        <v>1961</v>
      </c>
      <c r="D720" s="92" t="s">
        <v>1962</v>
      </c>
      <c r="E720" s="90" t="s">
        <v>16</v>
      </c>
      <c r="F720" s="99">
        <v>214</v>
      </c>
      <c r="G720" s="94">
        <v>505.59</v>
      </c>
      <c r="H720" s="94">
        <v>16.66</v>
      </c>
      <c r="I720" s="95">
        <v>522.25</v>
      </c>
      <c r="J720" s="95">
        <v>108196.26</v>
      </c>
      <c r="K720" s="95">
        <v>3565.2400000000052</v>
      </c>
      <c r="L720" s="95">
        <v>111761.5</v>
      </c>
      <c r="M720" s="96">
        <v>0.27529999999999999</v>
      </c>
      <c r="N720" s="95">
        <v>644.78</v>
      </c>
      <c r="O720" s="95">
        <v>21.25</v>
      </c>
      <c r="P720" s="95">
        <v>666.03</v>
      </c>
      <c r="Q720" s="95">
        <v>137982.92000000001</v>
      </c>
      <c r="R720" s="95">
        <v>4547.5</v>
      </c>
      <c r="S720" s="95">
        <v>142530.42000000001</v>
      </c>
    </row>
    <row r="721" spans="1:19" ht="15" x14ac:dyDescent="0.25">
      <c r="A721" s="90" t="s">
        <v>1963</v>
      </c>
      <c r="B721" s="90" t="s">
        <v>86</v>
      </c>
      <c r="C721" s="98" t="s">
        <v>1961</v>
      </c>
      <c r="D721" s="92" t="s">
        <v>1964</v>
      </c>
      <c r="E721" s="90" t="s">
        <v>16</v>
      </c>
      <c r="F721" s="99">
        <v>16</v>
      </c>
      <c r="G721" s="94">
        <v>505.59</v>
      </c>
      <c r="H721" s="94">
        <v>16.66</v>
      </c>
      <c r="I721" s="95">
        <v>522.25</v>
      </c>
      <c r="J721" s="95">
        <v>8089.44</v>
      </c>
      <c r="K721" s="95">
        <v>266.5600000000004</v>
      </c>
      <c r="L721" s="95">
        <v>8356</v>
      </c>
      <c r="M721" s="96">
        <v>0.27529999999999999</v>
      </c>
      <c r="N721" s="95">
        <v>644.78</v>
      </c>
      <c r="O721" s="95">
        <v>21.25</v>
      </c>
      <c r="P721" s="95">
        <v>666.03</v>
      </c>
      <c r="Q721" s="95">
        <v>10316.48</v>
      </c>
      <c r="R721" s="95">
        <v>340</v>
      </c>
      <c r="S721" s="95">
        <v>10656.48</v>
      </c>
    </row>
    <row r="722" spans="1:19" ht="15" x14ac:dyDescent="0.25">
      <c r="A722" s="90" t="s">
        <v>1965</v>
      </c>
      <c r="B722" s="90" t="s">
        <v>86</v>
      </c>
      <c r="C722" s="98" t="s">
        <v>1961</v>
      </c>
      <c r="D722" s="92" t="s">
        <v>1966</v>
      </c>
      <c r="E722" s="90" t="s">
        <v>16</v>
      </c>
      <c r="F722" s="99">
        <v>4</v>
      </c>
      <c r="G722" s="94">
        <v>505.59</v>
      </c>
      <c r="H722" s="94">
        <v>16.66</v>
      </c>
      <c r="I722" s="95">
        <v>522.25</v>
      </c>
      <c r="J722" s="95">
        <v>2022.36</v>
      </c>
      <c r="K722" s="95">
        <v>66.6400000000001</v>
      </c>
      <c r="L722" s="95">
        <v>2089</v>
      </c>
      <c r="M722" s="96">
        <v>0.27529999999999999</v>
      </c>
      <c r="N722" s="95">
        <v>644.78</v>
      </c>
      <c r="O722" s="95">
        <v>21.25</v>
      </c>
      <c r="P722" s="95">
        <v>666.03</v>
      </c>
      <c r="Q722" s="95">
        <v>2579.12</v>
      </c>
      <c r="R722" s="95">
        <v>85</v>
      </c>
      <c r="S722" s="95">
        <v>2664.12</v>
      </c>
    </row>
    <row r="723" spans="1:19" ht="15" x14ac:dyDescent="0.25">
      <c r="A723" s="90" t="s">
        <v>1967</v>
      </c>
      <c r="B723" s="90" t="s">
        <v>45</v>
      </c>
      <c r="C723" s="98" t="s">
        <v>1968</v>
      </c>
      <c r="D723" s="92" t="s">
        <v>1969</v>
      </c>
      <c r="E723" s="90" t="s">
        <v>93</v>
      </c>
      <c r="F723" s="99">
        <v>6230</v>
      </c>
      <c r="G723" s="94">
        <v>83.12</v>
      </c>
      <c r="H723" s="94">
        <v>12.8</v>
      </c>
      <c r="I723" s="95">
        <v>95.92</v>
      </c>
      <c r="J723" s="95">
        <v>517837.6</v>
      </c>
      <c r="K723" s="95">
        <v>79744</v>
      </c>
      <c r="L723" s="95">
        <v>597581.6</v>
      </c>
      <c r="M723" s="96">
        <v>0.27529999999999999</v>
      </c>
      <c r="N723" s="95">
        <v>106</v>
      </c>
      <c r="O723" s="95">
        <v>16.32</v>
      </c>
      <c r="P723" s="95">
        <v>122.32</v>
      </c>
      <c r="Q723" s="95">
        <v>660380</v>
      </c>
      <c r="R723" s="95">
        <v>101673.60000000001</v>
      </c>
      <c r="S723" s="95">
        <v>762053.6</v>
      </c>
    </row>
    <row r="724" spans="1:19" ht="15" x14ac:dyDescent="0.25">
      <c r="A724" s="90" t="s">
        <v>1970</v>
      </c>
      <c r="B724" s="90" t="s">
        <v>45</v>
      </c>
      <c r="C724" s="98" t="s">
        <v>1971</v>
      </c>
      <c r="D724" s="92" t="s">
        <v>1972</v>
      </c>
      <c r="E724" s="90" t="s">
        <v>93</v>
      </c>
      <c r="F724" s="99">
        <v>956</v>
      </c>
      <c r="G724" s="94">
        <v>947.56</v>
      </c>
      <c r="H724" s="94">
        <v>109.44</v>
      </c>
      <c r="I724" s="95">
        <v>1057</v>
      </c>
      <c r="J724" s="95">
        <v>905867.36</v>
      </c>
      <c r="K724" s="95">
        <v>104624.64000000001</v>
      </c>
      <c r="L724" s="95">
        <v>1010492</v>
      </c>
      <c r="M724" s="96">
        <v>0.27529999999999999</v>
      </c>
      <c r="N724" s="95">
        <v>1208.42</v>
      </c>
      <c r="O724" s="95">
        <v>139.57</v>
      </c>
      <c r="P724" s="95">
        <v>1347.99</v>
      </c>
      <c r="Q724" s="95">
        <v>1155249.52</v>
      </c>
      <c r="R724" s="95">
        <v>133428.92000000001</v>
      </c>
      <c r="S724" s="95">
        <v>1288678.44</v>
      </c>
    </row>
    <row r="725" spans="1:19" ht="15" x14ac:dyDescent="0.25">
      <c r="A725" s="90" t="s">
        <v>1973</v>
      </c>
      <c r="B725" s="90" t="s">
        <v>45</v>
      </c>
      <c r="C725" s="98" t="s">
        <v>1974</v>
      </c>
      <c r="D725" s="92" t="s">
        <v>1975</v>
      </c>
      <c r="E725" s="90" t="s">
        <v>93</v>
      </c>
      <c r="F725" s="99">
        <v>1485</v>
      </c>
      <c r="G725" s="94">
        <v>149.80000000000001</v>
      </c>
      <c r="H725" s="94">
        <v>17.440000000000001</v>
      </c>
      <c r="I725" s="95">
        <v>167.24</v>
      </c>
      <c r="J725" s="95">
        <v>222453</v>
      </c>
      <c r="K725" s="95">
        <v>25898.399999999994</v>
      </c>
      <c r="L725" s="95">
        <v>248351.4</v>
      </c>
      <c r="M725" s="96">
        <v>0.27529999999999999</v>
      </c>
      <c r="N725" s="95">
        <v>191.04</v>
      </c>
      <c r="O725" s="95">
        <v>22.24</v>
      </c>
      <c r="P725" s="95">
        <v>213.28</v>
      </c>
      <c r="Q725" s="95">
        <v>283694.40000000002</v>
      </c>
      <c r="R725" s="95">
        <v>33026.400000000001</v>
      </c>
      <c r="S725" s="95">
        <v>316720.80000000005</v>
      </c>
    </row>
    <row r="726" spans="1:19" ht="15" x14ac:dyDescent="0.25">
      <c r="A726" s="90" t="s">
        <v>1976</v>
      </c>
      <c r="B726" s="90" t="s">
        <v>45</v>
      </c>
      <c r="C726" s="98" t="s">
        <v>1977</v>
      </c>
      <c r="D726" s="92" t="s">
        <v>1978</v>
      </c>
      <c r="E726" s="90" t="s">
        <v>93</v>
      </c>
      <c r="F726" s="99">
        <v>287</v>
      </c>
      <c r="G726" s="94">
        <v>245.77</v>
      </c>
      <c r="H726" s="94">
        <v>19.77</v>
      </c>
      <c r="I726" s="95">
        <v>265.54000000000002</v>
      </c>
      <c r="J726" s="95">
        <v>70535.990000000005</v>
      </c>
      <c r="K726" s="95">
        <v>5673.9899999999907</v>
      </c>
      <c r="L726" s="95">
        <v>76209.98</v>
      </c>
      <c r="M726" s="96">
        <v>0.27529999999999999</v>
      </c>
      <c r="N726" s="95">
        <v>313.43</v>
      </c>
      <c r="O726" s="95">
        <v>25.21</v>
      </c>
      <c r="P726" s="95">
        <v>338.64</v>
      </c>
      <c r="Q726" s="95">
        <v>89954.41</v>
      </c>
      <c r="R726" s="95">
        <v>7235.27</v>
      </c>
      <c r="S726" s="95">
        <v>97189.680000000008</v>
      </c>
    </row>
    <row r="727" spans="1:19" ht="15" x14ac:dyDescent="0.25">
      <c r="A727" s="90" t="s">
        <v>1979</v>
      </c>
      <c r="B727" s="90" t="s">
        <v>45</v>
      </c>
      <c r="C727" s="98" t="s">
        <v>1980</v>
      </c>
      <c r="D727" s="92" t="s">
        <v>1981</v>
      </c>
      <c r="E727" s="90" t="s">
        <v>93</v>
      </c>
      <c r="F727" s="99">
        <v>105</v>
      </c>
      <c r="G727" s="94">
        <v>281.42</v>
      </c>
      <c r="H727" s="94">
        <v>19.77</v>
      </c>
      <c r="I727" s="95">
        <v>301.19</v>
      </c>
      <c r="J727" s="95">
        <v>29549.1</v>
      </c>
      <c r="K727" s="95">
        <v>2075.8500000000022</v>
      </c>
      <c r="L727" s="95">
        <v>31624.95</v>
      </c>
      <c r="M727" s="96">
        <v>0.27529999999999999</v>
      </c>
      <c r="N727" s="95">
        <v>358.89</v>
      </c>
      <c r="O727" s="95">
        <v>25.21</v>
      </c>
      <c r="P727" s="95">
        <v>384.09999999999997</v>
      </c>
      <c r="Q727" s="95">
        <v>37683.449999999997</v>
      </c>
      <c r="R727" s="95">
        <v>2647.05</v>
      </c>
      <c r="S727" s="95">
        <v>40330.5</v>
      </c>
    </row>
    <row r="728" spans="1:19" ht="15" x14ac:dyDescent="0.25">
      <c r="A728" s="90" t="s">
        <v>1982</v>
      </c>
      <c r="B728" s="90" t="s">
        <v>45</v>
      </c>
      <c r="C728" s="98" t="s">
        <v>1983</v>
      </c>
      <c r="D728" s="92" t="s">
        <v>1984</v>
      </c>
      <c r="E728" s="90" t="s">
        <v>93</v>
      </c>
      <c r="F728" s="99">
        <v>139</v>
      </c>
      <c r="G728" s="94">
        <v>382.29</v>
      </c>
      <c r="H728" s="94">
        <v>26.75</v>
      </c>
      <c r="I728" s="95">
        <v>409.04</v>
      </c>
      <c r="J728" s="95">
        <v>53138.31</v>
      </c>
      <c r="K728" s="95">
        <v>3718.25</v>
      </c>
      <c r="L728" s="95">
        <v>56856.56</v>
      </c>
      <c r="M728" s="96">
        <v>0.27529999999999999</v>
      </c>
      <c r="N728" s="95">
        <v>487.53</v>
      </c>
      <c r="O728" s="95">
        <v>34.11</v>
      </c>
      <c r="P728" s="95">
        <v>521.64</v>
      </c>
      <c r="Q728" s="95">
        <v>67766.67</v>
      </c>
      <c r="R728" s="95">
        <v>4741.29</v>
      </c>
      <c r="S728" s="95">
        <v>72507.959999999992</v>
      </c>
    </row>
    <row r="729" spans="1:19" ht="15" x14ac:dyDescent="0.25">
      <c r="A729" s="90" t="s">
        <v>1985</v>
      </c>
      <c r="B729" s="90" t="s">
        <v>31</v>
      </c>
      <c r="C729" s="98" t="s">
        <v>1986</v>
      </c>
      <c r="D729" s="92" t="s">
        <v>1987</v>
      </c>
      <c r="E729" s="90" t="s">
        <v>93</v>
      </c>
      <c r="F729" s="99">
        <v>2574</v>
      </c>
      <c r="G729" s="94">
        <v>16.420000000000002</v>
      </c>
      <c r="H729" s="94">
        <v>10.69</v>
      </c>
      <c r="I729" s="95">
        <v>27.11</v>
      </c>
      <c r="J729" s="95">
        <v>42265.08</v>
      </c>
      <c r="K729" s="95">
        <v>27516.059999999998</v>
      </c>
      <c r="L729" s="95">
        <v>69781.14</v>
      </c>
      <c r="M729" s="96">
        <v>0.27529999999999999</v>
      </c>
      <c r="N729" s="95">
        <v>20.94</v>
      </c>
      <c r="O729" s="95">
        <v>13.63</v>
      </c>
      <c r="P729" s="95">
        <v>34.57</v>
      </c>
      <c r="Q729" s="95">
        <v>53899.56</v>
      </c>
      <c r="R729" s="95">
        <v>35083.620000000003</v>
      </c>
      <c r="S729" s="95">
        <v>88983.18</v>
      </c>
    </row>
    <row r="730" spans="1:19" ht="15" x14ac:dyDescent="0.25">
      <c r="A730" s="90" t="s">
        <v>1988</v>
      </c>
      <c r="B730" s="90" t="s">
        <v>31</v>
      </c>
      <c r="C730" s="98" t="s">
        <v>1989</v>
      </c>
      <c r="D730" s="92" t="s">
        <v>1990</v>
      </c>
      <c r="E730" s="90" t="s">
        <v>93</v>
      </c>
      <c r="F730" s="99">
        <v>9</v>
      </c>
      <c r="G730" s="94">
        <v>21.72</v>
      </c>
      <c r="H730" s="94">
        <v>5.63</v>
      </c>
      <c r="I730" s="95">
        <v>27.349999999999998</v>
      </c>
      <c r="J730" s="95">
        <v>195.48</v>
      </c>
      <c r="K730" s="95">
        <v>50.670000000000016</v>
      </c>
      <c r="L730" s="95">
        <v>246.15</v>
      </c>
      <c r="M730" s="96">
        <v>0.27529999999999999</v>
      </c>
      <c r="N730" s="95">
        <v>27.7</v>
      </c>
      <c r="O730" s="95">
        <v>7.18</v>
      </c>
      <c r="P730" s="95">
        <v>34.879999999999995</v>
      </c>
      <c r="Q730" s="95">
        <v>249.3</v>
      </c>
      <c r="R730" s="95">
        <v>64.62</v>
      </c>
      <c r="S730" s="95">
        <v>313.92</v>
      </c>
    </row>
    <row r="731" spans="1:19" ht="15" x14ac:dyDescent="0.25">
      <c r="A731" s="90" t="s">
        <v>1991</v>
      </c>
      <c r="B731" s="90" t="s">
        <v>31</v>
      </c>
      <c r="C731" s="98" t="s">
        <v>1992</v>
      </c>
      <c r="D731" s="92" t="s">
        <v>1993</v>
      </c>
      <c r="E731" s="90" t="s">
        <v>93</v>
      </c>
      <c r="F731" s="99">
        <v>403</v>
      </c>
      <c r="G731" s="94">
        <v>36.200000000000003</v>
      </c>
      <c r="H731" s="94">
        <v>6.64</v>
      </c>
      <c r="I731" s="95">
        <v>42.84</v>
      </c>
      <c r="J731" s="95">
        <v>14588.6</v>
      </c>
      <c r="K731" s="95">
        <v>2675.92</v>
      </c>
      <c r="L731" s="95">
        <v>17264.52</v>
      </c>
      <c r="M731" s="96">
        <v>0.27529999999999999</v>
      </c>
      <c r="N731" s="95">
        <v>46.17</v>
      </c>
      <c r="O731" s="95">
        <v>8.4700000000000006</v>
      </c>
      <c r="P731" s="95">
        <v>54.64</v>
      </c>
      <c r="Q731" s="95">
        <v>18606.509999999998</v>
      </c>
      <c r="R731" s="95">
        <v>3413.41</v>
      </c>
      <c r="S731" s="95">
        <v>22019.919999999998</v>
      </c>
    </row>
    <row r="732" spans="1:19" ht="15" x14ac:dyDescent="0.25">
      <c r="A732" s="90" t="s">
        <v>1994</v>
      </c>
      <c r="B732" s="90" t="s">
        <v>31</v>
      </c>
      <c r="C732" s="98" t="s">
        <v>1995</v>
      </c>
      <c r="D732" s="92" t="s">
        <v>1996</v>
      </c>
      <c r="E732" s="90" t="s">
        <v>93</v>
      </c>
      <c r="F732" s="99">
        <v>389</v>
      </c>
      <c r="G732" s="94">
        <v>51.27</v>
      </c>
      <c r="H732" s="94">
        <v>18.77</v>
      </c>
      <c r="I732" s="95">
        <v>70.040000000000006</v>
      </c>
      <c r="J732" s="95">
        <v>19944.03</v>
      </c>
      <c r="K732" s="95">
        <v>7301.5300000000025</v>
      </c>
      <c r="L732" s="95">
        <v>27245.56</v>
      </c>
      <c r="M732" s="96">
        <v>0.27529999999999999</v>
      </c>
      <c r="N732" s="95">
        <v>65.38</v>
      </c>
      <c r="O732" s="95">
        <v>23.94</v>
      </c>
      <c r="P732" s="95">
        <v>89.32</v>
      </c>
      <c r="Q732" s="95">
        <v>25432.82</v>
      </c>
      <c r="R732" s="95">
        <v>9312.66</v>
      </c>
      <c r="S732" s="95">
        <v>34745.479999999996</v>
      </c>
    </row>
    <row r="733" spans="1:19" ht="15" x14ac:dyDescent="0.25">
      <c r="A733" s="90" t="s">
        <v>1997</v>
      </c>
      <c r="B733" s="90" t="s">
        <v>31</v>
      </c>
      <c r="C733" s="98" t="s">
        <v>1998</v>
      </c>
      <c r="D733" s="92" t="s">
        <v>1999</v>
      </c>
      <c r="E733" s="90" t="s">
        <v>93</v>
      </c>
      <c r="F733" s="99">
        <v>145</v>
      </c>
      <c r="G733" s="94">
        <v>62.27</v>
      </c>
      <c r="H733" s="94">
        <v>9.02</v>
      </c>
      <c r="I733" s="95">
        <v>71.290000000000006</v>
      </c>
      <c r="J733" s="95">
        <v>9029.15</v>
      </c>
      <c r="K733" s="95">
        <v>1307.8999999999996</v>
      </c>
      <c r="L733" s="95">
        <v>10337.049999999999</v>
      </c>
      <c r="M733" s="96">
        <v>0.27529999999999999</v>
      </c>
      <c r="N733" s="95">
        <v>79.41</v>
      </c>
      <c r="O733" s="95">
        <v>11.5</v>
      </c>
      <c r="P733" s="95">
        <v>90.91</v>
      </c>
      <c r="Q733" s="95">
        <v>11514.45</v>
      </c>
      <c r="R733" s="95">
        <v>1667.5</v>
      </c>
      <c r="S733" s="95">
        <v>13181.95</v>
      </c>
    </row>
    <row r="734" spans="1:19" ht="15" x14ac:dyDescent="0.25">
      <c r="A734" s="90" t="s">
        <v>2000</v>
      </c>
      <c r="B734" s="90" t="s">
        <v>31</v>
      </c>
      <c r="C734" s="98" t="s">
        <v>1998</v>
      </c>
      <c r="D734" s="92" t="s">
        <v>2001</v>
      </c>
      <c r="E734" s="90" t="s">
        <v>93</v>
      </c>
      <c r="F734" s="99">
        <v>109</v>
      </c>
      <c r="G734" s="94">
        <v>62.27</v>
      </c>
      <c r="H734" s="94">
        <v>9.02</v>
      </c>
      <c r="I734" s="95">
        <v>71.290000000000006</v>
      </c>
      <c r="J734" s="95">
        <v>6787.43</v>
      </c>
      <c r="K734" s="95">
        <v>983.17999999999938</v>
      </c>
      <c r="L734" s="95">
        <v>7770.61</v>
      </c>
      <c r="M734" s="96">
        <v>0.27529999999999999</v>
      </c>
      <c r="N734" s="95">
        <v>79.41</v>
      </c>
      <c r="O734" s="95">
        <v>11.5</v>
      </c>
      <c r="P734" s="95">
        <v>90.91</v>
      </c>
      <c r="Q734" s="95">
        <v>8655.69</v>
      </c>
      <c r="R734" s="95">
        <v>1253.5</v>
      </c>
      <c r="S734" s="95">
        <v>9909.19</v>
      </c>
    </row>
    <row r="735" spans="1:19" ht="15" x14ac:dyDescent="0.25">
      <c r="A735" s="90" t="s">
        <v>2002</v>
      </c>
      <c r="B735" s="90" t="s">
        <v>706</v>
      </c>
      <c r="C735" s="98" t="s">
        <v>2003</v>
      </c>
      <c r="D735" s="92" t="s">
        <v>2004</v>
      </c>
      <c r="E735" s="90" t="s">
        <v>16</v>
      </c>
      <c r="F735" s="99">
        <v>517</v>
      </c>
      <c r="G735" s="94">
        <v>116.41</v>
      </c>
      <c r="H735" s="94">
        <v>0</v>
      </c>
      <c r="I735" s="95">
        <v>116.41</v>
      </c>
      <c r="J735" s="95">
        <v>60183.97</v>
      </c>
      <c r="K735" s="95">
        <v>0</v>
      </c>
      <c r="L735" s="95">
        <v>60183.97</v>
      </c>
      <c r="M735" s="96">
        <v>0.27529999999999999</v>
      </c>
      <c r="N735" s="95">
        <v>148.46</v>
      </c>
      <c r="O735" s="95">
        <v>0</v>
      </c>
      <c r="P735" s="95">
        <v>148.46</v>
      </c>
      <c r="Q735" s="95">
        <v>76753.820000000007</v>
      </c>
      <c r="R735" s="95">
        <v>0</v>
      </c>
      <c r="S735" s="95">
        <v>76753.820000000007</v>
      </c>
    </row>
    <row r="736" spans="1:19" ht="15" x14ac:dyDescent="0.25">
      <c r="A736" s="90" t="s">
        <v>2005</v>
      </c>
      <c r="B736" s="90" t="s">
        <v>706</v>
      </c>
      <c r="C736" s="98" t="s">
        <v>2006</v>
      </c>
      <c r="D736" s="92" t="s">
        <v>2007</v>
      </c>
      <c r="E736" s="90" t="s">
        <v>16</v>
      </c>
      <c r="F736" s="99">
        <v>39</v>
      </c>
      <c r="G736" s="94">
        <v>150.24</v>
      </c>
      <c r="H736" s="94">
        <v>0</v>
      </c>
      <c r="I736" s="95">
        <v>150.24</v>
      </c>
      <c r="J736" s="95">
        <v>5859.36</v>
      </c>
      <c r="K736" s="95">
        <v>0</v>
      </c>
      <c r="L736" s="95">
        <v>5859.36</v>
      </c>
      <c r="M736" s="96">
        <v>0.27529999999999999</v>
      </c>
      <c r="N736" s="95">
        <v>191.6</v>
      </c>
      <c r="O736" s="95">
        <v>0</v>
      </c>
      <c r="P736" s="95">
        <v>191.6</v>
      </c>
      <c r="Q736" s="95">
        <v>7472.4</v>
      </c>
      <c r="R736" s="95">
        <v>0</v>
      </c>
      <c r="S736" s="95">
        <v>7472.4</v>
      </c>
    </row>
    <row r="737" spans="1:19" ht="15" x14ac:dyDescent="0.25">
      <c r="A737" s="90" t="s">
        <v>2008</v>
      </c>
      <c r="B737" s="90" t="s">
        <v>706</v>
      </c>
      <c r="C737" s="98" t="s">
        <v>2009</v>
      </c>
      <c r="D737" s="92" t="s">
        <v>2010</v>
      </c>
      <c r="E737" s="90" t="s">
        <v>16</v>
      </c>
      <c r="F737" s="99">
        <v>22</v>
      </c>
      <c r="G737" s="94">
        <v>202.77</v>
      </c>
      <c r="H737" s="94">
        <v>0</v>
      </c>
      <c r="I737" s="95">
        <v>202.77</v>
      </c>
      <c r="J737" s="95">
        <v>4460.9399999999996</v>
      </c>
      <c r="K737" s="95">
        <v>0</v>
      </c>
      <c r="L737" s="95">
        <v>4460.9399999999996</v>
      </c>
      <c r="M737" s="96">
        <v>0.27529999999999999</v>
      </c>
      <c r="N737" s="95">
        <v>258.58999999999997</v>
      </c>
      <c r="O737" s="95">
        <v>0</v>
      </c>
      <c r="P737" s="95">
        <v>258.58999999999997</v>
      </c>
      <c r="Q737" s="95">
        <v>5688.98</v>
      </c>
      <c r="R737" s="95">
        <v>0</v>
      </c>
      <c r="S737" s="95">
        <v>5688.98</v>
      </c>
    </row>
    <row r="738" spans="1:19" ht="15" x14ac:dyDescent="0.25">
      <c r="A738" s="90" t="s">
        <v>2011</v>
      </c>
      <c r="B738" s="90" t="s">
        <v>706</v>
      </c>
      <c r="C738" s="98" t="s">
        <v>2012</v>
      </c>
      <c r="D738" s="92" t="s">
        <v>2013</v>
      </c>
      <c r="E738" s="90" t="s">
        <v>16</v>
      </c>
      <c r="F738" s="99">
        <v>2</v>
      </c>
      <c r="G738" s="94">
        <v>424.47</v>
      </c>
      <c r="H738" s="94">
        <v>0</v>
      </c>
      <c r="I738" s="95">
        <v>424.47</v>
      </c>
      <c r="J738" s="95">
        <v>848.94</v>
      </c>
      <c r="K738" s="95">
        <v>0</v>
      </c>
      <c r="L738" s="95">
        <v>848.94</v>
      </c>
      <c r="M738" s="96">
        <v>0.27529999999999999</v>
      </c>
      <c r="N738" s="95">
        <v>541.33000000000004</v>
      </c>
      <c r="O738" s="95">
        <v>0</v>
      </c>
      <c r="P738" s="95">
        <v>541.33000000000004</v>
      </c>
      <c r="Q738" s="95">
        <v>1082.6600000000001</v>
      </c>
      <c r="R738" s="95">
        <v>0</v>
      </c>
      <c r="S738" s="95">
        <v>1082.6600000000001</v>
      </c>
    </row>
    <row r="739" spans="1:19" ht="15" x14ac:dyDescent="0.25">
      <c r="A739" s="90" t="s">
        <v>2014</v>
      </c>
      <c r="B739" s="90" t="s">
        <v>45</v>
      </c>
      <c r="C739" s="98" t="s">
        <v>2015</v>
      </c>
      <c r="D739" s="92" t="s">
        <v>2016</v>
      </c>
      <c r="E739" s="90" t="s">
        <v>16</v>
      </c>
      <c r="F739" s="99">
        <v>179</v>
      </c>
      <c r="G739" s="94">
        <v>100.93</v>
      </c>
      <c r="H739" s="94">
        <v>17.440000000000001</v>
      </c>
      <c r="I739" s="95">
        <v>118.37</v>
      </c>
      <c r="J739" s="95">
        <v>18066.47</v>
      </c>
      <c r="K739" s="95">
        <v>3121.7599999999984</v>
      </c>
      <c r="L739" s="95">
        <v>21188.23</v>
      </c>
      <c r="M739" s="96">
        <v>0.27529999999999999</v>
      </c>
      <c r="N739" s="95">
        <v>128.72</v>
      </c>
      <c r="O739" s="95">
        <v>22.24</v>
      </c>
      <c r="P739" s="95">
        <v>150.96</v>
      </c>
      <c r="Q739" s="95">
        <v>23040.880000000001</v>
      </c>
      <c r="R739" s="95">
        <v>3980.96</v>
      </c>
      <c r="S739" s="95">
        <v>27021.84</v>
      </c>
    </row>
    <row r="740" spans="1:19" ht="15" x14ac:dyDescent="0.25">
      <c r="A740" s="90" t="s">
        <v>2017</v>
      </c>
      <c r="B740" s="90" t="s">
        <v>45</v>
      </c>
      <c r="C740" s="98" t="s">
        <v>2018</v>
      </c>
      <c r="D740" s="92" t="s">
        <v>2019</v>
      </c>
      <c r="E740" s="90" t="s">
        <v>16</v>
      </c>
      <c r="F740" s="99">
        <v>1</v>
      </c>
      <c r="G740" s="94">
        <v>136.78</v>
      </c>
      <c r="H740" s="94">
        <v>23.26</v>
      </c>
      <c r="I740" s="95">
        <v>160.04</v>
      </c>
      <c r="J740" s="95">
        <v>136.78</v>
      </c>
      <c r="K740" s="95">
        <v>23.259999999999991</v>
      </c>
      <c r="L740" s="95">
        <v>160.04</v>
      </c>
      <c r="M740" s="96">
        <v>0.27529999999999999</v>
      </c>
      <c r="N740" s="95">
        <v>174.44</v>
      </c>
      <c r="O740" s="95">
        <v>29.66</v>
      </c>
      <c r="P740" s="95">
        <v>204.1</v>
      </c>
      <c r="Q740" s="95">
        <v>174.44</v>
      </c>
      <c r="R740" s="95">
        <v>29.66</v>
      </c>
      <c r="S740" s="95">
        <v>204.1</v>
      </c>
    </row>
    <row r="741" spans="1:19" ht="15" x14ac:dyDescent="0.25">
      <c r="A741" s="90" t="s">
        <v>2020</v>
      </c>
      <c r="B741" s="90" t="s">
        <v>45</v>
      </c>
      <c r="C741" s="98" t="s">
        <v>2021</v>
      </c>
      <c r="D741" s="92" t="s">
        <v>2022</v>
      </c>
      <c r="E741" s="90" t="s">
        <v>16</v>
      </c>
      <c r="F741" s="99">
        <v>12</v>
      </c>
      <c r="G741" s="94">
        <v>195.37</v>
      </c>
      <c r="H741" s="94">
        <v>29.07</v>
      </c>
      <c r="I741" s="95">
        <v>224.44</v>
      </c>
      <c r="J741" s="95">
        <v>2344.44</v>
      </c>
      <c r="K741" s="95">
        <v>348.84000000000015</v>
      </c>
      <c r="L741" s="95">
        <v>2693.28</v>
      </c>
      <c r="M741" s="96">
        <v>0.27529999999999999</v>
      </c>
      <c r="N741" s="95">
        <v>249.16</v>
      </c>
      <c r="O741" s="95">
        <v>37.07</v>
      </c>
      <c r="P741" s="95">
        <v>286.23</v>
      </c>
      <c r="Q741" s="95">
        <v>2989.92</v>
      </c>
      <c r="R741" s="95">
        <v>444.84</v>
      </c>
      <c r="S741" s="95">
        <v>3434.76</v>
      </c>
    </row>
    <row r="742" spans="1:19" ht="15" x14ac:dyDescent="0.25">
      <c r="A742" s="90" t="s">
        <v>2023</v>
      </c>
      <c r="B742" s="90" t="s">
        <v>45</v>
      </c>
      <c r="C742" s="98" t="s">
        <v>2024</v>
      </c>
      <c r="D742" s="92" t="s">
        <v>2025</v>
      </c>
      <c r="E742" s="90" t="s">
        <v>16</v>
      </c>
      <c r="F742" s="99">
        <v>10</v>
      </c>
      <c r="G742" s="94">
        <v>106.94</v>
      </c>
      <c r="H742" s="94">
        <v>19.39</v>
      </c>
      <c r="I742" s="95">
        <v>126.33</v>
      </c>
      <c r="J742" s="95">
        <v>1069.4000000000001</v>
      </c>
      <c r="K742" s="95">
        <v>193.89999999999986</v>
      </c>
      <c r="L742" s="95">
        <v>1263.3</v>
      </c>
      <c r="M742" s="96">
        <v>0.27529999999999999</v>
      </c>
      <c r="N742" s="95">
        <v>136.38</v>
      </c>
      <c r="O742" s="95">
        <v>24.73</v>
      </c>
      <c r="P742" s="95">
        <v>161.10999999999999</v>
      </c>
      <c r="Q742" s="95">
        <v>1363.8</v>
      </c>
      <c r="R742" s="95">
        <v>247.3</v>
      </c>
      <c r="S742" s="95">
        <v>1611.1</v>
      </c>
    </row>
    <row r="743" spans="1:19" ht="15" x14ac:dyDescent="0.25">
      <c r="A743" s="90" t="s">
        <v>2026</v>
      </c>
      <c r="B743" s="90" t="s">
        <v>184</v>
      </c>
      <c r="C743" s="98" t="s">
        <v>2027</v>
      </c>
      <c r="D743" s="92" t="s">
        <v>2028</v>
      </c>
      <c r="E743" s="90" t="s">
        <v>16</v>
      </c>
      <c r="F743" s="99">
        <v>1</v>
      </c>
      <c r="G743" s="94">
        <v>195.11</v>
      </c>
      <c r="H743" s="94">
        <v>26.27</v>
      </c>
      <c r="I743" s="95">
        <v>221.38000000000002</v>
      </c>
      <c r="J743" s="95">
        <v>195.11</v>
      </c>
      <c r="K743" s="95">
        <v>26.269999999999982</v>
      </c>
      <c r="L743" s="95">
        <v>221.38</v>
      </c>
      <c r="M743" s="96">
        <v>0.27529999999999999</v>
      </c>
      <c r="N743" s="95">
        <v>248.82</v>
      </c>
      <c r="O743" s="95">
        <v>33.5</v>
      </c>
      <c r="P743" s="95">
        <v>282.32</v>
      </c>
      <c r="Q743" s="95">
        <v>248.82</v>
      </c>
      <c r="R743" s="95">
        <v>33.5</v>
      </c>
      <c r="S743" s="95">
        <v>282.32</v>
      </c>
    </row>
    <row r="744" spans="1:19" ht="15" x14ac:dyDescent="0.25">
      <c r="A744" s="90" t="s">
        <v>2029</v>
      </c>
      <c r="B744" s="90" t="s">
        <v>45</v>
      </c>
      <c r="C744" s="98" t="s">
        <v>1971</v>
      </c>
      <c r="D744" s="92" t="s">
        <v>1972</v>
      </c>
      <c r="E744" s="90" t="s">
        <v>93</v>
      </c>
      <c r="F744" s="99">
        <v>1057</v>
      </c>
      <c r="G744" s="94">
        <v>120.85</v>
      </c>
      <c r="H744" s="94">
        <v>13.97</v>
      </c>
      <c r="I744" s="95">
        <v>134.82</v>
      </c>
      <c r="J744" s="95">
        <v>127738.45</v>
      </c>
      <c r="K744" s="95">
        <v>14766.289999999994</v>
      </c>
      <c r="L744" s="95">
        <v>142504.74</v>
      </c>
      <c r="M744" s="96">
        <v>0.27529999999999999</v>
      </c>
      <c r="N744" s="95">
        <v>154.12</v>
      </c>
      <c r="O744" s="95">
        <v>17.82</v>
      </c>
      <c r="P744" s="95">
        <v>171.94</v>
      </c>
      <c r="Q744" s="95">
        <v>162904.84</v>
      </c>
      <c r="R744" s="95">
        <v>18835.740000000002</v>
      </c>
      <c r="S744" s="95">
        <v>181740.58</v>
      </c>
    </row>
    <row r="745" spans="1:19" s="89" customFormat="1" x14ac:dyDescent="0.25">
      <c r="A745" s="82" t="s">
        <v>2030</v>
      </c>
      <c r="B745" s="82"/>
      <c r="C745" s="84" t="s">
        <v>2031</v>
      </c>
      <c r="D745" s="84"/>
      <c r="E745" s="85"/>
      <c r="F745" s="101"/>
      <c r="G745" s="87"/>
      <c r="H745" s="87"/>
      <c r="I745" s="88"/>
      <c r="J745" s="87">
        <v>4917267.37</v>
      </c>
      <c r="K745" s="87">
        <v>1849.3800000000047</v>
      </c>
      <c r="L745" s="87">
        <v>4919116.75</v>
      </c>
      <c r="M745" s="87"/>
      <c r="N745" s="87"/>
      <c r="O745" s="87"/>
      <c r="P745" s="87"/>
      <c r="Q745" s="87">
        <v>5820569.3799999999</v>
      </c>
      <c r="R745" s="87">
        <v>2189.12</v>
      </c>
      <c r="S745" s="87">
        <v>5822758.5</v>
      </c>
    </row>
    <row r="746" spans="1:19" ht="15" x14ac:dyDescent="0.25">
      <c r="A746" s="90" t="s">
        <v>2032</v>
      </c>
      <c r="B746" s="90" t="s">
        <v>1055</v>
      </c>
      <c r="C746" s="98" t="s">
        <v>2033</v>
      </c>
      <c r="D746" s="92" t="s">
        <v>2034</v>
      </c>
      <c r="E746" s="90" t="s">
        <v>16</v>
      </c>
      <c r="F746" s="99">
        <v>2</v>
      </c>
      <c r="G746" s="94">
        <v>27794.89</v>
      </c>
      <c r="H746" s="94">
        <v>924.69</v>
      </c>
      <c r="I746" s="95">
        <v>28719.579999999998</v>
      </c>
      <c r="J746" s="95">
        <v>55589.78</v>
      </c>
      <c r="K746" s="95">
        <v>1849.3800000000047</v>
      </c>
      <c r="L746" s="95">
        <v>57439.16</v>
      </c>
      <c r="M746" s="96">
        <v>0.1837</v>
      </c>
      <c r="N746" s="95">
        <v>32900.81</v>
      </c>
      <c r="O746" s="95">
        <v>1094.56</v>
      </c>
      <c r="P746" s="95">
        <v>33995.369999999995</v>
      </c>
      <c r="Q746" s="95">
        <v>65801.62</v>
      </c>
      <c r="R746" s="95">
        <v>2189.12</v>
      </c>
      <c r="S746" s="95">
        <v>67990.739999999991</v>
      </c>
    </row>
    <row r="747" spans="1:19" ht="15" x14ac:dyDescent="0.25">
      <c r="A747" s="90" t="s">
        <v>2035</v>
      </c>
      <c r="B747" s="90" t="s">
        <v>95</v>
      </c>
      <c r="C747" s="98" t="s">
        <v>2036</v>
      </c>
      <c r="D747" s="92" t="s">
        <v>2037</v>
      </c>
      <c r="E747" s="90" t="s">
        <v>16</v>
      </c>
      <c r="F747" s="99">
        <v>3</v>
      </c>
      <c r="G747" s="94">
        <v>694525.37</v>
      </c>
      <c r="H747" s="94">
        <v>0</v>
      </c>
      <c r="I747" s="95">
        <v>694525.37</v>
      </c>
      <c r="J747" s="95">
        <v>2083576.11</v>
      </c>
      <c r="K747" s="95">
        <v>0</v>
      </c>
      <c r="L747" s="95">
        <v>2083576.11</v>
      </c>
      <c r="M747" s="96">
        <v>0.1837</v>
      </c>
      <c r="N747" s="95">
        <v>822109.68</v>
      </c>
      <c r="O747" s="95">
        <v>0</v>
      </c>
      <c r="P747" s="95">
        <v>822109.68</v>
      </c>
      <c r="Q747" s="95">
        <v>2466329.04</v>
      </c>
      <c r="R747" s="95">
        <v>0</v>
      </c>
      <c r="S747" s="95">
        <v>2466329.04</v>
      </c>
    </row>
    <row r="748" spans="1:19" ht="15" x14ac:dyDescent="0.25">
      <c r="A748" s="90" t="s">
        <v>2038</v>
      </c>
      <c r="B748" s="90" t="s">
        <v>95</v>
      </c>
      <c r="C748" s="98" t="s">
        <v>2039</v>
      </c>
      <c r="D748" s="92" t="s">
        <v>2040</v>
      </c>
      <c r="E748" s="90" t="s">
        <v>16</v>
      </c>
      <c r="F748" s="99">
        <v>3</v>
      </c>
      <c r="G748" s="94">
        <v>694525.37</v>
      </c>
      <c r="H748" s="94">
        <v>0</v>
      </c>
      <c r="I748" s="95">
        <v>694525.37</v>
      </c>
      <c r="J748" s="95">
        <v>2083576.11</v>
      </c>
      <c r="K748" s="95">
        <v>0</v>
      </c>
      <c r="L748" s="95">
        <v>2083576.11</v>
      </c>
      <c r="M748" s="96">
        <v>0.1837</v>
      </c>
      <c r="N748" s="95">
        <v>822109.68</v>
      </c>
      <c r="O748" s="95">
        <v>0</v>
      </c>
      <c r="P748" s="95">
        <v>822109.68</v>
      </c>
      <c r="Q748" s="95">
        <v>2466329.04</v>
      </c>
      <c r="R748" s="95">
        <v>0</v>
      </c>
      <c r="S748" s="95">
        <v>2466329.04</v>
      </c>
    </row>
    <row r="749" spans="1:19" ht="15" x14ac:dyDescent="0.25">
      <c r="A749" s="90" t="s">
        <v>2041</v>
      </c>
      <c r="B749" s="90" t="s">
        <v>95</v>
      </c>
      <c r="C749" s="98" t="s">
        <v>2042</v>
      </c>
      <c r="D749" s="92" t="s">
        <v>2043</v>
      </c>
      <c r="E749" s="90" t="s">
        <v>16</v>
      </c>
      <c r="F749" s="99">
        <v>1</v>
      </c>
      <c r="G749" s="94">
        <v>694525.37</v>
      </c>
      <c r="H749" s="94">
        <v>0</v>
      </c>
      <c r="I749" s="95">
        <v>694525.37</v>
      </c>
      <c r="J749" s="95">
        <v>694525.37</v>
      </c>
      <c r="K749" s="95">
        <v>0</v>
      </c>
      <c r="L749" s="95">
        <v>694525.37</v>
      </c>
      <c r="M749" s="96">
        <v>0.1837</v>
      </c>
      <c r="N749" s="95">
        <v>822109.68</v>
      </c>
      <c r="O749" s="95">
        <v>0</v>
      </c>
      <c r="P749" s="95">
        <v>822109.68</v>
      </c>
      <c r="Q749" s="95">
        <v>822109.68</v>
      </c>
      <c r="R749" s="95">
        <v>0</v>
      </c>
      <c r="S749" s="95">
        <v>822109.68</v>
      </c>
    </row>
    <row r="750" spans="1:19" s="89" customFormat="1" x14ac:dyDescent="0.25">
      <c r="A750" s="82" t="s">
        <v>2044</v>
      </c>
      <c r="B750" s="82"/>
      <c r="C750" s="83" t="s">
        <v>2045</v>
      </c>
      <c r="D750" s="84"/>
      <c r="E750" s="85"/>
      <c r="F750" s="101"/>
      <c r="G750" s="87"/>
      <c r="H750" s="87"/>
      <c r="I750" s="88"/>
      <c r="J750" s="87">
        <v>34267732.430000022</v>
      </c>
      <c r="K750" s="87">
        <v>3283803.5999999996</v>
      </c>
      <c r="L750" s="87">
        <v>37551536.029999979</v>
      </c>
      <c r="M750" s="87"/>
      <c r="N750" s="87"/>
      <c r="O750" s="87"/>
      <c r="P750" s="87"/>
      <c r="Q750" s="87">
        <v>43021254.199999973</v>
      </c>
      <c r="R750" s="87">
        <v>4184026.9400000004</v>
      </c>
      <c r="S750" s="87">
        <v>47205281.140000008</v>
      </c>
    </row>
    <row r="751" spans="1:19" x14ac:dyDescent="0.25">
      <c r="A751" s="90" t="s">
        <v>2046</v>
      </c>
      <c r="B751" s="90"/>
      <c r="C751" s="91" t="s">
        <v>2047</v>
      </c>
      <c r="D751" s="92"/>
      <c r="E751" s="90"/>
      <c r="F751" s="93"/>
      <c r="G751" s="94"/>
      <c r="H751" s="94"/>
      <c r="I751" s="95"/>
      <c r="J751" s="95"/>
      <c r="K751" s="95"/>
      <c r="L751" s="95"/>
      <c r="M751" s="96">
        <v>0</v>
      </c>
      <c r="N751" s="95"/>
      <c r="O751" s="95"/>
      <c r="P751" s="95"/>
      <c r="Q751" s="95"/>
      <c r="R751" s="95"/>
      <c r="S751" s="95"/>
    </row>
    <row r="752" spans="1:19" ht="15" x14ac:dyDescent="0.25">
      <c r="A752" s="90" t="s">
        <v>2048</v>
      </c>
      <c r="B752" s="90" t="s">
        <v>95</v>
      </c>
      <c r="C752" s="98" t="s">
        <v>2049</v>
      </c>
      <c r="D752" s="92" t="s">
        <v>2050</v>
      </c>
      <c r="E752" s="90" t="s">
        <v>16</v>
      </c>
      <c r="F752" s="99">
        <v>1</v>
      </c>
      <c r="G752" s="94">
        <v>195599.62</v>
      </c>
      <c r="H752" s="94">
        <v>0</v>
      </c>
      <c r="I752" s="95">
        <v>195599.62</v>
      </c>
      <c r="J752" s="95">
        <v>195599.62</v>
      </c>
      <c r="K752" s="95">
        <v>0</v>
      </c>
      <c r="L752" s="95">
        <v>195599.62</v>
      </c>
      <c r="M752" s="96">
        <v>0.27529999999999999</v>
      </c>
      <c r="N752" s="95">
        <v>249448.2</v>
      </c>
      <c r="O752" s="95">
        <v>0</v>
      </c>
      <c r="P752" s="95">
        <v>249448.2</v>
      </c>
      <c r="Q752" s="95">
        <v>249448.2</v>
      </c>
      <c r="R752" s="95">
        <v>0</v>
      </c>
      <c r="S752" s="95">
        <v>249448.2</v>
      </c>
    </row>
    <row r="753" spans="1:19" ht="15" x14ac:dyDescent="0.25">
      <c r="A753" s="90" t="s">
        <v>2051</v>
      </c>
      <c r="B753" s="90" t="s">
        <v>95</v>
      </c>
      <c r="C753" s="98" t="s">
        <v>2052</v>
      </c>
      <c r="D753" s="92" t="s">
        <v>2053</v>
      </c>
      <c r="E753" s="90" t="s">
        <v>16</v>
      </c>
      <c r="F753" s="99">
        <v>1</v>
      </c>
      <c r="G753" s="94">
        <v>195599.62</v>
      </c>
      <c r="H753" s="94">
        <v>0</v>
      </c>
      <c r="I753" s="95">
        <v>195599.62</v>
      </c>
      <c r="J753" s="95">
        <v>195599.62</v>
      </c>
      <c r="K753" s="95">
        <v>0</v>
      </c>
      <c r="L753" s="95">
        <v>195599.62</v>
      </c>
      <c r="M753" s="96">
        <v>0.27529999999999999</v>
      </c>
      <c r="N753" s="95">
        <v>249448.2</v>
      </c>
      <c r="O753" s="95">
        <v>0</v>
      </c>
      <c r="P753" s="95">
        <v>249448.2</v>
      </c>
      <c r="Q753" s="95">
        <v>249448.2</v>
      </c>
      <c r="R753" s="95">
        <v>0</v>
      </c>
      <c r="S753" s="95">
        <v>249448.2</v>
      </c>
    </row>
    <row r="754" spans="1:19" ht="15" x14ac:dyDescent="0.25">
      <c r="A754" s="90" t="s">
        <v>2054</v>
      </c>
      <c r="B754" s="90" t="s">
        <v>95</v>
      </c>
      <c r="C754" s="98" t="s">
        <v>2055</v>
      </c>
      <c r="D754" s="92" t="s">
        <v>2056</v>
      </c>
      <c r="E754" s="90" t="s">
        <v>16</v>
      </c>
      <c r="F754" s="99">
        <v>1</v>
      </c>
      <c r="G754" s="94">
        <v>195599.62</v>
      </c>
      <c r="H754" s="94">
        <v>0</v>
      </c>
      <c r="I754" s="95">
        <v>195599.62</v>
      </c>
      <c r="J754" s="95">
        <v>195599.62</v>
      </c>
      <c r="K754" s="95">
        <v>0</v>
      </c>
      <c r="L754" s="95">
        <v>195599.62</v>
      </c>
      <c r="M754" s="96">
        <v>0.27529999999999999</v>
      </c>
      <c r="N754" s="95">
        <v>249448.2</v>
      </c>
      <c r="O754" s="95">
        <v>0</v>
      </c>
      <c r="P754" s="95">
        <v>249448.2</v>
      </c>
      <c r="Q754" s="95">
        <v>249448.2</v>
      </c>
      <c r="R754" s="95">
        <v>0</v>
      </c>
      <c r="S754" s="95">
        <v>249448.2</v>
      </c>
    </row>
    <row r="755" spans="1:19" ht="15" x14ac:dyDescent="0.25">
      <c r="A755" s="90" t="s">
        <v>2057</v>
      </c>
      <c r="B755" s="90" t="s">
        <v>95</v>
      </c>
      <c r="C755" s="98" t="s">
        <v>2058</v>
      </c>
      <c r="D755" s="92" t="s">
        <v>2059</v>
      </c>
      <c r="E755" s="90" t="s">
        <v>16</v>
      </c>
      <c r="F755" s="99">
        <v>1</v>
      </c>
      <c r="G755" s="94">
        <v>195599.62</v>
      </c>
      <c r="H755" s="94">
        <v>0</v>
      </c>
      <c r="I755" s="95">
        <v>195599.62</v>
      </c>
      <c r="J755" s="95">
        <v>195599.62</v>
      </c>
      <c r="K755" s="95">
        <v>0</v>
      </c>
      <c r="L755" s="95">
        <v>195599.62</v>
      </c>
      <c r="M755" s="96">
        <v>0.27529999999999999</v>
      </c>
      <c r="N755" s="95">
        <v>249448.2</v>
      </c>
      <c r="O755" s="95">
        <v>0</v>
      </c>
      <c r="P755" s="95">
        <v>249448.2</v>
      </c>
      <c r="Q755" s="95">
        <v>249448.2</v>
      </c>
      <c r="R755" s="95">
        <v>0</v>
      </c>
      <c r="S755" s="95">
        <v>249448.2</v>
      </c>
    </row>
    <row r="756" spans="1:19" ht="15" x14ac:dyDescent="0.25">
      <c r="A756" s="90" t="s">
        <v>2060</v>
      </c>
      <c r="B756" s="90" t="s">
        <v>95</v>
      </c>
      <c r="C756" s="98" t="s">
        <v>2061</v>
      </c>
      <c r="D756" s="92" t="s">
        <v>2062</v>
      </c>
      <c r="E756" s="90" t="s">
        <v>16</v>
      </c>
      <c r="F756" s="99">
        <v>1</v>
      </c>
      <c r="G756" s="94">
        <v>287477.61</v>
      </c>
      <c r="H756" s="94">
        <v>0</v>
      </c>
      <c r="I756" s="95">
        <v>287477.61</v>
      </c>
      <c r="J756" s="95">
        <v>287477.61</v>
      </c>
      <c r="K756" s="95">
        <v>0</v>
      </c>
      <c r="L756" s="95">
        <v>287477.61</v>
      </c>
      <c r="M756" s="96">
        <v>0.27529999999999999</v>
      </c>
      <c r="N756" s="95">
        <v>366620.2</v>
      </c>
      <c r="O756" s="95">
        <v>0</v>
      </c>
      <c r="P756" s="95">
        <v>366620.2</v>
      </c>
      <c r="Q756" s="95">
        <v>366620.2</v>
      </c>
      <c r="R756" s="95">
        <v>0</v>
      </c>
      <c r="S756" s="95">
        <v>366620.2</v>
      </c>
    </row>
    <row r="757" spans="1:19" ht="15" x14ac:dyDescent="0.25">
      <c r="A757" s="90" t="s">
        <v>2063</v>
      </c>
      <c r="B757" s="90" t="s">
        <v>95</v>
      </c>
      <c r="C757" s="98" t="s">
        <v>2064</v>
      </c>
      <c r="D757" s="92" t="s">
        <v>2065</v>
      </c>
      <c r="E757" s="90" t="s">
        <v>16</v>
      </c>
      <c r="F757" s="99">
        <v>1</v>
      </c>
      <c r="G757" s="94">
        <v>287477.61</v>
      </c>
      <c r="H757" s="94">
        <v>0</v>
      </c>
      <c r="I757" s="95">
        <v>287477.61</v>
      </c>
      <c r="J757" s="95">
        <v>287477.61</v>
      </c>
      <c r="K757" s="95">
        <v>0</v>
      </c>
      <c r="L757" s="95">
        <v>287477.61</v>
      </c>
      <c r="M757" s="96">
        <v>0.27529999999999999</v>
      </c>
      <c r="N757" s="95">
        <v>366620.2</v>
      </c>
      <c r="O757" s="95">
        <v>0</v>
      </c>
      <c r="P757" s="95">
        <v>366620.2</v>
      </c>
      <c r="Q757" s="95">
        <v>366620.2</v>
      </c>
      <c r="R757" s="95">
        <v>0</v>
      </c>
      <c r="S757" s="95">
        <v>366620.2</v>
      </c>
    </row>
    <row r="758" spans="1:19" ht="15" x14ac:dyDescent="0.25">
      <c r="A758" s="90" t="s">
        <v>2066</v>
      </c>
      <c r="B758" s="90" t="s">
        <v>95</v>
      </c>
      <c r="C758" s="98" t="s">
        <v>2067</v>
      </c>
      <c r="D758" s="92" t="s">
        <v>2068</v>
      </c>
      <c r="E758" s="90" t="s">
        <v>16</v>
      </c>
      <c r="F758" s="99">
        <v>1</v>
      </c>
      <c r="G758" s="94">
        <v>287477.61</v>
      </c>
      <c r="H758" s="94">
        <v>0</v>
      </c>
      <c r="I758" s="95">
        <v>287477.61</v>
      </c>
      <c r="J758" s="95">
        <v>287477.61</v>
      </c>
      <c r="K758" s="95">
        <v>0</v>
      </c>
      <c r="L758" s="95">
        <v>287477.61</v>
      </c>
      <c r="M758" s="96">
        <v>0.27529999999999999</v>
      </c>
      <c r="N758" s="95">
        <v>366620.2</v>
      </c>
      <c r="O758" s="95">
        <v>0</v>
      </c>
      <c r="P758" s="95">
        <v>366620.2</v>
      </c>
      <c r="Q758" s="95">
        <v>366620.2</v>
      </c>
      <c r="R758" s="95">
        <v>0</v>
      </c>
      <c r="S758" s="95">
        <v>366620.2</v>
      </c>
    </row>
    <row r="759" spans="1:19" ht="15" x14ac:dyDescent="0.25">
      <c r="A759" s="90" t="s">
        <v>2069</v>
      </c>
      <c r="B759" s="90" t="s">
        <v>95</v>
      </c>
      <c r="C759" s="98" t="s">
        <v>2070</v>
      </c>
      <c r="D759" s="92" t="s">
        <v>2071</v>
      </c>
      <c r="E759" s="90" t="s">
        <v>16</v>
      </c>
      <c r="F759" s="99">
        <v>1</v>
      </c>
      <c r="G759" s="94">
        <v>287477.61</v>
      </c>
      <c r="H759" s="94">
        <v>0</v>
      </c>
      <c r="I759" s="95">
        <v>287477.61</v>
      </c>
      <c r="J759" s="95">
        <v>287477.61</v>
      </c>
      <c r="K759" s="95">
        <v>0</v>
      </c>
      <c r="L759" s="95">
        <v>287477.61</v>
      </c>
      <c r="M759" s="96">
        <v>0.27529999999999999</v>
      </c>
      <c r="N759" s="95">
        <v>366620.2</v>
      </c>
      <c r="O759" s="95">
        <v>0</v>
      </c>
      <c r="P759" s="95">
        <v>366620.2</v>
      </c>
      <c r="Q759" s="95">
        <v>366620.2</v>
      </c>
      <c r="R759" s="95">
        <v>0</v>
      </c>
      <c r="S759" s="95">
        <v>366620.2</v>
      </c>
    </row>
    <row r="760" spans="1:19" ht="15" x14ac:dyDescent="0.25">
      <c r="A760" s="90" t="s">
        <v>2072</v>
      </c>
      <c r="B760" s="90" t="s">
        <v>95</v>
      </c>
      <c r="C760" s="98" t="s">
        <v>2073</v>
      </c>
      <c r="D760" s="92" t="s">
        <v>2074</v>
      </c>
      <c r="E760" s="90" t="s">
        <v>16</v>
      </c>
      <c r="F760" s="99">
        <v>1</v>
      </c>
      <c r="G760" s="94">
        <v>331729.78000000003</v>
      </c>
      <c r="H760" s="94">
        <v>0</v>
      </c>
      <c r="I760" s="95">
        <v>331729.78000000003</v>
      </c>
      <c r="J760" s="95">
        <v>331729.78000000003</v>
      </c>
      <c r="K760" s="95">
        <v>0</v>
      </c>
      <c r="L760" s="95">
        <v>331729.78000000003</v>
      </c>
      <c r="M760" s="96">
        <v>0.27529999999999999</v>
      </c>
      <c r="N760" s="95">
        <v>423054.99</v>
      </c>
      <c r="O760" s="95">
        <v>0</v>
      </c>
      <c r="P760" s="95">
        <v>423054.99</v>
      </c>
      <c r="Q760" s="95">
        <v>423054.99</v>
      </c>
      <c r="R760" s="95">
        <v>0</v>
      </c>
      <c r="S760" s="95">
        <v>423054.99</v>
      </c>
    </row>
    <row r="761" spans="1:19" ht="15" x14ac:dyDescent="0.25">
      <c r="A761" s="90" t="s">
        <v>2075</v>
      </c>
      <c r="B761" s="90" t="s">
        <v>95</v>
      </c>
      <c r="C761" s="98" t="s">
        <v>2076</v>
      </c>
      <c r="D761" s="92" t="s">
        <v>2077</v>
      </c>
      <c r="E761" s="90" t="s">
        <v>16</v>
      </c>
      <c r="F761" s="99">
        <v>1</v>
      </c>
      <c r="G761" s="94">
        <v>531169.61</v>
      </c>
      <c r="H761" s="94">
        <v>0</v>
      </c>
      <c r="I761" s="95">
        <v>531169.61</v>
      </c>
      <c r="J761" s="95">
        <v>531169.61</v>
      </c>
      <c r="K761" s="95">
        <v>0</v>
      </c>
      <c r="L761" s="95">
        <v>531169.61</v>
      </c>
      <c r="M761" s="96">
        <v>0.27529999999999999</v>
      </c>
      <c r="N761" s="95">
        <v>677400.6</v>
      </c>
      <c r="O761" s="95">
        <v>0</v>
      </c>
      <c r="P761" s="95">
        <v>677400.6</v>
      </c>
      <c r="Q761" s="95">
        <v>677400.6</v>
      </c>
      <c r="R761" s="95">
        <v>0</v>
      </c>
      <c r="S761" s="95">
        <v>677400.6</v>
      </c>
    </row>
    <row r="762" spans="1:19" ht="15" x14ac:dyDescent="0.25">
      <c r="A762" s="90" t="s">
        <v>2078</v>
      </c>
      <c r="B762" s="90" t="s">
        <v>95</v>
      </c>
      <c r="C762" s="98" t="s">
        <v>2079</v>
      </c>
      <c r="D762" s="92" t="s">
        <v>2080</v>
      </c>
      <c r="E762" s="90" t="s">
        <v>16</v>
      </c>
      <c r="F762" s="99">
        <v>1</v>
      </c>
      <c r="G762" s="94">
        <v>531169.61</v>
      </c>
      <c r="H762" s="94">
        <v>0</v>
      </c>
      <c r="I762" s="95">
        <v>531169.61</v>
      </c>
      <c r="J762" s="95">
        <v>531169.61</v>
      </c>
      <c r="K762" s="95">
        <v>0</v>
      </c>
      <c r="L762" s="95">
        <v>531169.61</v>
      </c>
      <c r="M762" s="96">
        <v>0.27529999999999999</v>
      </c>
      <c r="N762" s="95">
        <v>677400.6</v>
      </c>
      <c r="O762" s="95">
        <v>0</v>
      </c>
      <c r="P762" s="95">
        <v>677400.6</v>
      </c>
      <c r="Q762" s="95">
        <v>677400.6</v>
      </c>
      <c r="R762" s="95">
        <v>0</v>
      </c>
      <c r="S762" s="95">
        <v>677400.6</v>
      </c>
    </row>
    <row r="763" spans="1:19" ht="15" x14ac:dyDescent="0.25">
      <c r="A763" s="90" t="s">
        <v>2081</v>
      </c>
      <c r="B763" s="90" t="s">
        <v>95</v>
      </c>
      <c r="C763" s="98" t="s">
        <v>2082</v>
      </c>
      <c r="D763" s="92" t="s">
        <v>2083</v>
      </c>
      <c r="E763" s="90" t="s">
        <v>16</v>
      </c>
      <c r="F763" s="99">
        <v>1</v>
      </c>
      <c r="G763" s="94">
        <v>370742.03</v>
      </c>
      <c r="H763" s="94">
        <v>0</v>
      </c>
      <c r="I763" s="95">
        <v>370742.03</v>
      </c>
      <c r="J763" s="95">
        <v>370742.03</v>
      </c>
      <c r="K763" s="95">
        <v>0</v>
      </c>
      <c r="L763" s="95">
        <v>370742.03</v>
      </c>
      <c r="M763" s="96">
        <v>0.27529999999999999</v>
      </c>
      <c r="N763" s="95">
        <v>472807.31</v>
      </c>
      <c r="O763" s="95">
        <v>0</v>
      </c>
      <c r="P763" s="95">
        <v>472807.31</v>
      </c>
      <c r="Q763" s="95">
        <v>472807.31</v>
      </c>
      <c r="R763" s="95">
        <v>0</v>
      </c>
      <c r="S763" s="95">
        <v>472807.31</v>
      </c>
    </row>
    <row r="764" spans="1:19" ht="15" x14ac:dyDescent="0.25">
      <c r="A764" s="90" t="s">
        <v>2084</v>
      </c>
      <c r="B764" s="90" t="s">
        <v>95</v>
      </c>
      <c r="C764" s="98" t="s">
        <v>2085</v>
      </c>
      <c r="D764" s="92" t="s">
        <v>2086</v>
      </c>
      <c r="E764" s="90" t="s">
        <v>16</v>
      </c>
      <c r="F764" s="99">
        <v>1</v>
      </c>
      <c r="G764" s="94">
        <v>7900</v>
      </c>
      <c r="H764" s="94">
        <v>0</v>
      </c>
      <c r="I764" s="95">
        <v>7900</v>
      </c>
      <c r="J764" s="95">
        <v>7900</v>
      </c>
      <c r="K764" s="95">
        <v>0</v>
      </c>
      <c r="L764" s="95">
        <v>7900</v>
      </c>
      <c r="M764" s="96">
        <v>0.27529999999999999</v>
      </c>
      <c r="N764" s="95">
        <v>10074.870000000001</v>
      </c>
      <c r="O764" s="95">
        <v>0</v>
      </c>
      <c r="P764" s="95">
        <v>10074.870000000001</v>
      </c>
      <c r="Q764" s="95">
        <v>10074.870000000001</v>
      </c>
      <c r="R764" s="95">
        <v>0</v>
      </c>
      <c r="S764" s="95">
        <v>10074.870000000001</v>
      </c>
    </row>
    <row r="765" spans="1:19" ht="15" x14ac:dyDescent="0.25">
      <c r="A765" s="90" t="s">
        <v>2087</v>
      </c>
      <c r="B765" s="90" t="s">
        <v>95</v>
      </c>
      <c r="C765" s="98" t="s">
        <v>2088</v>
      </c>
      <c r="D765" s="92" t="s">
        <v>2089</v>
      </c>
      <c r="E765" s="90" t="s">
        <v>16</v>
      </c>
      <c r="F765" s="99">
        <v>1</v>
      </c>
      <c r="G765" s="94">
        <v>3800</v>
      </c>
      <c r="H765" s="94">
        <v>0</v>
      </c>
      <c r="I765" s="95">
        <v>3800</v>
      </c>
      <c r="J765" s="95">
        <v>3800</v>
      </c>
      <c r="K765" s="95">
        <v>0</v>
      </c>
      <c r="L765" s="95">
        <v>3800</v>
      </c>
      <c r="M765" s="96">
        <v>0.27529999999999999</v>
      </c>
      <c r="N765" s="95">
        <v>4846.1400000000003</v>
      </c>
      <c r="O765" s="95">
        <v>0</v>
      </c>
      <c r="P765" s="95">
        <v>4846.1400000000003</v>
      </c>
      <c r="Q765" s="95">
        <v>4846.1400000000003</v>
      </c>
      <c r="R765" s="95">
        <v>0</v>
      </c>
      <c r="S765" s="95">
        <v>4846.1400000000003</v>
      </c>
    </row>
    <row r="766" spans="1:19" ht="15" x14ac:dyDescent="0.25">
      <c r="A766" s="90" t="s">
        <v>2090</v>
      </c>
      <c r="B766" s="90" t="s">
        <v>95</v>
      </c>
      <c r="C766" s="98" t="s">
        <v>2091</v>
      </c>
      <c r="D766" s="92" t="s">
        <v>2092</v>
      </c>
      <c r="E766" s="90" t="s">
        <v>16</v>
      </c>
      <c r="F766" s="99">
        <v>1</v>
      </c>
      <c r="G766" s="94">
        <v>7500</v>
      </c>
      <c r="H766" s="94">
        <v>0</v>
      </c>
      <c r="I766" s="95">
        <v>7500</v>
      </c>
      <c r="J766" s="95">
        <v>7500</v>
      </c>
      <c r="K766" s="95">
        <v>0</v>
      </c>
      <c r="L766" s="95">
        <v>7500</v>
      </c>
      <c r="M766" s="96">
        <v>0.27529999999999999</v>
      </c>
      <c r="N766" s="95">
        <v>9564.75</v>
      </c>
      <c r="O766" s="95">
        <v>0</v>
      </c>
      <c r="P766" s="95">
        <v>9564.75</v>
      </c>
      <c r="Q766" s="95">
        <v>9564.75</v>
      </c>
      <c r="R766" s="95">
        <v>0</v>
      </c>
      <c r="S766" s="95">
        <v>9564.75</v>
      </c>
    </row>
    <row r="767" spans="1:19" ht="15" x14ac:dyDescent="0.25">
      <c r="A767" s="90" t="s">
        <v>2093</v>
      </c>
      <c r="B767" s="90" t="s">
        <v>95</v>
      </c>
      <c r="C767" s="98" t="s">
        <v>2094</v>
      </c>
      <c r="D767" s="92" t="s">
        <v>2095</v>
      </c>
      <c r="E767" s="90" t="s">
        <v>16</v>
      </c>
      <c r="F767" s="99">
        <v>1</v>
      </c>
      <c r="G767" s="94">
        <v>8500</v>
      </c>
      <c r="H767" s="94">
        <v>0</v>
      </c>
      <c r="I767" s="95">
        <v>8500</v>
      </c>
      <c r="J767" s="95">
        <v>8500</v>
      </c>
      <c r="K767" s="95">
        <v>0</v>
      </c>
      <c r="L767" s="95">
        <v>8500</v>
      </c>
      <c r="M767" s="96">
        <v>0.27529999999999999</v>
      </c>
      <c r="N767" s="95">
        <v>10840.05</v>
      </c>
      <c r="O767" s="95">
        <v>0</v>
      </c>
      <c r="P767" s="95">
        <v>10840.05</v>
      </c>
      <c r="Q767" s="95">
        <v>10840.05</v>
      </c>
      <c r="R767" s="95">
        <v>0</v>
      </c>
      <c r="S767" s="95">
        <v>10840.05</v>
      </c>
    </row>
    <row r="768" spans="1:19" ht="15" x14ac:dyDescent="0.25">
      <c r="A768" s="90" t="s">
        <v>2096</v>
      </c>
      <c r="B768" s="90" t="s">
        <v>95</v>
      </c>
      <c r="C768" s="98" t="s">
        <v>2097</v>
      </c>
      <c r="D768" s="92" t="s">
        <v>2098</v>
      </c>
      <c r="E768" s="90" t="s">
        <v>16</v>
      </c>
      <c r="F768" s="99">
        <v>1</v>
      </c>
      <c r="G768" s="94">
        <v>8400</v>
      </c>
      <c r="H768" s="94">
        <v>0</v>
      </c>
      <c r="I768" s="95">
        <v>8400</v>
      </c>
      <c r="J768" s="95">
        <v>8400</v>
      </c>
      <c r="K768" s="95">
        <v>0</v>
      </c>
      <c r="L768" s="95">
        <v>8400</v>
      </c>
      <c r="M768" s="96">
        <v>0.27529999999999999</v>
      </c>
      <c r="N768" s="95">
        <v>10712.52</v>
      </c>
      <c r="O768" s="95">
        <v>0</v>
      </c>
      <c r="P768" s="95">
        <v>10712.52</v>
      </c>
      <c r="Q768" s="95">
        <v>10712.52</v>
      </c>
      <c r="R768" s="95">
        <v>0</v>
      </c>
      <c r="S768" s="95">
        <v>10712.52</v>
      </c>
    </row>
    <row r="769" spans="1:19" ht="15" x14ac:dyDescent="0.25">
      <c r="A769" s="90" t="s">
        <v>2099</v>
      </c>
      <c r="B769" s="90" t="s">
        <v>95</v>
      </c>
      <c r="C769" s="98" t="s">
        <v>2100</v>
      </c>
      <c r="D769" s="92" t="s">
        <v>2101</v>
      </c>
      <c r="E769" s="90" t="s">
        <v>16</v>
      </c>
      <c r="F769" s="99">
        <v>1</v>
      </c>
      <c r="G769" s="94">
        <v>6200</v>
      </c>
      <c r="H769" s="94">
        <v>0</v>
      </c>
      <c r="I769" s="95">
        <v>6200</v>
      </c>
      <c r="J769" s="95">
        <v>6200</v>
      </c>
      <c r="K769" s="95">
        <v>0</v>
      </c>
      <c r="L769" s="95">
        <v>6200</v>
      </c>
      <c r="M769" s="96">
        <v>0.27529999999999999</v>
      </c>
      <c r="N769" s="95">
        <v>7906.86</v>
      </c>
      <c r="O769" s="95">
        <v>0</v>
      </c>
      <c r="P769" s="95">
        <v>7906.86</v>
      </c>
      <c r="Q769" s="95">
        <v>7906.86</v>
      </c>
      <c r="R769" s="95">
        <v>0</v>
      </c>
      <c r="S769" s="95">
        <v>7906.86</v>
      </c>
    </row>
    <row r="770" spans="1:19" ht="15" x14ac:dyDescent="0.25">
      <c r="A770" s="90" t="s">
        <v>2102</v>
      </c>
      <c r="B770" s="90" t="s">
        <v>95</v>
      </c>
      <c r="C770" s="98" t="s">
        <v>2103</v>
      </c>
      <c r="D770" s="92" t="s">
        <v>2104</v>
      </c>
      <c r="E770" s="90" t="s">
        <v>16</v>
      </c>
      <c r="F770" s="99">
        <v>1</v>
      </c>
      <c r="G770" s="94">
        <v>7500</v>
      </c>
      <c r="H770" s="94">
        <v>0</v>
      </c>
      <c r="I770" s="95">
        <v>7500</v>
      </c>
      <c r="J770" s="95">
        <v>7500</v>
      </c>
      <c r="K770" s="95">
        <v>0</v>
      </c>
      <c r="L770" s="95">
        <v>7500</v>
      </c>
      <c r="M770" s="96">
        <v>0.27529999999999999</v>
      </c>
      <c r="N770" s="95">
        <v>9564.75</v>
      </c>
      <c r="O770" s="95">
        <v>0</v>
      </c>
      <c r="P770" s="95">
        <v>9564.75</v>
      </c>
      <c r="Q770" s="95">
        <v>9564.75</v>
      </c>
      <c r="R770" s="95">
        <v>0</v>
      </c>
      <c r="S770" s="95">
        <v>9564.75</v>
      </c>
    </row>
    <row r="771" spans="1:19" ht="15" x14ac:dyDescent="0.25">
      <c r="A771" s="90" t="s">
        <v>2105</v>
      </c>
      <c r="B771" s="90" t="s">
        <v>95</v>
      </c>
      <c r="C771" s="98" t="s">
        <v>2106</v>
      </c>
      <c r="D771" s="92" t="s">
        <v>2107</v>
      </c>
      <c r="E771" s="90" t="s">
        <v>16</v>
      </c>
      <c r="F771" s="99">
        <v>1</v>
      </c>
      <c r="G771" s="94">
        <v>9550</v>
      </c>
      <c r="H771" s="94">
        <v>0</v>
      </c>
      <c r="I771" s="95">
        <v>9550</v>
      </c>
      <c r="J771" s="95">
        <v>9550</v>
      </c>
      <c r="K771" s="95">
        <v>0</v>
      </c>
      <c r="L771" s="95">
        <v>9550</v>
      </c>
      <c r="M771" s="96">
        <v>0.27529999999999999</v>
      </c>
      <c r="N771" s="95">
        <v>12179.12</v>
      </c>
      <c r="O771" s="95">
        <v>0</v>
      </c>
      <c r="P771" s="95">
        <v>12179.12</v>
      </c>
      <c r="Q771" s="95">
        <v>12179.12</v>
      </c>
      <c r="R771" s="95">
        <v>0</v>
      </c>
      <c r="S771" s="95">
        <v>12179.12</v>
      </c>
    </row>
    <row r="772" spans="1:19" ht="15" x14ac:dyDescent="0.25">
      <c r="A772" s="90" t="s">
        <v>2108</v>
      </c>
      <c r="B772" s="90" t="s">
        <v>95</v>
      </c>
      <c r="C772" s="98" t="s">
        <v>2109</v>
      </c>
      <c r="D772" s="92" t="s">
        <v>2110</v>
      </c>
      <c r="E772" s="90" t="s">
        <v>16</v>
      </c>
      <c r="F772" s="99">
        <v>1</v>
      </c>
      <c r="G772" s="94">
        <v>8900</v>
      </c>
      <c r="H772" s="94">
        <v>0</v>
      </c>
      <c r="I772" s="95">
        <v>8900</v>
      </c>
      <c r="J772" s="95">
        <v>8900</v>
      </c>
      <c r="K772" s="95">
        <v>0</v>
      </c>
      <c r="L772" s="95">
        <v>8900</v>
      </c>
      <c r="M772" s="96">
        <v>0.27529999999999999</v>
      </c>
      <c r="N772" s="95">
        <v>11350.17</v>
      </c>
      <c r="O772" s="95">
        <v>0</v>
      </c>
      <c r="P772" s="95">
        <v>11350.17</v>
      </c>
      <c r="Q772" s="95">
        <v>11350.17</v>
      </c>
      <c r="R772" s="95">
        <v>0</v>
      </c>
      <c r="S772" s="95">
        <v>11350.17</v>
      </c>
    </row>
    <row r="773" spans="1:19" ht="15" x14ac:dyDescent="0.25">
      <c r="A773" s="90" t="s">
        <v>2111</v>
      </c>
      <c r="B773" s="90" t="s">
        <v>95</v>
      </c>
      <c r="C773" s="98" t="s">
        <v>2112</v>
      </c>
      <c r="D773" s="92" t="s">
        <v>2113</v>
      </c>
      <c r="E773" s="90" t="s">
        <v>16</v>
      </c>
      <c r="F773" s="99">
        <v>1</v>
      </c>
      <c r="G773" s="94">
        <v>3800</v>
      </c>
      <c r="H773" s="94">
        <v>0</v>
      </c>
      <c r="I773" s="95">
        <v>3800</v>
      </c>
      <c r="J773" s="95">
        <v>3800</v>
      </c>
      <c r="K773" s="95">
        <v>0</v>
      </c>
      <c r="L773" s="95">
        <v>3800</v>
      </c>
      <c r="M773" s="96">
        <v>0.27529999999999999</v>
      </c>
      <c r="N773" s="95">
        <v>4846.1400000000003</v>
      </c>
      <c r="O773" s="95">
        <v>0</v>
      </c>
      <c r="P773" s="95">
        <v>4846.1400000000003</v>
      </c>
      <c r="Q773" s="95">
        <v>4846.1400000000003</v>
      </c>
      <c r="R773" s="95">
        <v>0</v>
      </c>
      <c r="S773" s="95">
        <v>4846.1400000000003</v>
      </c>
    </row>
    <row r="774" spans="1:19" ht="15" x14ac:dyDescent="0.25">
      <c r="A774" s="90" t="s">
        <v>2114</v>
      </c>
      <c r="B774" s="90" t="s">
        <v>95</v>
      </c>
      <c r="C774" s="98" t="s">
        <v>2115</v>
      </c>
      <c r="D774" s="92" t="s">
        <v>2116</v>
      </c>
      <c r="E774" s="90" t="s">
        <v>16</v>
      </c>
      <c r="F774" s="99">
        <v>1</v>
      </c>
      <c r="G774" s="94">
        <v>4500</v>
      </c>
      <c r="H774" s="94">
        <v>0</v>
      </c>
      <c r="I774" s="95">
        <v>4500</v>
      </c>
      <c r="J774" s="95">
        <v>4500</v>
      </c>
      <c r="K774" s="95">
        <v>0</v>
      </c>
      <c r="L774" s="95">
        <v>4500</v>
      </c>
      <c r="M774" s="96">
        <v>0.27529999999999999</v>
      </c>
      <c r="N774" s="95">
        <v>5738.85</v>
      </c>
      <c r="O774" s="95">
        <v>0</v>
      </c>
      <c r="P774" s="95">
        <v>5738.85</v>
      </c>
      <c r="Q774" s="95">
        <v>5738.85</v>
      </c>
      <c r="R774" s="95">
        <v>0</v>
      </c>
      <c r="S774" s="95">
        <v>5738.85</v>
      </c>
    </row>
    <row r="775" spans="1:19" ht="15" x14ac:dyDescent="0.25">
      <c r="A775" s="90" t="s">
        <v>2117</v>
      </c>
      <c r="B775" s="90" t="s">
        <v>95</v>
      </c>
      <c r="C775" s="98" t="s">
        <v>2118</v>
      </c>
      <c r="D775" s="92" t="s">
        <v>2119</v>
      </c>
      <c r="E775" s="90" t="s">
        <v>16</v>
      </c>
      <c r="F775" s="99">
        <v>1</v>
      </c>
      <c r="G775" s="94">
        <v>7100</v>
      </c>
      <c r="H775" s="94">
        <v>0</v>
      </c>
      <c r="I775" s="95">
        <v>7100</v>
      </c>
      <c r="J775" s="95">
        <v>7100</v>
      </c>
      <c r="K775" s="95">
        <v>0</v>
      </c>
      <c r="L775" s="95">
        <v>7100</v>
      </c>
      <c r="M775" s="96">
        <v>0.27529999999999999</v>
      </c>
      <c r="N775" s="95">
        <v>9054.6299999999992</v>
      </c>
      <c r="O775" s="95">
        <v>0</v>
      </c>
      <c r="P775" s="95">
        <v>9054.6299999999992</v>
      </c>
      <c r="Q775" s="95">
        <v>9054.6299999999992</v>
      </c>
      <c r="R775" s="95">
        <v>0</v>
      </c>
      <c r="S775" s="95">
        <v>9054.6299999999992</v>
      </c>
    </row>
    <row r="776" spans="1:19" ht="15" x14ac:dyDescent="0.25">
      <c r="A776" s="90" t="s">
        <v>2120</v>
      </c>
      <c r="B776" s="90" t="s">
        <v>95</v>
      </c>
      <c r="C776" s="98" t="s">
        <v>2121</v>
      </c>
      <c r="D776" s="92" t="s">
        <v>2122</v>
      </c>
      <c r="E776" s="90" t="s">
        <v>16</v>
      </c>
      <c r="F776" s="99">
        <v>1</v>
      </c>
      <c r="G776" s="94">
        <v>4600</v>
      </c>
      <c r="H776" s="94">
        <v>0</v>
      </c>
      <c r="I776" s="95">
        <v>4600</v>
      </c>
      <c r="J776" s="95">
        <v>4600</v>
      </c>
      <c r="K776" s="95">
        <v>0</v>
      </c>
      <c r="L776" s="95">
        <v>4600</v>
      </c>
      <c r="M776" s="96">
        <v>0.27529999999999999</v>
      </c>
      <c r="N776" s="95">
        <v>5866.38</v>
      </c>
      <c r="O776" s="95">
        <v>0</v>
      </c>
      <c r="P776" s="95">
        <v>5866.38</v>
      </c>
      <c r="Q776" s="95">
        <v>5866.38</v>
      </c>
      <c r="R776" s="95">
        <v>0</v>
      </c>
      <c r="S776" s="95">
        <v>5866.38</v>
      </c>
    </row>
    <row r="777" spans="1:19" ht="15" x14ac:dyDescent="0.25">
      <c r="A777" s="90" t="s">
        <v>2123</v>
      </c>
      <c r="B777" s="90" t="s">
        <v>95</v>
      </c>
      <c r="C777" s="98" t="s">
        <v>2124</v>
      </c>
      <c r="D777" s="92" t="s">
        <v>2125</v>
      </c>
      <c r="E777" s="90" t="s">
        <v>16</v>
      </c>
      <c r="F777" s="99">
        <v>1</v>
      </c>
      <c r="G777" s="94">
        <v>3800</v>
      </c>
      <c r="H777" s="94">
        <v>0</v>
      </c>
      <c r="I777" s="95">
        <v>3800</v>
      </c>
      <c r="J777" s="95">
        <v>3800</v>
      </c>
      <c r="K777" s="95">
        <v>0</v>
      </c>
      <c r="L777" s="95">
        <v>3800</v>
      </c>
      <c r="M777" s="96">
        <v>0.27529999999999999</v>
      </c>
      <c r="N777" s="95">
        <v>4846.1400000000003</v>
      </c>
      <c r="O777" s="95">
        <v>0</v>
      </c>
      <c r="P777" s="95">
        <v>4846.1400000000003</v>
      </c>
      <c r="Q777" s="95">
        <v>4846.1400000000003</v>
      </c>
      <c r="R777" s="95">
        <v>0</v>
      </c>
      <c r="S777" s="95">
        <v>4846.1400000000003</v>
      </c>
    </row>
    <row r="778" spans="1:19" ht="15" x14ac:dyDescent="0.25">
      <c r="A778" s="90" t="s">
        <v>2126</v>
      </c>
      <c r="B778" s="90" t="s">
        <v>95</v>
      </c>
      <c r="C778" s="98" t="s">
        <v>2127</v>
      </c>
      <c r="D778" s="92" t="s">
        <v>2128</v>
      </c>
      <c r="E778" s="90" t="s">
        <v>16</v>
      </c>
      <c r="F778" s="99">
        <v>1</v>
      </c>
      <c r="G778" s="94">
        <v>8800</v>
      </c>
      <c r="H778" s="94">
        <v>0</v>
      </c>
      <c r="I778" s="95">
        <v>8800</v>
      </c>
      <c r="J778" s="95">
        <v>8800</v>
      </c>
      <c r="K778" s="95">
        <v>0</v>
      </c>
      <c r="L778" s="95">
        <v>8800</v>
      </c>
      <c r="M778" s="96">
        <v>0.27529999999999999</v>
      </c>
      <c r="N778" s="95">
        <v>11222.64</v>
      </c>
      <c r="O778" s="95">
        <v>0</v>
      </c>
      <c r="P778" s="95">
        <v>11222.64</v>
      </c>
      <c r="Q778" s="95">
        <v>11222.64</v>
      </c>
      <c r="R778" s="95">
        <v>0</v>
      </c>
      <c r="S778" s="95">
        <v>11222.64</v>
      </c>
    </row>
    <row r="779" spans="1:19" ht="15" x14ac:dyDescent="0.25">
      <c r="A779" s="90" t="s">
        <v>2129</v>
      </c>
      <c r="B779" s="90" t="s">
        <v>95</v>
      </c>
      <c r="C779" s="98" t="s">
        <v>2130</v>
      </c>
      <c r="D779" s="92" t="s">
        <v>2131</v>
      </c>
      <c r="E779" s="90" t="s">
        <v>16</v>
      </c>
      <c r="F779" s="99">
        <v>1</v>
      </c>
      <c r="G779" s="94">
        <v>6800</v>
      </c>
      <c r="H779" s="94">
        <v>0</v>
      </c>
      <c r="I779" s="95">
        <v>6800</v>
      </c>
      <c r="J779" s="95">
        <v>6800</v>
      </c>
      <c r="K779" s="95">
        <v>0</v>
      </c>
      <c r="L779" s="95">
        <v>6800</v>
      </c>
      <c r="M779" s="96">
        <v>0.27529999999999999</v>
      </c>
      <c r="N779" s="95">
        <v>8672.0400000000009</v>
      </c>
      <c r="O779" s="95">
        <v>0</v>
      </c>
      <c r="P779" s="95">
        <v>8672.0400000000009</v>
      </c>
      <c r="Q779" s="95">
        <v>8672.0400000000009</v>
      </c>
      <c r="R779" s="95">
        <v>0</v>
      </c>
      <c r="S779" s="95">
        <v>8672.0400000000009</v>
      </c>
    </row>
    <row r="780" spans="1:19" ht="15" x14ac:dyDescent="0.25">
      <c r="A780" s="90" t="s">
        <v>2132</v>
      </c>
      <c r="B780" s="90" t="s">
        <v>95</v>
      </c>
      <c r="C780" s="98" t="s">
        <v>2133</v>
      </c>
      <c r="D780" s="92" t="s">
        <v>2134</v>
      </c>
      <c r="E780" s="90" t="s">
        <v>16</v>
      </c>
      <c r="F780" s="99">
        <v>1</v>
      </c>
      <c r="G780" s="94">
        <v>10400</v>
      </c>
      <c r="H780" s="94">
        <v>0</v>
      </c>
      <c r="I780" s="95">
        <v>10400</v>
      </c>
      <c r="J780" s="95">
        <v>10400</v>
      </c>
      <c r="K780" s="95">
        <v>0</v>
      </c>
      <c r="L780" s="95">
        <v>10400</v>
      </c>
      <c r="M780" s="96">
        <v>0.27529999999999999</v>
      </c>
      <c r="N780" s="95">
        <v>13263.12</v>
      </c>
      <c r="O780" s="95">
        <v>0</v>
      </c>
      <c r="P780" s="95">
        <v>13263.12</v>
      </c>
      <c r="Q780" s="95">
        <v>13263.12</v>
      </c>
      <c r="R780" s="95">
        <v>0</v>
      </c>
      <c r="S780" s="95">
        <v>13263.12</v>
      </c>
    </row>
    <row r="781" spans="1:19" ht="15" x14ac:dyDescent="0.25">
      <c r="A781" s="90" t="s">
        <v>2135</v>
      </c>
      <c r="B781" s="90" t="s">
        <v>95</v>
      </c>
      <c r="C781" s="98" t="s">
        <v>2136</v>
      </c>
      <c r="D781" s="92" t="s">
        <v>2137</v>
      </c>
      <c r="E781" s="90" t="s">
        <v>16</v>
      </c>
      <c r="F781" s="99">
        <v>1</v>
      </c>
      <c r="G781" s="94">
        <v>10400</v>
      </c>
      <c r="H781" s="94">
        <v>0</v>
      </c>
      <c r="I781" s="95">
        <v>10400</v>
      </c>
      <c r="J781" s="95">
        <v>10400</v>
      </c>
      <c r="K781" s="95">
        <v>0</v>
      </c>
      <c r="L781" s="95">
        <v>10400</v>
      </c>
      <c r="M781" s="96">
        <v>0.27529999999999999</v>
      </c>
      <c r="N781" s="95">
        <v>13263.12</v>
      </c>
      <c r="O781" s="95">
        <v>0</v>
      </c>
      <c r="P781" s="95">
        <v>13263.12</v>
      </c>
      <c r="Q781" s="95">
        <v>13263.12</v>
      </c>
      <c r="R781" s="95">
        <v>0</v>
      </c>
      <c r="S781" s="95">
        <v>13263.12</v>
      </c>
    </row>
    <row r="782" spans="1:19" ht="15" x14ac:dyDescent="0.25">
      <c r="A782" s="90" t="s">
        <v>2138</v>
      </c>
      <c r="B782" s="90" t="s">
        <v>95</v>
      </c>
      <c r="C782" s="98" t="s">
        <v>2139</v>
      </c>
      <c r="D782" s="92" t="s">
        <v>2140</v>
      </c>
      <c r="E782" s="90" t="s">
        <v>16</v>
      </c>
      <c r="F782" s="99">
        <v>1</v>
      </c>
      <c r="G782" s="94">
        <v>10400</v>
      </c>
      <c r="H782" s="94">
        <v>0</v>
      </c>
      <c r="I782" s="95">
        <v>10400</v>
      </c>
      <c r="J782" s="95">
        <v>10400</v>
      </c>
      <c r="K782" s="95">
        <v>0</v>
      </c>
      <c r="L782" s="95">
        <v>10400</v>
      </c>
      <c r="M782" s="96">
        <v>0.27529999999999999</v>
      </c>
      <c r="N782" s="95">
        <v>13263.12</v>
      </c>
      <c r="O782" s="95">
        <v>0</v>
      </c>
      <c r="P782" s="95">
        <v>13263.12</v>
      </c>
      <c r="Q782" s="95">
        <v>13263.12</v>
      </c>
      <c r="R782" s="95">
        <v>0</v>
      </c>
      <c r="S782" s="95">
        <v>13263.12</v>
      </c>
    </row>
    <row r="783" spans="1:19" ht="15" x14ac:dyDescent="0.25">
      <c r="A783" s="90" t="s">
        <v>2141</v>
      </c>
      <c r="B783" s="90" t="s">
        <v>95</v>
      </c>
      <c r="C783" s="98" t="s">
        <v>2142</v>
      </c>
      <c r="D783" s="92" t="s">
        <v>2143</v>
      </c>
      <c r="E783" s="90" t="s">
        <v>16</v>
      </c>
      <c r="F783" s="99">
        <v>1</v>
      </c>
      <c r="G783" s="94">
        <v>16800</v>
      </c>
      <c r="H783" s="94">
        <v>0</v>
      </c>
      <c r="I783" s="95">
        <v>16800</v>
      </c>
      <c r="J783" s="95">
        <v>16800</v>
      </c>
      <c r="K783" s="95">
        <v>0</v>
      </c>
      <c r="L783" s="95">
        <v>16800</v>
      </c>
      <c r="M783" s="96">
        <v>0.27529999999999999</v>
      </c>
      <c r="N783" s="95">
        <v>21425.040000000001</v>
      </c>
      <c r="O783" s="95">
        <v>0</v>
      </c>
      <c r="P783" s="95">
        <v>21425.040000000001</v>
      </c>
      <c r="Q783" s="95">
        <v>21425.040000000001</v>
      </c>
      <c r="R783" s="95">
        <v>0</v>
      </c>
      <c r="S783" s="95">
        <v>21425.040000000001</v>
      </c>
    </row>
    <row r="784" spans="1:19" ht="15" x14ac:dyDescent="0.25">
      <c r="A784" s="90" t="s">
        <v>2144</v>
      </c>
      <c r="B784" s="90" t="s">
        <v>95</v>
      </c>
      <c r="C784" s="98" t="s">
        <v>2145</v>
      </c>
      <c r="D784" s="92" t="s">
        <v>2146</v>
      </c>
      <c r="E784" s="90" t="s">
        <v>16</v>
      </c>
      <c r="F784" s="99">
        <v>1</v>
      </c>
      <c r="G784" s="94">
        <v>18300</v>
      </c>
      <c r="H784" s="94">
        <v>0</v>
      </c>
      <c r="I784" s="95">
        <v>18300</v>
      </c>
      <c r="J784" s="95">
        <v>18300</v>
      </c>
      <c r="K784" s="95">
        <v>0</v>
      </c>
      <c r="L784" s="95">
        <v>18300</v>
      </c>
      <c r="M784" s="96">
        <v>0.27529999999999999</v>
      </c>
      <c r="N784" s="95">
        <v>23337.99</v>
      </c>
      <c r="O784" s="95">
        <v>0</v>
      </c>
      <c r="P784" s="95">
        <v>23337.99</v>
      </c>
      <c r="Q784" s="95">
        <v>23337.99</v>
      </c>
      <c r="R784" s="95">
        <v>0</v>
      </c>
      <c r="S784" s="95">
        <v>23337.99</v>
      </c>
    </row>
    <row r="785" spans="1:19" ht="15" x14ac:dyDescent="0.25">
      <c r="A785" s="90" t="s">
        <v>2147</v>
      </c>
      <c r="B785" s="90" t="s">
        <v>95</v>
      </c>
      <c r="C785" s="98" t="s">
        <v>2148</v>
      </c>
      <c r="D785" s="92" t="s">
        <v>2149</v>
      </c>
      <c r="E785" s="90" t="s">
        <v>16</v>
      </c>
      <c r="F785" s="99">
        <v>1</v>
      </c>
      <c r="G785" s="94">
        <v>18250</v>
      </c>
      <c r="H785" s="94">
        <v>0</v>
      </c>
      <c r="I785" s="95">
        <v>18250</v>
      </c>
      <c r="J785" s="95">
        <v>18250</v>
      </c>
      <c r="K785" s="95">
        <v>0</v>
      </c>
      <c r="L785" s="95">
        <v>18250</v>
      </c>
      <c r="M785" s="96">
        <v>0.27529999999999999</v>
      </c>
      <c r="N785" s="95">
        <v>23274.23</v>
      </c>
      <c r="O785" s="95">
        <v>0</v>
      </c>
      <c r="P785" s="95">
        <v>23274.23</v>
      </c>
      <c r="Q785" s="95">
        <v>23274.23</v>
      </c>
      <c r="R785" s="95">
        <v>0</v>
      </c>
      <c r="S785" s="95">
        <v>23274.23</v>
      </c>
    </row>
    <row r="786" spans="1:19" ht="15" x14ac:dyDescent="0.25">
      <c r="A786" s="90" t="s">
        <v>2150</v>
      </c>
      <c r="B786" s="90" t="s">
        <v>95</v>
      </c>
      <c r="C786" s="98" t="s">
        <v>2151</v>
      </c>
      <c r="D786" s="92" t="s">
        <v>2152</v>
      </c>
      <c r="E786" s="90" t="s">
        <v>16</v>
      </c>
      <c r="F786" s="99">
        <v>1</v>
      </c>
      <c r="G786" s="94">
        <v>7100</v>
      </c>
      <c r="H786" s="94">
        <v>0</v>
      </c>
      <c r="I786" s="95">
        <v>7100</v>
      </c>
      <c r="J786" s="95">
        <v>7100</v>
      </c>
      <c r="K786" s="95">
        <v>0</v>
      </c>
      <c r="L786" s="95">
        <v>7100</v>
      </c>
      <c r="M786" s="96">
        <v>0.27529999999999999</v>
      </c>
      <c r="N786" s="95">
        <v>9054.6299999999992</v>
      </c>
      <c r="O786" s="95">
        <v>0</v>
      </c>
      <c r="P786" s="95">
        <v>9054.6299999999992</v>
      </c>
      <c r="Q786" s="95">
        <v>9054.6299999999992</v>
      </c>
      <c r="R786" s="95">
        <v>0</v>
      </c>
      <c r="S786" s="95">
        <v>9054.6299999999992</v>
      </c>
    </row>
    <row r="787" spans="1:19" ht="15" x14ac:dyDescent="0.25">
      <c r="A787" s="90" t="s">
        <v>2153</v>
      </c>
      <c r="B787" s="90" t="s">
        <v>95</v>
      </c>
      <c r="C787" s="98" t="s">
        <v>2154</v>
      </c>
      <c r="D787" s="92" t="s">
        <v>2155</v>
      </c>
      <c r="E787" s="90" t="s">
        <v>16</v>
      </c>
      <c r="F787" s="99">
        <v>1</v>
      </c>
      <c r="G787" s="94">
        <v>5700</v>
      </c>
      <c r="H787" s="94">
        <v>0</v>
      </c>
      <c r="I787" s="95">
        <v>5700</v>
      </c>
      <c r="J787" s="95">
        <v>5700</v>
      </c>
      <c r="K787" s="95">
        <v>0</v>
      </c>
      <c r="L787" s="95">
        <v>5700</v>
      </c>
      <c r="M787" s="96">
        <v>0.27529999999999999</v>
      </c>
      <c r="N787" s="95">
        <v>7269.21</v>
      </c>
      <c r="O787" s="95">
        <v>0</v>
      </c>
      <c r="P787" s="95">
        <v>7269.21</v>
      </c>
      <c r="Q787" s="95">
        <v>7269.21</v>
      </c>
      <c r="R787" s="95">
        <v>0</v>
      </c>
      <c r="S787" s="95">
        <v>7269.21</v>
      </c>
    </row>
    <row r="788" spans="1:19" ht="15" x14ac:dyDescent="0.25">
      <c r="A788" s="90" t="s">
        <v>2156</v>
      </c>
      <c r="B788" s="90" t="s">
        <v>95</v>
      </c>
      <c r="C788" s="98" t="s">
        <v>2157</v>
      </c>
      <c r="D788" s="92" t="s">
        <v>2158</v>
      </c>
      <c r="E788" s="90" t="s">
        <v>16</v>
      </c>
      <c r="F788" s="99">
        <v>1</v>
      </c>
      <c r="G788" s="94">
        <v>5600</v>
      </c>
      <c r="H788" s="94">
        <v>0</v>
      </c>
      <c r="I788" s="95">
        <v>5600</v>
      </c>
      <c r="J788" s="95">
        <v>5600</v>
      </c>
      <c r="K788" s="95">
        <v>0</v>
      </c>
      <c r="L788" s="95">
        <v>5600</v>
      </c>
      <c r="M788" s="96">
        <v>0.27529999999999999</v>
      </c>
      <c r="N788" s="95">
        <v>7141.68</v>
      </c>
      <c r="O788" s="95">
        <v>0</v>
      </c>
      <c r="P788" s="95">
        <v>7141.68</v>
      </c>
      <c r="Q788" s="95">
        <v>7141.68</v>
      </c>
      <c r="R788" s="95">
        <v>0</v>
      </c>
      <c r="S788" s="95">
        <v>7141.68</v>
      </c>
    </row>
    <row r="789" spans="1:19" ht="15" x14ac:dyDescent="0.25">
      <c r="A789" s="90" t="s">
        <v>2159</v>
      </c>
      <c r="B789" s="90" t="s">
        <v>95</v>
      </c>
      <c r="C789" s="98" t="s">
        <v>2160</v>
      </c>
      <c r="D789" s="92" t="s">
        <v>2161</v>
      </c>
      <c r="E789" s="90" t="s">
        <v>16</v>
      </c>
      <c r="F789" s="99">
        <v>1</v>
      </c>
      <c r="G789" s="94">
        <v>6200</v>
      </c>
      <c r="H789" s="94">
        <v>0</v>
      </c>
      <c r="I789" s="95">
        <v>6200</v>
      </c>
      <c r="J789" s="95">
        <v>6200</v>
      </c>
      <c r="K789" s="95">
        <v>0</v>
      </c>
      <c r="L789" s="95">
        <v>6200</v>
      </c>
      <c r="M789" s="96">
        <v>0.27529999999999999</v>
      </c>
      <c r="N789" s="95">
        <v>7906.86</v>
      </c>
      <c r="O789" s="95">
        <v>0</v>
      </c>
      <c r="P789" s="95">
        <v>7906.86</v>
      </c>
      <c r="Q789" s="95">
        <v>7906.86</v>
      </c>
      <c r="R789" s="95">
        <v>0</v>
      </c>
      <c r="S789" s="95">
        <v>7906.86</v>
      </c>
    </row>
    <row r="790" spans="1:19" ht="15" x14ac:dyDescent="0.25">
      <c r="A790" s="90" t="s">
        <v>2162</v>
      </c>
      <c r="B790" s="90" t="s">
        <v>95</v>
      </c>
      <c r="C790" s="98" t="s">
        <v>2163</v>
      </c>
      <c r="D790" s="92" t="s">
        <v>2164</v>
      </c>
      <c r="E790" s="90" t="s">
        <v>16</v>
      </c>
      <c r="F790" s="99">
        <v>1</v>
      </c>
      <c r="G790" s="94">
        <v>6900</v>
      </c>
      <c r="H790" s="94">
        <v>0</v>
      </c>
      <c r="I790" s="95">
        <v>6900</v>
      </c>
      <c r="J790" s="95">
        <v>6900</v>
      </c>
      <c r="K790" s="95">
        <v>0</v>
      </c>
      <c r="L790" s="95">
        <v>6900</v>
      </c>
      <c r="M790" s="96">
        <v>0.27529999999999999</v>
      </c>
      <c r="N790" s="95">
        <v>8799.57</v>
      </c>
      <c r="O790" s="95">
        <v>0</v>
      </c>
      <c r="P790" s="95">
        <v>8799.57</v>
      </c>
      <c r="Q790" s="95">
        <v>8799.57</v>
      </c>
      <c r="R790" s="95">
        <v>0</v>
      </c>
      <c r="S790" s="95">
        <v>8799.57</v>
      </c>
    </row>
    <row r="791" spans="1:19" ht="15" x14ac:dyDescent="0.25">
      <c r="A791" s="90" t="s">
        <v>2165</v>
      </c>
      <c r="B791" s="90" t="s">
        <v>95</v>
      </c>
      <c r="C791" s="98" t="s">
        <v>2166</v>
      </c>
      <c r="D791" s="92" t="s">
        <v>2167</v>
      </c>
      <c r="E791" s="90" t="s">
        <v>16</v>
      </c>
      <c r="F791" s="99">
        <v>1</v>
      </c>
      <c r="G791" s="94">
        <v>6200</v>
      </c>
      <c r="H791" s="94">
        <v>0</v>
      </c>
      <c r="I791" s="95">
        <v>6200</v>
      </c>
      <c r="J791" s="95">
        <v>6200</v>
      </c>
      <c r="K791" s="95">
        <v>0</v>
      </c>
      <c r="L791" s="95">
        <v>6200</v>
      </c>
      <c r="M791" s="96">
        <v>0.27529999999999999</v>
      </c>
      <c r="N791" s="95">
        <v>7906.86</v>
      </c>
      <c r="O791" s="95">
        <v>0</v>
      </c>
      <c r="P791" s="95">
        <v>7906.86</v>
      </c>
      <c r="Q791" s="95">
        <v>7906.86</v>
      </c>
      <c r="R791" s="95">
        <v>0</v>
      </c>
      <c r="S791" s="95">
        <v>7906.86</v>
      </c>
    </row>
    <row r="792" spans="1:19" ht="15" x14ac:dyDescent="0.25">
      <c r="A792" s="90" t="s">
        <v>2168</v>
      </c>
      <c r="B792" s="90" t="s">
        <v>95</v>
      </c>
      <c r="C792" s="98" t="s">
        <v>2169</v>
      </c>
      <c r="D792" s="92" t="s">
        <v>2170</v>
      </c>
      <c r="E792" s="90" t="s">
        <v>16</v>
      </c>
      <c r="F792" s="99">
        <v>1</v>
      </c>
      <c r="G792" s="94">
        <v>5700</v>
      </c>
      <c r="H792" s="94">
        <v>0</v>
      </c>
      <c r="I792" s="95">
        <v>5700</v>
      </c>
      <c r="J792" s="95">
        <v>5700</v>
      </c>
      <c r="K792" s="95">
        <v>0</v>
      </c>
      <c r="L792" s="95">
        <v>5700</v>
      </c>
      <c r="M792" s="96">
        <v>0.27529999999999999</v>
      </c>
      <c r="N792" s="95">
        <v>7269.21</v>
      </c>
      <c r="O792" s="95">
        <v>0</v>
      </c>
      <c r="P792" s="95">
        <v>7269.21</v>
      </c>
      <c r="Q792" s="95">
        <v>7269.21</v>
      </c>
      <c r="R792" s="95">
        <v>0</v>
      </c>
      <c r="S792" s="95">
        <v>7269.21</v>
      </c>
    </row>
    <row r="793" spans="1:19" ht="15" x14ac:dyDescent="0.25">
      <c r="A793" s="90" t="s">
        <v>2171</v>
      </c>
      <c r="B793" s="90" t="s">
        <v>95</v>
      </c>
      <c r="C793" s="98" t="s">
        <v>2172</v>
      </c>
      <c r="D793" s="92" t="s">
        <v>2173</v>
      </c>
      <c r="E793" s="90" t="s">
        <v>16</v>
      </c>
      <c r="F793" s="99">
        <v>1</v>
      </c>
      <c r="G793" s="94">
        <v>3800</v>
      </c>
      <c r="H793" s="94">
        <v>0</v>
      </c>
      <c r="I793" s="95">
        <v>3800</v>
      </c>
      <c r="J793" s="95">
        <v>3800</v>
      </c>
      <c r="K793" s="95">
        <v>0</v>
      </c>
      <c r="L793" s="95">
        <v>3800</v>
      </c>
      <c r="M793" s="96">
        <v>0.27529999999999999</v>
      </c>
      <c r="N793" s="95">
        <v>4846.1400000000003</v>
      </c>
      <c r="O793" s="95">
        <v>0</v>
      </c>
      <c r="P793" s="95">
        <v>4846.1400000000003</v>
      </c>
      <c r="Q793" s="95">
        <v>4846.1400000000003</v>
      </c>
      <c r="R793" s="95">
        <v>0</v>
      </c>
      <c r="S793" s="95">
        <v>4846.1400000000003</v>
      </c>
    </row>
    <row r="794" spans="1:19" ht="15" x14ac:dyDescent="0.25">
      <c r="A794" s="90" t="s">
        <v>2174</v>
      </c>
      <c r="B794" s="90" t="s">
        <v>95</v>
      </c>
      <c r="C794" s="98" t="s">
        <v>2175</v>
      </c>
      <c r="D794" s="92" t="s">
        <v>2176</v>
      </c>
      <c r="E794" s="90" t="s">
        <v>16</v>
      </c>
      <c r="F794" s="99">
        <v>1</v>
      </c>
      <c r="G794" s="94">
        <v>6100</v>
      </c>
      <c r="H794" s="94">
        <v>0</v>
      </c>
      <c r="I794" s="95">
        <v>6100</v>
      </c>
      <c r="J794" s="95">
        <v>6100</v>
      </c>
      <c r="K794" s="95">
        <v>0</v>
      </c>
      <c r="L794" s="95">
        <v>6100</v>
      </c>
      <c r="M794" s="96">
        <v>0.27529999999999999</v>
      </c>
      <c r="N794" s="95">
        <v>7779.33</v>
      </c>
      <c r="O794" s="95">
        <v>0</v>
      </c>
      <c r="P794" s="95">
        <v>7779.33</v>
      </c>
      <c r="Q794" s="95">
        <v>7779.33</v>
      </c>
      <c r="R794" s="95">
        <v>0</v>
      </c>
      <c r="S794" s="95">
        <v>7779.33</v>
      </c>
    </row>
    <row r="795" spans="1:19" ht="15" x14ac:dyDescent="0.25">
      <c r="A795" s="90" t="s">
        <v>2177</v>
      </c>
      <c r="B795" s="90" t="s">
        <v>95</v>
      </c>
      <c r="C795" s="98" t="s">
        <v>2178</v>
      </c>
      <c r="D795" s="92" t="s">
        <v>2179</v>
      </c>
      <c r="E795" s="90" t="s">
        <v>16</v>
      </c>
      <c r="F795" s="99">
        <v>1</v>
      </c>
      <c r="G795" s="94">
        <v>16500</v>
      </c>
      <c r="H795" s="94">
        <v>0</v>
      </c>
      <c r="I795" s="95">
        <v>16500</v>
      </c>
      <c r="J795" s="95">
        <v>16500</v>
      </c>
      <c r="K795" s="95">
        <v>0</v>
      </c>
      <c r="L795" s="95">
        <v>16500</v>
      </c>
      <c r="M795" s="96">
        <v>0.27529999999999999</v>
      </c>
      <c r="N795" s="95">
        <v>21042.45</v>
      </c>
      <c r="O795" s="95">
        <v>0</v>
      </c>
      <c r="P795" s="95">
        <v>21042.45</v>
      </c>
      <c r="Q795" s="95">
        <v>21042.45</v>
      </c>
      <c r="R795" s="95">
        <v>0</v>
      </c>
      <c r="S795" s="95">
        <v>21042.45</v>
      </c>
    </row>
    <row r="796" spans="1:19" ht="15" x14ac:dyDescent="0.25">
      <c r="A796" s="90" t="s">
        <v>2180</v>
      </c>
      <c r="B796" s="90" t="s">
        <v>95</v>
      </c>
      <c r="C796" s="98" t="s">
        <v>2181</v>
      </c>
      <c r="D796" s="92" t="s">
        <v>2182</v>
      </c>
      <c r="E796" s="90" t="s">
        <v>16</v>
      </c>
      <c r="F796" s="99">
        <v>1</v>
      </c>
      <c r="G796" s="94">
        <v>10800</v>
      </c>
      <c r="H796" s="94">
        <v>0</v>
      </c>
      <c r="I796" s="95">
        <v>10800</v>
      </c>
      <c r="J796" s="95">
        <v>10800</v>
      </c>
      <c r="K796" s="95">
        <v>0</v>
      </c>
      <c r="L796" s="95">
        <v>10800</v>
      </c>
      <c r="M796" s="96">
        <v>0.27529999999999999</v>
      </c>
      <c r="N796" s="95">
        <v>13773.24</v>
      </c>
      <c r="O796" s="95">
        <v>0</v>
      </c>
      <c r="P796" s="95">
        <v>13773.24</v>
      </c>
      <c r="Q796" s="95">
        <v>13773.24</v>
      </c>
      <c r="R796" s="95">
        <v>0</v>
      </c>
      <c r="S796" s="95">
        <v>13773.24</v>
      </c>
    </row>
    <row r="797" spans="1:19" ht="15" x14ac:dyDescent="0.25">
      <c r="A797" s="90" t="s">
        <v>2183</v>
      </c>
      <c r="B797" s="90" t="s">
        <v>95</v>
      </c>
      <c r="C797" s="98" t="s">
        <v>2184</v>
      </c>
      <c r="D797" s="92" t="s">
        <v>2185</v>
      </c>
      <c r="E797" s="90" t="s">
        <v>16</v>
      </c>
      <c r="F797" s="99">
        <v>1</v>
      </c>
      <c r="G797" s="94">
        <v>7600</v>
      </c>
      <c r="H797" s="94">
        <v>0</v>
      </c>
      <c r="I797" s="95">
        <v>7600</v>
      </c>
      <c r="J797" s="95">
        <v>7600</v>
      </c>
      <c r="K797" s="95">
        <v>0</v>
      </c>
      <c r="L797" s="95">
        <v>7600</v>
      </c>
      <c r="M797" s="96">
        <v>0.27529999999999999</v>
      </c>
      <c r="N797" s="95">
        <v>9692.2800000000007</v>
      </c>
      <c r="O797" s="95">
        <v>0</v>
      </c>
      <c r="P797" s="95">
        <v>9692.2800000000007</v>
      </c>
      <c r="Q797" s="95">
        <v>9692.2800000000007</v>
      </c>
      <c r="R797" s="95">
        <v>0</v>
      </c>
      <c r="S797" s="95">
        <v>9692.2800000000007</v>
      </c>
    </row>
    <row r="798" spans="1:19" ht="15" x14ac:dyDescent="0.25">
      <c r="A798" s="90" t="s">
        <v>2186</v>
      </c>
      <c r="B798" s="90" t="s">
        <v>95</v>
      </c>
      <c r="C798" s="98" t="s">
        <v>2187</v>
      </c>
      <c r="D798" s="92" t="s">
        <v>2188</v>
      </c>
      <c r="E798" s="90" t="s">
        <v>16</v>
      </c>
      <c r="F798" s="99">
        <v>1</v>
      </c>
      <c r="G798" s="94">
        <v>7700</v>
      </c>
      <c r="H798" s="94">
        <v>0</v>
      </c>
      <c r="I798" s="95">
        <v>7700</v>
      </c>
      <c r="J798" s="95">
        <v>7700</v>
      </c>
      <c r="K798" s="95">
        <v>0</v>
      </c>
      <c r="L798" s="95">
        <v>7700</v>
      </c>
      <c r="M798" s="96">
        <v>0.27529999999999999</v>
      </c>
      <c r="N798" s="95">
        <v>9819.81</v>
      </c>
      <c r="O798" s="95">
        <v>0</v>
      </c>
      <c r="P798" s="95">
        <v>9819.81</v>
      </c>
      <c r="Q798" s="95">
        <v>9819.81</v>
      </c>
      <c r="R798" s="95">
        <v>0</v>
      </c>
      <c r="S798" s="95">
        <v>9819.81</v>
      </c>
    </row>
    <row r="799" spans="1:19" ht="15" x14ac:dyDescent="0.25">
      <c r="A799" s="90" t="s">
        <v>2189</v>
      </c>
      <c r="B799" s="90" t="s">
        <v>95</v>
      </c>
      <c r="C799" s="98" t="s">
        <v>2190</v>
      </c>
      <c r="D799" s="92" t="s">
        <v>2191</v>
      </c>
      <c r="E799" s="90" t="s">
        <v>16</v>
      </c>
      <c r="F799" s="99">
        <v>1</v>
      </c>
      <c r="G799" s="94">
        <v>8500</v>
      </c>
      <c r="H799" s="94">
        <v>0</v>
      </c>
      <c r="I799" s="95">
        <v>8500</v>
      </c>
      <c r="J799" s="95">
        <v>8500</v>
      </c>
      <c r="K799" s="95">
        <v>0</v>
      </c>
      <c r="L799" s="95">
        <v>8500</v>
      </c>
      <c r="M799" s="96">
        <v>0.27529999999999999</v>
      </c>
      <c r="N799" s="95">
        <v>10840.05</v>
      </c>
      <c r="O799" s="95">
        <v>0</v>
      </c>
      <c r="P799" s="95">
        <v>10840.05</v>
      </c>
      <c r="Q799" s="95">
        <v>10840.05</v>
      </c>
      <c r="R799" s="95">
        <v>0</v>
      </c>
      <c r="S799" s="95">
        <v>10840.05</v>
      </c>
    </row>
    <row r="800" spans="1:19" ht="15" x14ac:dyDescent="0.25">
      <c r="A800" s="90" t="s">
        <v>2192</v>
      </c>
      <c r="B800" s="90" t="s">
        <v>95</v>
      </c>
      <c r="C800" s="98" t="s">
        <v>2193</v>
      </c>
      <c r="D800" s="92" t="s">
        <v>2194</v>
      </c>
      <c r="E800" s="90" t="s">
        <v>16</v>
      </c>
      <c r="F800" s="99">
        <v>1</v>
      </c>
      <c r="G800" s="94">
        <v>17500</v>
      </c>
      <c r="H800" s="94">
        <v>0</v>
      </c>
      <c r="I800" s="95">
        <v>17500</v>
      </c>
      <c r="J800" s="95">
        <v>17500</v>
      </c>
      <c r="K800" s="95">
        <v>0</v>
      </c>
      <c r="L800" s="95">
        <v>17500</v>
      </c>
      <c r="M800" s="96">
        <v>0.27529999999999999</v>
      </c>
      <c r="N800" s="95">
        <v>22317.75</v>
      </c>
      <c r="O800" s="95">
        <v>0</v>
      </c>
      <c r="P800" s="95">
        <v>22317.75</v>
      </c>
      <c r="Q800" s="95">
        <v>22317.75</v>
      </c>
      <c r="R800" s="95">
        <v>0</v>
      </c>
      <c r="S800" s="95">
        <v>22317.75</v>
      </c>
    </row>
    <row r="801" spans="1:19" ht="15" x14ac:dyDescent="0.25">
      <c r="A801" s="90" t="s">
        <v>2195</v>
      </c>
      <c r="B801" s="90" t="s">
        <v>95</v>
      </c>
      <c r="C801" s="98" t="s">
        <v>2196</v>
      </c>
      <c r="D801" s="92" t="s">
        <v>2197</v>
      </c>
      <c r="E801" s="90" t="s">
        <v>16</v>
      </c>
      <c r="F801" s="99">
        <v>1</v>
      </c>
      <c r="G801" s="94">
        <v>23800</v>
      </c>
      <c r="H801" s="94">
        <v>0</v>
      </c>
      <c r="I801" s="95">
        <v>23800</v>
      </c>
      <c r="J801" s="95">
        <v>23800</v>
      </c>
      <c r="K801" s="95">
        <v>0</v>
      </c>
      <c r="L801" s="95">
        <v>23800</v>
      </c>
      <c r="M801" s="96">
        <v>0.27529999999999999</v>
      </c>
      <c r="N801" s="95">
        <v>30352.14</v>
      </c>
      <c r="O801" s="95">
        <v>0</v>
      </c>
      <c r="P801" s="95">
        <v>30352.14</v>
      </c>
      <c r="Q801" s="95">
        <v>30352.14</v>
      </c>
      <c r="R801" s="95">
        <v>0</v>
      </c>
      <c r="S801" s="95">
        <v>30352.14</v>
      </c>
    </row>
    <row r="802" spans="1:19" ht="15" x14ac:dyDescent="0.25">
      <c r="A802" s="90" t="s">
        <v>2198</v>
      </c>
      <c r="B802" s="90" t="s">
        <v>95</v>
      </c>
      <c r="C802" s="98" t="s">
        <v>2199</v>
      </c>
      <c r="D802" s="92" t="s">
        <v>2200</v>
      </c>
      <c r="E802" s="90" t="s">
        <v>16</v>
      </c>
      <c r="F802" s="99">
        <v>1</v>
      </c>
      <c r="G802" s="94">
        <v>10300</v>
      </c>
      <c r="H802" s="94">
        <v>0</v>
      </c>
      <c r="I802" s="95">
        <v>10300</v>
      </c>
      <c r="J802" s="95">
        <v>10300</v>
      </c>
      <c r="K802" s="95">
        <v>0</v>
      </c>
      <c r="L802" s="95">
        <v>10300</v>
      </c>
      <c r="M802" s="96">
        <v>0.27529999999999999</v>
      </c>
      <c r="N802" s="95">
        <v>13135.59</v>
      </c>
      <c r="O802" s="95">
        <v>0</v>
      </c>
      <c r="P802" s="95">
        <v>13135.59</v>
      </c>
      <c r="Q802" s="95">
        <v>13135.59</v>
      </c>
      <c r="R802" s="95">
        <v>0</v>
      </c>
      <c r="S802" s="95">
        <v>13135.59</v>
      </c>
    </row>
    <row r="803" spans="1:19" ht="15" x14ac:dyDescent="0.25">
      <c r="A803" s="90" t="s">
        <v>2201</v>
      </c>
      <c r="B803" s="90" t="s">
        <v>95</v>
      </c>
      <c r="C803" s="98" t="s">
        <v>2202</v>
      </c>
      <c r="D803" s="92" t="s">
        <v>2203</v>
      </c>
      <c r="E803" s="90" t="s">
        <v>16</v>
      </c>
      <c r="F803" s="99">
        <v>1</v>
      </c>
      <c r="G803" s="94">
        <v>7500</v>
      </c>
      <c r="H803" s="94">
        <v>0</v>
      </c>
      <c r="I803" s="95">
        <v>7500</v>
      </c>
      <c r="J803" s="95">
        <v>7500</v>
      </c>
      <c r="K803" s="95">
        <v>0</v>
      </c>
      <c r="L803" s="95">
        <v>7500</v>
      </c>
      <c r="M803" s="96">
        <v>0.27529999999999999</v>
      </c>
      <c r="N803" s="95">
        <v>9564.75</v>
      </c>
      <c r="O803" s="95">
        <v>0</v>
      </c>
      <c r="P803" s="95">
        <v>9564.75</v>
      </c>
      <c r="Q803" s="95">
        <v>9564.75</v>
      </c>
      <c r="R803" s="95">
        <v>0</v>
      </c>
      <c r="S803" s="95">
        <v>9564.75</v>
      </c>
    </row>
    <row r="804" spans="1:19" ht="15" x14ac:dyDescent="0.25">
      <c r="A804" s="90" t="s">
        <v>2204</v>
      </c>
      <c r="B804" s="90" t="s">
        <v>95</v>
      </c>
      <c r="C804" s="98" t="s">
        <v>2205</v>
      </c>
      <c r="D804" s="92" t="s">
        <v>2206</v>
      </c>
      <c r="E804" s="90" t="s">
        <v>16</v>
      </c>
      <c r="F804" s="99">
        <v>1</v>
      </c>
      <c r="G804" s="94">
        <v>7900</v>
      </c>
      <c r="H804" s="94">
        <v>0</v>
      </c>
      <c r="I804" s="95">
        <v>7900</v>
      </c>
      <c r="J804" s="95">
        <v>7900</v>
      </c>
      <c r="K804" s="95">
        <v>0</v>
      </c>
      <c r="L804" s="95">
        <v>7900</v>
      </c>
      <c r="M804" s="96">
        <v>0.27529999999999999</v>
      </c>
      <c r="N804" s="95">
        <v>10074.870000000001</v>
      </c>
      <c r="O804" s="95">
        <v>0</v>
      </c>
      <c r="P804" s="95">
        <v>10074.870000000001</v>
      </c>
      <c r="Q804" s="95">
        <v>10074.870000000001</v>
      </c>
      <c r="R804" s="95">
        <v>0</v>
      </c>
      <c r="S804" s="95">
        <v>10074.870000000001</v>
      </c>
    </row>
    <row r="805" spans="1:19" ht="15" x14ac:dyDescent="0.25">
      <c r="A805" s="90" t="s">
        <v>2207</v>
      </c>
      <c r="B805" s="90" t="s">
        <v>95</v>
      </c>
      <c r="C805" s="98" t="s">
        <v>2208</v>
      </c>
      <c r="D805" s="92" t="s">
        <v>2209</v>
      </c>
      <c r="E805" s="90" t="s">
        <v>16</v>
      </c>
      <c r="F805" s="99">
        <v>1</v>
      </c>
      <c r="G805" s="94">
        <v>12600</v>
      </c>
      <c r="H805" s="94">
        <v>0</v>
      </c>
      <c r="I805" s="95">
        <v>12600</v>
      </c>
      <c r="J805" s="95">
        <v>12600</v>
      </c>
      <c r="K805" s="95">
        <v>0</v>
      </c>
      <c r="L805" s="95">
        <v>12600</v>
      </c>
      <c r="M805" s="96">
        <v>0.27529999999999999</v>
      </c>
      <c r="N805" s="95">
        <v>16068.78</v>
      </c>
      <c r="O805" s="95">
        <v>0</v>
      </c>
      <c r="P805" s="95">
        <v>16068.78</v>
      </c>
      <c r="Q805" s="95">
        <v>16068.78</v>
      </c>
      <c r="R805" s="95">
        <v>0</v>
      </c>
      <c r="S805" s="95">
        <v>16068.78</v>
      </c>
    </row>
    <row r="806" spans="1:19" ht="15" x14ac:dyDescent="0.25">
      <c r="A806" s="90" t="s">
        <v>2210</v>
      </c>
      <c r="B806" s="90" t="s">
        <v>95</v>
      </c>
      <c r="C806" s="98" t="s">
        <v>2211</v>
      </c>
      <c r="D806" s="92" t="s">
        <v>2212</v>
      </c>
      <c r="E806" s="90" t="s">
        <v>16</v>
      </c>
      <c r="F806" s="99">
        <v>1</v>
      </c>
      <c r="G806" s="94">
        <v>13700</v>
      </c>
      <c r="H806" s="94">
        <v>0</v>
      </c>
      <c r="I806" s="95">
        <v>13700</v>
      </c>
      <c r="J806" s="95">
        <v>13700</v>
      </c>
      <c r="K806" s="95">
        <v>0</v>
      </c>
      <c r="L806" s="95">
        <v>13700</v>
      </c>
      <c r="M806" s="96">
        <v>0.27529999999999999</v>
      </c>
      <c r="N806" s="95">
        <v>17471.61</v>
      </c>
      <c r="O806" s="95">
        <v>0</v>
      </c>
      <c r="P806" s="95">
        <v>17471.61</v>
      </c>
      <c r="Q806" s="95">
        <v>17471.61</v>
      </c>
      <c r="R806" s="95">
        <v>0</v>
      </c>
      <c r="S806" s="95">
        <v>17471.61</v>
      </c>
    </row>
    <row r="807" spans="1:19" ht="15" x14ac:dyDescent="0.25">
      <c r="A807" s="90" t="s">
        <v>2213</v>
      </c>
      <c r="B807" s="90" t="s">
        <v>95</v>
      </c>
      <c r="C807" s="98" t="s">
        <v>2214</v>
      </c>
      <c r="D807" s="92" t="s">
        <v>2215</v>
      </c>
      <c r="E807" s="90" t="s">
        <v>16</v>
      </c>
      <c r="F807" s="99">
        <v>1</v>
      </c>
      <c r="G807" s="94">
        <v>9800</v>
      </c>
      <c r="H807" s="94">
        <v>0</v>
      </c>
      <c r="I807" s="95">
        <v>9800</v>
      </c>
      <c r="J807" s="95">
        <v>9800</v>
      </c>
      <c r="K807" s="95">
        <v>0</v>
      </c>
      <c r="L807" s="95">
        <v>9800</v>
      </c>
      <c r="M807" s="96">
        <v>0.27529999999999999</v>
      </c>
      <c r="N807" s="95">
        <v>12497.94</v>
      </c>
      <c r="O807" s="95">
        <v>0</v>
      </c>
      <c r="P807" s="95">
        <v>12497.94</v>
      </c>
      <c r="Q807" s="95">
        <v>12497.94</v>
      </c>
      <c r="R807" s="95">
        <v>0</v>
      </c>
      <c r="S807" s="95">
        <v>12497.94</v>
      </c>
    </row>
    <row r="808" spans="1:19" ht="15" x14ac:dyDescent="0.25">
      <c r="A808" s="90" t="s">
        <v>2216</v>
      </c>
      <c r="B808" s="90" t="s">
        <v>95</v>
      </c>
      <c r="C808" s="98" t="s">
        <v>2217</v>
      </c>
      <c r="D808" s="92" t="s">
        <v>2218</v>
      </c>
      <c r="E808" s="90" t="s">
        <v>16</v>
      </c>
      <c r="F808" s="99">
        <v>1</v>
      </c>
      <c r="G808" s="94">
        <v>23600</v>
      </c>
      <c r="H808" s="94">
        <v>0</v>
      </c>
      <c r="I808" s="95">
        <v>23600</v>
      </c>
      <c r="J808" s="95">
        <v>23600</v>
      </c>
      <c r="K808" s="95">
        <v>0</v>
      </c>
      <c r="L808" s="95">
        <v>23600</v>
      </c>
      <c r="M808" s="96">
        <v>0.27529999999999999</v>
      </c>
      <c r="N808" s="95">
        <v>30097.08</v>
      </c>
      <c r="O808" s="95">
        <v>0</v>
      </c>
      <c r="P808" s="95">
        <v>30097.08</v>
      </c>
      <c r="Q808" s="95">
        <v>30097.08</v>
      </c>
      <c r="R808" s="95">
        <v>0</v>
      </c>
      <c r="S808" s="95">
        <v>30097.08</v>
      </c>
    </row>
    <row r="809" spans="1:19" ht="15" x14ac:dyDescent="0.25">
      <c r="A809" s="90" t="s">
        <v>2219</v>
      </c>
      <c r="B809" s="90" t="s">
        <v>95</v>
      </c>
      <c r="C809" s="98" t="s">
        <v>2220</v>
      </c>
      <c r="D809" s="92" t="s">
        <v>2221</v>
      </c>
      <c r="E809" s="90" t="s">
        <v>16</v>
      </c>
      <c r="F809" s="99">
        <v>1</v>
      </c>
      <c r="G809" s="94">
        <v>6800</v>
      </c>
      <c r="H809" s="94">
        <v>0</v>
      </c>
      <c r="I809" s="95">
        <v>6800</v>
      </c>
      <c r="J809" s="95">
        <v>6800</v>
      </c>
      <c r="K809" s="95">
        <v>0</v>
      </c>
      <c r="L809" s="95">
        <v>6800</v>
      </c>
      <c r="M809" s="96">
        <v>0.27529999999999999</v>
      </c>
      <c r="N809" s="95">
        <v>8672.0400000000009</v>
      </c>
      <c r="O809" s="95">
        <v>0</v>
      </c>
      <c r="P809" s="95">
        <v>8672.0400000000009</v>
      </c>
      <c r="Q809" s="95">
        <v>8672.0400000000009</v>
      </c>
      <c r="R809" s="95">
        <v>0</v>
      </c>
      <c r="S809" s="95">
        <v>8672.0400000000009</v>
      </c>
    </row>
    <row r="810" spans="1:19" ht="15" x14ac:dyDescent="0.25">
      <c r="A810" s="90" t="s">
        <v>2222</v>
      </c>
      <c r="B810" s="90" t="s">
        <v>95</v>
      </c>
      <c r="C810" s="98" t="s">
        <v>2223</v>
      </c>
      <c r="D810" s="92" t="s">
        <v>2224</v>
      </c>
      <c r="E810" s="90" t="s">
        <v>16</v>
      </c>
      <c r="F810" s="99">
        <v>1</v>
      </c>
      <c r="G810" s="94">
        <v>8490</v>
      </c>
      <c r="H810" s="94">
        <v>0</v>
      </c>
      <c r="I810" s="95">
        <v>8490</v>
      </c>
      <c r="J810" s="95">
        <v>8490</v>
      </c>
      <c r="K810" s="95">
        <v>0</v>
      </c>
      <c r="L810" s="95">
        <v>8490</v>
      </c>
      <c r="M810" s="96">
        <v>0.27529999999999999</v>
      </c>
      <c r="N810" s="95">
        <v>10827.3</v>
      </c>
      <c r="O810" s="95">
        <v>0</v>
      </c>
      <c r="P810" s="95">
        <v>10827.3</v>
      </c>
      <c r="Q810" s="95">
        <v>10827.3</v>
      </c>
      <c r="R810" s="95">
        <v>0</v>
      </c>
      <c r="S810" s="95">
        <v>10827.3</v>
      </c>
    </row>
    <row r="811" spans="1:19" ht="15" x14ac:dyDescent="0.25">
      <c r="A811" s="90" t="s">
        <v>2225</v>
      </c>
      <c r="B811" s="90" t="s">
        <v>95</v>
      </c>
      <c r="C811" s="98" t="s">
        <v>2226</v>
      </c>
      <c r="D811" s="92" t="s">
        <v>2227</v>
      </c>
      <c r="E811" s="90" t="s">
        <v>16</v>
      </c>
      <c r="F811" s="99">
        <v>1</v>
      </c>
      <c r="G811" s="94">
        <v>6900</v>
      </c>
      <c r="H811" s="94">
        <v>0</v>
      </c>
      <c r="I811" s="95">
        <v>6900</v>
      </c>
      <c r="J811" s="95">
        <v>6900</v>
      </c>
      <c r="K811" s="95">
        <v>0</v>
      </c>
      <c r="L811" s="95">
        <v>6900</v>
      </c>
      <c r="M811" s="96">
        <v>0.27529999999999999</v>
      </c>
      <c r="N811" s="95">
        <v>8799.57</v>
      </c>
      <c r="O811" s="95">
        <v>0</v>
      </c>
      <c r="P811" s="95">
        <v>8799.57</v>
      </c>
      <c r="Q811" s="95">
        <v>8799.57</v>
      </c>
      <c r="R811" s="95">
        <v>0</v>
      </c>
      <c r="S811" s="95">
        <v>8799.57</v>
      </c>
    </row>
    <row r="812" spans="1:19" ht="15" x14ac:dyDescent="0.25">
      <c r="A812" s="90" t="s">
        <v>2228</v>
      </c>
      <c r="B812" s="90" t="s">
        <v>95</v>
      </c>
      <c r="C812" s="98" t="s">
        <v>2229</v>
      </c>
      <c r="D812" s="92" t="s">
        <v>2230</v>
      </c>
      <c r="E812" s="90" t="s">
        <v>16</v>
      </c>
      <c r="F812" s="99">
        <v>1</v>
      </c>
      <c r="G812" s="94">
        <v>13800</v>
      </c>
      <c r="H812" s="94">
        <v>0</v>
      </c>
      <c r="I812" s="95">
        <v>13800</v>
      </c>
      <c r="J812" s="95">
        <v>13800</v>
      </c>
      <c r="K812" s="95">
        <v>0</v>
      </c>
      <c r="L812" s="95">
        <v>13800</v>
      </c>
      <c r="M812" s="96">
        <v>0.27529999999999999</v>
      </c>
      <c r="N812" s="95">
        <v>17599.14</v>
      </c>
      <c r="O812" s="95">
        <v>0</v>
      </c>
      <c r="P812" s="95">
        <v>17599.14</v>
      </c>
      <c r="Q812" s="95">
        <v>17599.14</v>
      </c>
      <c r="R812" s="95">
        <v>0</v>
      </c>
      <c r="S812" s="95">
        <v>17599.14</v>
      </c>
    </row>
    <row r="813" spans="1:19" ht="15" x14ac:dyDescent="0.25">
      <c r="A813" s="90" t="s">
        <v>2231</v>
      </c>
      <c r="B813" s="90" t="s">
        <v>95</v>
      </c>
      <c r="C813" s="98" t="s">
        <v>2232</v>
      </c>
      <c r="D813" s="92" t="s">
        <v>2233</v>
      </c>
      <c r="E813" s="90" t="s">
        <v>16</v>
      </c>
      <c r="F813" s="99">
        <v>1</v>
      </c>
      <c r="G813" s="94">
        <v>9600</v>
      </c>
      <c r="H813" s="94">
        <v>0</v>
      </c>
      <c r="I813" s="95">
        <v>9600</v>
      </c>
      <c r="J813" s="95">
        <v>9600</v>
      </c>
      <c r="K813" s="95">
        <v>0</v>
      </c>
      <c r="L813" s="95">
        <v>9600</v>
      </c>
      <c r="M813" s="96">
        <v>0.27529999999999999</v>
      </c>
      <c r="N813" s="95">
        <v>12242.88</v>
      </c>
      <c r="O813" s="95">
        <v>0</v>
      </c>
      <c r="P813" s="95">
        <v>12242.88</v>
      </c>
      <c r="Q813" s="95">
        <v>12242.88</v>
      </c>
      <c r="R813" s="95">
        <v>0</v>
      </c>
      <c r="S813" s="95">
        <v>12242.88</v>
      </c>
    </row>
    <row r="814" spans="1:19" ht="15" x14ac:dyDescent="0.25">
      <c r="A814" s="90" t="s">
        <v>2234</v>
      </c>
      <c r="B814" s="90" t="s">
        <v>95</v>
      </c>
      <c r="C814" s="98" t="s">
        <v>2235</v>
      </c>
      <c r="D814" s="92" t="s">
        <v>2236</v>
      </c>
      <c r="E814" s="90" t="s">
        <v>16</v>
      </c>
      <c r="F814" s="99">
        <v>1</v>
      </c>
      <c r="G814" s="94">
        <v>7300</v>
      </c>
      <c r="H814" s="94">
        <v>0</v>
      </c>
      <c r="I814" s="95">
        <v>7300</v>
      </c>
      <c r="J814" s="95">
        <v>7300</v>
      </c>
      <c r="K814" s="95">
        <v>0</v>
      </c>
      <c r="L814" s="95">
        <v>7300</v>
      </c>
      <c r="M814" s="96">
        <v>0.27529999999999999</v>
      </c>
      <c r="N814" s="95">
        <v>9309.69</v>
      </c>
      <c r="O814" s="95">
        <v>0</v>
      </c>
      <c r="P814" s="95">
        <v>9309.69</v>
      </c>
      <c r="Q814" s="95">
        <v>9309.69</v>
      </c>
      <c r="R814" s="95">
        <v>0</v>
      </c>
      <c r="S814" s="95">
        <v>9309.69</v>
      </c>
    </row>
    <row r="815" spans="1:19" ht="15" x14ac:dyDescent="0.25">
      <c r="A815" s="90" t="s">
        <v>2237</v>
      </c>
      <c r="B815" s="90" t="s">
        <v>95</v>
      </c>
      <c r="C815" s="98" t="s">
        <v>2238</v>
      </c>
      <c r="D815" s="92" t="s">
        <v>2239</v>
      </c>
      <c r="E815" s="90" t="s">
        <v>16</v>
      </c>
      <c r="F815" s="99">
        <v>1</v>
      </c>
      <c r="G815" s="94">
        <v>12300</v>
      </c>
      <c r="H815" s="94">
        <v>0</v>
      </c>
      <c r="I815" s="95">
        <v>12300</v>
      </c>
      <c r="J815" s="95">
        <v>12300</v>
      </c>
      <c r="K815" s="95">
        <v>0</v>
      </c>
      <c r="L815" s="95">
        <v>12300</v>
      </c>
      <c r="M815" s="96">
        <v>0.27529999999999999</v>
      </c>
      <c r="N815" s="95">
        <v>15686.19</v>
      </c>
      <c r="O815" s="95">
        <v>0</v>
      </c>
      <c r="P815" s="95">
        <v>15686.19</v>
      </c>
      <c r="Q815" s="95">
        <v>15686.19</v>
      </c>
      <c r="R815" s="95">
        <v>0</v>
      </c>
      <c r="S815" s="95">
        <v>15686.19</v>
      </c>
    </row>
    <row r="816" spans="1:19" ht="15" x14ac:dyDescent="0.25">
      <c r="A816" s="90" t="s">
        <v>2240</v>
      </c>
      <c r="B816" s="90" t="s">
        <v>95</v>
      </c>
      <c r="C816" s="98" t="s">
        <v>2241</v>
      </c>
      <c r="D816" s="92" t="s">
        <v>2242</v>
      </c>
      <c r="E816" s="90" t="s">
        <v>16</v>
      </c>
      <c r="F816" s="99">
        <v>1</v>
      </c>
      <c r="G816" s="94">
        <v>8700</v>
      </c>
      <c r="H816" s="94">
        <v>0</v>
      </c>
      <c r="I816" s="95">
        <v>8700</v>
      </c>
      <c r="J816" s="95">
        <v>8700</v>
      </c>
      <c r="K816" s="95">
        <v>0</v>
      </c>
      <c r="L816" s="95">
        <v>8700</v>
      </c>
      <c r="M816" s="96">
        <v>0.27529999999999999</v>
      </c>
      <c r="N816" s="95">
        <v>11095.11</v>
      </c>
      <c r="O816" s="95">
        <v>0</v>
      </c>
      <c r="P816" s="95">
        <v>11095.11</v>
      </c>
      <c r="Q816" s="95">
        <v>11095.11</v>
      </c>
      <c r="R816" s="95">
        <v>0</v>
      </c>
      <c r="S816" s="95">
        <v>11095.11</v>
      </c>
    </row>
    <row r="817" spans="1:19" ht="15" x14ac:dyDescent="0.25">
      <c r="A817" s="90" t="s">
        <v>2243</v>
      </c>
      <c r="B817" s="90" t="s">
        <v>95</v>
      </c>
      <c r="C817" s="98" t="s">
        <v>2244</v>
      </c>
      <c r="D817" s="92" t="s">
        <v>2245</v>
      </c>
      <c r="E817" s="90" t="s">
        <v>16</v>
      </c>
      <c r="F817" s="99">
        <v>1</v>
      </c>
      <c r="G817" s="94">
        <v>8800</v>
      </c>
      <c r="H817" s="94">
        <v>0</v>
      </c>
      <c r="I817" s="95">
        <v>8800</v>
      </c>
      <c r="J817" s="95">
        <v>8800</v>
      </c>
      <c r="K817" s="95">
        <v>0</v>
      </c>
      <c r="L817" s="95">
        <v>8800</v>
      </c>
      <c r="M817" s="96">
        <v>0.27529999999999999</v>
      </c>
      <c r="N817" s="95">
        <v>11222.64</v>
      </c>
      <c r="O817" s="95">
        <v>0</v>
      </c>
      <c r="P817" s="95">
        <v>11222.64</v>
      </c>
      <c r="Q817" s="95">
        <v>11222.64</v>
      </c>
      <c r="R817" s="95">
        <v>0</v>
      </c>
      <c r="S817" s="95">
        <v>11222.64</v>
      </c>
    </row>
    <row r="818" spans="1:19" ht="15" x14ac:dyDescent="0.25">
      <c r="A818" s="90" t="s">
        <v>2246</v>
      </c>
      <c r="B818" s="90" t="s">
        <v>95</v>
      </c>
      <c r="C818" s="98" t="s">
        <v>2247</v>
      </c>
      <c r="D818" s="92" t="s">
        <v>2248</v>
      </c>
      <c r="E818" s="90" t="s">
        <v>16</v>
      </c>
      <c r="F818" s="99">
        <v>1</v>
      </c>
      <c r="G818" s="94">
        <v>8600</v>
      </c>
      <c r="H818" s="94">
        <v>0</v>
      </c>
      <c r="I818" s="95">
        <v>8600</v>
      </c>
      <c r="J818" s="95">
        <v>8600</v>
      </c>
      <c r="K818" s="95">
        <v>0</v>
      </c>
      <c r="L818" s="95">
        <v>8600</v>
      </c>
      <c r="M818" s="96">
        <v>0.27529999999999999</v>
      </c>
      <c r="N818" s="95">
        <v>10967.58</v>
      </c>
      <c r="O818" s="95">
        <v>0</v>
      </c>
      <c r="P818" s="95">
        <v>10967.58</v>
      </c>
      <c r="Q818" s="95">
        <v>10967.58</v>
      </c>
      <c r="R818" s="95">
        <v>0</v>
      </c>
      <c r="S818" s="95">
        <v>10967.58</v>
      </c>
    </row>
    <row r="819" spans="1:19" ht="15" x14ac:dyDescent="0.25">
      <c r="A819" s="90" t="s">
        <v>2249</v>
      </c>
      <c r="B819" s="90" t="s">
        <v>95</v>
      </c>
      <c r="C819" s="98" t="s">
        <v>2250</v>
      </c>
      <c r="D819" s="92" t="s">
        <v>2251</v>
      </c>
      <c r="E819" s="90" t="s">
        <v>16</v>
      </c>
      <c r="F819" s="99">
        <v>1</v>
      </c>
      <c r="G819" s="94">
        <v>8600</v>
      </c>
      <c r="H819" s="94">
        <v>0</v>
      </c>
      <c r="I819" s="95">
        <v>8600</v>
      </c>
      <c r="J819" s="95">
        <v>8600</v>
      </c>
      <c r="K819" s="95">
        <v>0</v>
      </c>
      <c r="L819" s="95">
        <v>8600</v>
      </c>
      <c r="M819" s="96">
        <v>0.27529999999999999</v>
      </c>
      <c r="N819" s="95">
        <v>10967.58</v>
      </c>
      <c r="O819" s="95">
        <v>0</v>
      </c>
      <c r="P819" s="95">
        <v>10967.58</v>
      </c>
      <c r="Q819" s="95">
        <v>10967.58</v>
      </c>
      <c r="R819" s="95">
        <v>0</v>
      </c>
      <c r="S819" s="95">
        <v>10967.58</v>
      </c>
    </row>
    <row r="820" spans="1:19" ht="15" x14ac:dyDescent="0.25">
      <c r="A820" s="90" t="s">
        <v>2252</v>
      </c>
      <c r="B820" s="90" t="s">
        <v>95</v>
      </c>
      <c r="C820" s="98" t="s">
        <v>2253</v>
      </c>
      <c r="D820" s="92" t="s">
        <v>2254</v>
      </c>
      <c r="E820" s="90" t="s">
        <v>16</v>
      </c>
      <c r="F820" s="99">
        <v>1</v>
      </c>
      <c r="G820" s="94">
        <v>10200</v>
      </c>
      <c r="H820" s="94">
        <v>0</v>
      </c>
      <c r="I820" s="95">
        <v>10200</v>
      </c>
      <c r="J820" s="95">
        <v>10200</v>
      </c>
      <c r="K820" s="95">
        <v>0</v>
      </c>
      <c r="L820" s="95">
        <v>10200</v>
      </c>
      <c r="M820" s="96">
        <v>0.27529999999999999</v>
      </c>
      <c r="N820" s="95">
        <v>13008.06</v>
      </c>
      <c r="O820" s="95">
        <v>0</v>
      </c>
      <c r="P820" s="95">
        <v>13008.06</v>
      </c>
      <c r="Q820" s="95">
        <v>13008.06</v>
      </c>
      <c r="R820" s="95">
        <v>0</v>
      </c>
      <c r="S820" s="95">
        <v>13008.06</v>
      </c>
    </row>
    <row r="821" spans="1:19" ht="15" x14ac:dyDescent="0.25">
      <c r="A821" s="90" t="s">
        <v>2255</v>
      </c>
      <c r="B821" s="90" t="s">
        <v>95</v>
      </c>
      <c r="C821" s="98" t="s">
        <v>2256</v>
      </c>
      <c r="D821" s="92" t="s">
        <v>2257</v>
      </c>
      <c r="E821" s="90" t="s">
        <v>16</v>
      </c>
      <c r="F821" s="99">
        <v>1</v>
      </c>
      <c r="G821" s="94">
        <v>10700</v>
      </c>
      <c r="H821" s="94">
        <v>0</v>
      </c>
      <c r="I821" s="95">
        <v>10700</v>
      </c>
      <c r="J821" s="95">
        <v>10700</v>
      </c>
      <c r="K821" s="95">
        <v>0</v>
      </c>
      <c r="L821" s="95">
        <v>10700</v>
      </c>
      <c r="M821" s="96">
        <v>0.27529999999999999</v>
      </c>
      <c r="N821" s="95">
        <v>13645.71</v>
      </c>
      <c r="O821" s="95">
        <v>0</v>
      </c>
      <c r="P821" s="95">
        <v>13645.71</v>
      </c>
      <c r="Q821" s="95">
        <v>13645.71</v>
      </c>
      <c r="R821" s="95">
        <v>0</v>
      </c>
      <c r="S821" s="95">
        <v>13645.71</v>
      </c>
    </row>
    <row r="822" spans="1:19" ht="15" x14ac:dyDescent="0.25">
      <c r="A822" s="90" t="s">
        <v>2258</v>
      </c>
      <c r="B822" s="90" t="s">
        <v>95</v>
      </c>
      <c r="C822" s="98" t="s">
        <v>2259</v>
      </c>
      <c r="D822" s="92" t="s">
        <v>2260</v>
      </c>
      <c r="E822" s="90" t="s">
        <v>16</v>
      </c>
      <c r="F822" s="99">
        <v>1</v>
      </c>
      <c r="G822" s="94">
        <v>4600</v>
      </c>
      <c r="H822" s="94">
        <v>0</v>
      </c>
      <c r="I822" s="95">
        <v>4600</v>
      </c>
      <c r="J822" s="95">
        <v>4600</v>
      </c>
      <c r="K822" s="95">
        <v>0</v>
      </c>
      <c r="L822" s="95">
        <v>4600</v>
      </c>
      <c r="M822" s="96">
        <v>0.27529999999999999</v>
      </c>
      <c r="N822" s="95">
        <v>5866.38</v>
      </c>
      <c r="O822" s="95">
        <v>0</v>
      </c>
      <c r="P822" s="95">
        <v>5866.38</v>
      </c>
      <c r="Q822" s="95">
        <v>5866.38</v>
      </c>
      <c r="R822" s="95">
        <v>0</v>
      </c>
      <c r="S822" s="95">
        <v>5866.38</v>
      </c>
    </row>
    <row r="823" spans="1:19" ht="15" x14ac:dyDescent="0.25">
      <c r="A823" s="90" t="s">
        <v>2261</v>
      </c>
      <c r="B823" s="90" t="s">
        <v>95</v>
      </c>
      <c r="C823" s="98" t="s">
        <v>2262</v>
      </c>
      <c r="D823" s="92" t="s">
        <v>2263</v>
      </c>
      <c r="E823" s="90" t="s">
        <v>16</v>
      </c>
      <c r="F823" s="99">
        <v>1</v>
      </c>
      <c r="G823" s="94">
        <v>6300</v>
      </c>
      <c r="H823" s="94">
        <v>0</v>
      </c>
      <c r="I823" s="95">
        <v>6300</v>
      </c>
      <c r="J823" s="95">
        <v>6300</v>
      </c>
      <c r="K823" s="95">
        <v>0</v>
      </c>
      <c r="L823" s="95">
        <v>6300</v>
      </c>
      <c r="M823" s="96">
        <v>0.27529999999999999</v>
      </c>
      <c r="N823" s="95">
        <v>8034.39</v>
      </c>
      <c r="O823" s="95">
        <v>0</v>
      </c>
      <c r="P823" s="95">
        <v>8034.39</v>
      </c>
      <c r="Q823" s="95">
        <v>8034.39</v>
      </c>
      <c r="R823" s="95">
        <v>0</v>
      </c>
      <c r="S823" s="95">
        <v>8034.39</v>
      </c>
    </row>
    <row r="824" spans="1:19" ht="15" x14ac:dyDescent="0.25">
      <c r="A824" s="90" t="s">
        <v>2264</v>
      </c>
      <c r="B824" s="90" t="s">
        <v>95</v>
      </c>
      <c r="C824" s="98" t="s">
        <v>2265</v>
      </c>
      <c r="D824" s="92" t="s">
        <v>2266</v>
      </c>
      <c r="E824" s="90" t="s">
        <v>16</v>
      </c>
      <c r="F824" s="99">
        <v>1</v>
      </c>
      <c r="G824" s="94">
        <v>17900</v>
      </c>
      <c r="H824" s="94">
        <v>0</v>
      </c>
      <c r="I824" s="95">
        <v>17900</v>
      </c>
      <c r="J824" s="95">
        <v>17900</v>
      </c>
      <c r="K824" s="95">
        <v>0</v>
      </c>
      <c r="L824" s="95">
        <v>17900</v>
      </c>
      <c r="M824" s="96">
        <v>0.27529999999999999</v>
      </c>
      <c r="N824" s="95">
        <v>22827.87</v>
      </c>
      <c r="O824" s="95">
        <v>0</v>
      </c>
      <c r="P824" s="95">
        <v>22827.87</v>
      </c>
      <c r="Q824" s="95">
        <v>22827.87</v>
      </c>
      <c r="R824" s="95">
        <v>0</v>
      </c>
      <c r="S824" s="95">
        <v>22827.87</v>
      </c>
    </row>
    <row r="825" spans="1:19" ht="15" x14ac:dyDescent="0.25">
      <c r="A825" s="90" t="s">
        <v>2267</v>
      </c>
      <c r="B825" s="90" t="s">
        <v>95</v>
      </c>
      <c r="C825" s="98" t="s">
        <v>2268</v>
      </c>
      <c r="D825" s="92" t="s">
        <v>2269</v>
      </c>
      <c r="E825" s="90" t="s">
        <v>16</v>
      </c>
      <c r="F825" s="99">
        <v>1</v>
      </c>
      <c r="G825" s="94">
        <v>77800</v>
      </c>
      <c r="H825" s="94">
        <v>0</v>
      </c>
      <c r="I825" s="95">
        <v>77800</v>
      </c>
      <c r="J825" s="95">
        <v>77800</v>
      </c>
      <c r="K825" s="95">
        <v>0</v>
      </c>
      <c r="L825" s="95">
        <v>77800</v>
      </c>
      <c r="M825" s="96">
        <v>0.27529999999999999</v>
      </c>
      <c r="N825" s="95">
        <v>99218.34</v>
      </c>
      <c r="O825" s="95">
        <v>0</v>
      </c>
      <c r="P825" s="95">
        <v>99218.34</v>
      </c>
      <c r="Q825" s="95">
        <v>99218.34</v>
      </c>
      <c r="R825" s="95">
        <v>0</v>
      </c>
      <c r="S825" s="95">
        <v>99218.34</v>
      </c>
    </row>
    <row r="826" spans="1:19" ht="15" x14ac:dyDescent="0.25">
      <c r="A826" s="90" t="s">
        <v>2270</v>
      </c>
      <c r="B826" s="90" t="s">
        <v>95</v>
      </c>
      <c r="C826" s="98" t="s">
        <v>2271</v>
      </c>
      <c r="D826" s="92" t="s">
        <v>2272</v>
      </c>
      <c r="E826" s="90" t="s">
        <v>16</v>
      </c>
      <c r="F826" s="99">
        <v>1</v>
      </c>
      <c r="G826" s="94">
        <v>9500</v>
      </c>
      <c r="H826" s="94">
        <v>0</v>
      </c>
      <c r="I826" s="95">
        <v>9500</v>
      </c>
      <c r="J826" s="95">
        <v>9500</v>
      </c>
      <c r="K826" s="95">
        <v>0</v>
      </c>
      <c r="L826" s="95">
        <v>9500</v>
      </c>
      <c r="M826" s="96">
        <v>0.27529999999999999</v>
      </c>
      <c r="N826" s="95">
        <v>12115.35</v>
      </c>
      <c r="O826" s="95">
        <v>0</v>
      </c>
      <c r="P826" s="95">
        <v>12115.35</v>
      </c>
      <c r="Q826" s="95">
        <v>12115.35</v>
      </c>
      <c r="R826" s="95">
        <v>0</v>
      </c>
      <c r="S826" s="95">
        <v>12115.35</v>
      </c>
    </row>
    <row r="827" spans="1:19" ht="15" x14ac:dyDescent="0.25">
      <c r="A827" s="90" t="s">
        <v>2273</v>
      </c>
      <c r="B827" s="90" t="s">
        <v>95</v>
      </c>
      <c r="C827" s="98" t="s">
        <v>2274</v>
      </c>
      <c r="D827" s="92" t="s">
        <v>2275</v>
      </c>
      <c r="E827" s="90" t="s">
        <v>16</v>
      </c>
      <c r="F827" s="99">
        <v>1</v>
      </c>
      <c r="G827" s="94">
        <v>9400</v>
      </c>
      <c r="H827" s="94">
        <v>0</v>
      </c>
      <c r="I827" s="95">
        <v>9400</v>
      </c>
      <c r="J827" s="95">
        <v>9400</v>
      </c>
      <c r="K827" s="95">
        <v>0</v>
      </c>
      <c r="L827" s="95">
        <v>9400</v>
      </c>
      <c r="M827" s="96">
        <v>0.27529999999999999</v>
      </c>
      <c r="N827" s="95">
        <v>11987.82</v>
      </c>
      <c r="O827" s="95">
        <v>0</v>
      </c>
      <c r="P827" s="95">
        <v>11987.82</v>
      </c>
      <c r="Q827" s="95">
        <v>11987.82</v>
      </c>
      <c r="R827" s="95">
        <v>0</v>
      </c>
      <c r="S827" s="95">
        <v>11987.82</v>
      </c>
    </row>
    <row r="828" spans="1:19" ht="15" x14ac:dyDescent="0.25">
      <c r="A828" s="90" t="s">
        <v>2276</v>
      </c>
      <c r="B828" s="90" t="s">
        <v>95</v>
      </c>
      <c r="C828" s="98" t="s">
        <v>2277</v>
      </c>
      <c r="D828" s="92" t="s">
        <v>2278</v>
      </c>
      <c r="E828" s="90" t="s">
        <v>16</v>
      </c>
      <c r="F828" s="99">
        <v>1</v>
      </c>
      <c r="G828" s="94">
        <v>9400</v>
      </c>
      <c r="H828" s="94">
        <v>0</v>
      </c>
      <c r="I828" s="95">
        <v>9400</v>
      </c>
      <c r="J828" s="95">
        <v>9400</v>
      </c>
      <c r="K828" s="95">
        <v>0</v>
      </c>
      <c r="L828" s="95">
        <v>9400</v>
      </c>
      <c r="M828" s="96">
        <v>0.27529999999999999</v>
      </c>
      <c r="N828" s="95">
        <v>11987.82</v>
      </c>
      <c r="O828" s="95">
        <v>0</v>
      </c>
      <c r="P828" s="95">
        <v>11987.82</v>
      </c>
      <c r="Q828" s="95">
        <v>11987.82</v>
      </c>
      <c r="R828" s="95">
        <v>0</v>
      </c>
      <c r="S828" s="95">
        <v>11987.82</v>
      </c>
    </row>
    <row r="829" spans="1:19" ht="15" x14ac:dyDescent="0.25">
      <c r="A829" s="90" t="s">
        <v>2279</v>
      </c>
      <c r="B829" s="90" t="s">
        <v>95</v>
      </c>
      <c r="C829" s="98" t="s">
        <v>2280</v>
      </c>
      <c r="D829" s="92" t="s">
        <v>2281</v>
      </c>
      <c r="E829" s="90" t="s">
        <v>16</v>
      </c>
      <c r="F829" s="99">
        <v>1</v>
      </c>
      <c r="G829" s="94">
        <v>9200</v>
      </c>
      <c r="H829" s="94">
        <v>0</v>
      </c>
      <c r="I829" s="95">
        <v>9200</v>
      </c>
      <c r="J829" s="95">
        <v>9200</v>
      </c>
      <c r="K829" s="95">
        <v>0</v>
      </c>
      <c r="L829" s="95">
        <v>9200</v>
      </c>
      <c r="M829" s="96">
        <v>0.27529999999999999</v>
      </c>
      <c r="N829" s="95">
        <v>11732.76</v>
      </c>
      <c r="O829" s="95">
        <v>0</v>
      </c>
      <c r="P829" s="95">
        <v>11732.76</v>
      </c>
      <c r="Q829" s="95">
        <v>11732.76</v>
      </c>
      <c r="R829" s="95">
        <v>0</v>
      </c>
      <c r="S829" s="95">
        <v>11732.76</v>
      </c>
    </row>
    <row r="830" spans="1:19" ht="15" x14ac:dyDescent="0.25">
      <c r="A830" s="90" t="s">
        <v>2282</v>
      </c>
      <c r="B830" s="90" t="s">
        <v>95</v>
      </c>
      <c r="C830" s="98" t="s">
        <v>2283</v>
      </c>
      <c r="D830" s="92" t="s">
        <v>2284</v>
      </c>
      <c r="E830" s="90" t="s">
        <v>16</v>
      </c>
      <c r="F830" s="99">
        <v>1</v>
      </c>
      <c r="G830" s="94">
        <v>7700</v>
      </c>
      <c r="H830" s="94">
        <v>0</v>
      </c>
      <c r="I830" s="95">
        <v>7700</v>
      </c>
      <c r="J830" s="95">
        <v>7700</v>
      </c>
      <c r="K830" s="95">
        <v>0</v>
      </c>
      <c r="L830" s="95">
        <v>7700</v>
      </c>
      <c r="M830" s="96">
        <v>0.27529999999999999</v>
      </c>
      <c r="N830" s="95">
        <v>9819.81</v>
      </c>
      <c r="O830" s="95">
        <v>0</v>
      </c>
      <c r="P830" s="95">
        <v>9819.81</v>
      </c>
      <c r="Q830" s="95">
        <v>9819.81</v>
      </c>
      <c r="R830" s="95">
        <v>0</v>
      </c>
      <c r="S830" s="95">
        <v>9819.81</v>
      </c>
    </row>
    <row r="831" spans="1:19" ht="15" x14ac:dyDescent="0.25">
      <c r="A831" s="90" t="s">
        <v>2285</v>
      </c>
      <c r="B831" s="90" t="s">
        <v>95</v>
      </c>
      <c r="C831" s="98" t="s">
        <v>2286</v>
      </c>
      <c r="D831" s="92" t="s">
        <v>2287</v>
      </c>
      <c r="E831" s="90" t="s">
        <v>16</v>
      </c>
      <c r="F831" s="99">
        <v>1</v>
      </c>
      <c r="G831" s="94">
        <v>8000</v>
      </c>
      <c r="H831" s="94">
        <v>0</v>
      </c>
      <c r="I831" s="95">
        <v>8000</v>
      </c>
      <c r="J831" s="95">
        <v>8000</v>
      </c>
      <c r="K831" s="95">
        <v>0</v>
      </c>
      <c r="L831" s="95">
        <v>8000</v>
      </c>
      <c r="M831" s="96">
        <v>0.27529999999999999</v>
      </c>
      <c r="N831" s="95">
        <v>10202.4</v>
      </c>
      <c r="O831" s="95">
        <v>0</v>
      </c>
      <c r="P831" s="95">
        <v>10202.4</v>
      </c>
      <c r="Q831" s="95">
        <v>10202.4</v>
      </c>
      <c r="R831" s="95">
        <v>0</v>
      </c>
      <c r="S831" s="95">
        <v>10202.4</v>
      </c>
    </row>
    <row r="832" spans="1:19" ht="15" x14ac:dyDescent="0.25">
      <c r="A832" s="90" t="s">
        <v>2288</v>
      </c>
      <c r="B832" s="90" t="s">
        <v>95</v>
      </c>
      <c r="C832" s="98" t="s">
        <v>2289</v>
      </c>
      <c r="D832" s="92" t="s">
        <v>2290</v>
      </c>
      <c r="E832" s="90" t="s">
        <v>16</v>
      </c>
      <c r="F832" s="99">
        <v>1</v>
      </c>
      <c r="G832" s="94">
        <v>8800</v>
      </c>
      <c r="H832" s="94">
        <v>0</v>
      </c>
      <c r="I832" s="95">
        <v>8800</v>
      </c>
      <c r="J832" s="95">
        <v>8800</v>
      </c>
      <c r="K832" s="95">
        <v>0</v>
      </c>
      <c r="L832" s="95">
        <v>8800</v>
      </c>
      <c r="M832" s="96">
        <v>0.27529999999999999</v>
      </c>
      <c r="N832" s="95">
        <v>11222.64</v>
      </c>
      <c r="O832" s="95">
        <v>0</v>
      </c>
      <c r="P832" s="95">
        <v>11222.64</v>
      </c>
      <c r="Q832" s="95">
        <v>11222.64</v>
      </c>
      <c r="R832" s="95">
        <v>0</v>
      </c>
      <c r="S832" s="95">
        <v>11222.64</v>
      </c>
    </row>
    <row r="833" spans="1:19" ht="15" x14ac:dyDescent="0.25">
      <c r="A833" s="90" t="s">
        <v>2291</v>
      </c>
      <c r="B833" s="90" t="s">
        <v>95</v>
      </c>
      <c r="C833" s="98" t="s">
        <v>2292</v>
      </c>
      <c r="D833" s="92" t="s">
        <v>2293</v>
      </c>
      <c r="E833" s="90" t="s">
        <v>16</v>
      </c>
      <c r="F833" s="99">
        <v>1</v>
      </c>
      <c r="G833" s="94">
        <v>6900</v>
      </c>
      <c r="H833" s="94">
        <v>0</v>
      </c>
      <c r="I833" s="95">
        <v>6900</v>
      </c>
      <c r="J833" s="95">
        <v>6900</v>
      </c>
      <c r="K833" s="95">
        <v>0</v>
      </c>
      <c r="L833" s="95">
        <v>6900</v>
      </c>
      <c r="M833" s="96">
        <v>0.27529999999999999</v>
      </c>
      <c r="N833" s="95">
        <v>8799.57</v>
      </c>
      <c r="O833" s="95">
        <v>0</v>
      </c>
      <c r="P833" s="95">
        <v>8799.57</v>
      </c>
      <c r="Q833" s="95">
        <v>8799.57</v>
      </c>
      <c r="R833" s="95">
        <v>0</v>
      </c>
      <c r="S833" s="95">
        <v>8799.57</v>
      </c>
    </row>
    <row r="834" spans="1:19" ht="15" x14ac:dyDescent="0.25">
      <c r="A834" s="90" t="s">
        <v>2294</v>
      </c>
      <c r="B834" s="90" t="s">
        <v>95</v>
      </c>
      <c r="C834" s="98" t="s">
        <v>2295</v>
      </c>
      <c r="D834" s="92" t="s">
        <v>2296</v>
      </c>
      <c r="E834" s="90" t="s">
        <v>16</v>
      </c>
      <c r="F834" s="99">
        <v>1</v>
      </c>
      <c r="G834" s="94">
        <v>6500</v>
      </c>
      <c r="H834" s="94">
        <v>0</v>
      </c>
      <c r="I834" s="95">
        <v>6500</v>
      </c>
      <c r="J834" s="95">
        <v>6500</v>
      </c>
      <c r="K834" s="95">
        <v>0</v>
      </c>
      <c r="L834" s="95">
        <v>6500</v>
      </c>
      <c r="M834" s="96">
        <v>0.27529999999999999</v>
      </c>
      <c r="N834" s="95">
        <v>8289.4500000000007</v>
      </c>
      <c r="O834" s="95">
        <v>0</v>
      </c>
      <c r="P834" s="95">
        <v>8289.4500000000007</v>
      </c>
      <c r="Q834" s="95">
        <v>8289.4500000000007</v>
      </c>
      <c r="R834" s="95">
        <v>0</v>
      </c>
      <c r="S834" s="95">
        <v>8289.4500000000007</v>
      </c>
    </row>
    <row r="835" spans="1:19" ht="15" x14ac:dyDescent="0.25">
      <c r="A835" s="90" t="s">
        <v>2297</v>
      </c>
      <c r="B835" s="90" t="s">
        <v>95</v>
      </c>
      <c r="C835" s="98" t="s">
        <v>2298</v>
      </c>
      <c r="D835" s="92" t="s">
        <v>2299</v>
      </c>
      <c r="E835" s="90" t="s">
        <v>16</v>
      </c>
      <c r="F835" s="99">
        <v>1</v>
      </c>
      <c r="G835" s="94">
        <v>8900</v>
      </c>
      <c r="H835" s="94">
        <v>0</v>
      </c>
      <c r="I835" s="95">
        <v>8900</v>
      </c>
      <c r="J835" s="95">
        <v>8900</v>
      </c>
      <c r="K835" s="95">
        <v>0</v>
      </c>
      <c r="L835" s="95">
        <v>8900</v>
      </c>
      <c r="M835" s="96">
        <v>0.27529999999999999</v>
      </c>
      <c r="N835" s="95">
        <v>11350.17</v>
      </c>
      <c r="O835" s="95">
        <v>0</v>
      </c>
      <c r="P835" s="95">
        <v>11350.17</v>
      </c>
      <c r="Q835" s="95">
        <v>11350.17</v>
      </c>
      <c r="R835" s="95">
        <v>0</v>
      </c>
      <c r="S835" s="95">
        <v>11350.17</v>
      </c>
    </row>
    <row r="836" spans="1:19" ht="15" x14ac:dyDescent="0.25">
      <c r="A836" s="90" t="s">
        <v>2300</v>
      </c>
      <c r="B836" s="90" t="s">
        <v>95</v>
      </c>
      <c r="C836" s="98" t="s">
        <v>2301</v>
      </c>
      <c r="D836" s="92" t="s">
        <v>2302</v>
      </c>
      <c r="E836" s="90" t="s">
        <v>16</v>
      </c>
      <c r="F836" s="99">
        <v>1</v>
      </c>
      <c r="G836" s="94">
        <v>11700</v>
      </c>
      <c r="H836" s="94">
        <v>0</v>
      </c>
      <c r="I836" s="95">
        <v>11700</v>
      </c>
      <c r="J836" s="95">
        <v>11700</v>
      </c>
      <c r="K836" s="95">
        <v>0</v>
      </c>
      <c r="L836" s="95">
        <v>11700</v>
      </c>
      <c r="M836" s="96">
        <v>0.27529999999999999</v>
      </c>
      <c r="N836" s="95">
        <v>14921.01</v>
      </c>
      <c r="O836" s="95">
        <v>0</v>
      </c>
      <c r="P836" s="95">
        <v>14921.01</v>
      </c>
      <c r="Q836" s="95">
        <v>14921.01</v>
      </c>
      <c r="R836" s="95">
        <v>0</v>
      </c>
      <c r="S836" s="95">
        <v>14921.01</v>
      </c>
    </row>
    <row r="837" spans="1:19" ht="15" x14ac:dyDescent="0.25">
      <c r="A837" s="90" t="s">
        <v>2303</v>
      </c>
      <c r="B837" s="90" t="s">
        <v>95</v>
      </c>
      <c r="C837" s="98" t="s">
        <v>2304</v>
      </c>
      <c r="D837" s="92" t="s">
        <v>2305</v>
      </c>
      <c r="E837" s="90" t="s">
        <v>16</v>
      </c>
      <c r="F837" s="99">
        <v>1</v>
      </c>
      <c r="G837" s="94">
        <v>10200</v>
      </c>
      <c r="H837" s="94">
        <v>0</v>
      </c>
      <c r="I837" s="95">
        <v>10200</v>
      </c>
      <c r="J837" s="95">
        <v>10200</v>
      </c>
      <c r="K837" s="95">
        <v>0</v>
      </c>
      <c r="L837" s="95">
        <v>10200</v>
      </c>
      <c r="M837" s="96">
        <v>0.27529999999999999</v>
      </c>
      <c r="N837" s="95">
        <v>13008.06</v>
      </c>
      <c r="O837" s="95">
        <v>0</v>
      </c>
      <c r="P837" s="95">
        <v>13008.06</v>
      </c>
      <c r="Q837" s="95">
        <v>13008.06</v>
      </c>
      <c r="R837" s="95">
        <v>0</v>
      </c>
      <c r="S837" s="95">
        <v>13008.06</v>
      </c>
    </row>
    <row r="838" spans="1:19" ht="15" x14ac:dyDescent="0.25">
      <c r="A838" s="90" t="s">
        <v>2306</v>
      </c>
      <c r="B838" s="90" t="s">
        <v>95</v>
      </c>
      <c r="C838" s="98" t="s">
        <v>2307</v>
      </c>
      <c r="D838" s="92" t="s">
        <v>2308</v>
      </c>
      <c r="E838" s="90" t="s">
        <v>16</v>
      </c>
      <c r="F838" s="99">
        <v>1</v>
      </c>
      <c r="G838" s="94">
        <v>10450</v>
      </c>
      <c r="H838" s="94">
        <v>0</v>
      </c>
      <c r="I838" s="95">
        <v>10450</v>
      </c>
      <c r="J838" s="95">
        <v>10450</v>
      </c>
      <c r="K838" s="95">
        <v>0</v>
      </c>
      <c r="L838" s="95">
        <v>10450</v>
      </c>
      <c r="M838" s="96">
        <v>0.27529999999999999</v>
      </c>
      <c r="N838" s="95">
        <v>13326.89</v>
      </c>
      <c r="O838" s="95">
        <v>0</v>
      </c>
      <c r="P838" s="95">
        <v>13326.89</v>
      </c>
      <c r="Q838" s="95">
        <v>13326.89</v>
      </c>
      <c r="R838" s="95">
        <v>0</v>
      </c>
      <c r="S838" s="95">
        <v>13326.89</v>
      </c>
    </row>
    <row r="839" spans="1:19" ht="15" x14ac:dyDescent="0.25">
      <c r="A839" s="90" t="s">
        <v>2309</v>
      </c>
      <c r="B839" s="90" t="s">
        <v>95</v>
      </c>
      <c r="C839" s="98" t="s">
        <v>2310</v>
      </c>
      <c r="D839" s="92" t="s">
        <v>2311</v>
      </c>
      <c r="E839" s="90" t="s">
        <v>16</v>
      </c>
      <c r="F839" s="99">
        <v>1</v>
      </c>
      <c r="G839" s="94">
        <v>10620</v>
      </c>
      <c r="H839" s="94">
        <v>0</v>
      </c>
      <c r="I839" s="95">
        <v>10620</v>
      </c>
      <c r="J839" s="95">
        <v>10620</v>
      </c>
      <c r="K839" s="95">
        <v>0</v>
      </c>
      <c r="L839" s="95">
        <v>10620</v>
      </c>
      <c r="M839" s="96">
        <v>0.27529999999999999</v>
      </c>
      <c r="N839" s="95">
        <v>13543.69</v>
      </c>
      <c r="O839" s="95">
        <v>0</v>
      </c>
      <c r="P839" s="95">
        <v>13543.69</v>
      </c>
      <c r="Q839" s="95">
        <v>13543.69</v>
      </c>
      <c r="R839" s="95">
        <v>0</v>
      </c>
      <c r="S839" s="95">
        <v>13543.69</v>
      </c>
    </row>
    <row r="840" spans="1:19" ht="15" x14ac:dyDescent="0.25">
      <c r="A840" s="90" t="s">
        <v>2312</v>
      </c>
      <c r="B840" s="90" t="s">
        <v>95</v>
      </c>
      <c r="C840" s="98" t="s">
        <v>2313</v>
      </c>
      <c r="D840" s="92" t="s">
        <v>2314</v>
      </c>
      <c r="E840" s="90" t="s">
        <v>16</v>
      </c>
      <c r="F840" s="99">
        <v>1</v>
      </c>
      <c r="G840" s="94">
        <v>9800</v>
      </c>
      <c r="H840" s="94">
        <v>0</v>
      </c>
      <c r="I840" s="95">
        <v>9800</v>
      </c>
      <c r="J840" s="95">
        <v>9800</v>
      </c>
      <c r="K840" s="95">
        <v>0</v>
      </c>
      <c r="L840" s="95">
        <v>9800</v>
      </c>
      <c r="M840" s="96">
        <v>0.27529999999999999</v>
      </c>
      <c r="N840" s="95">
        <v>12497.94</v>
      </c>
      <c r="O840" s="95">
        <v>0</v>
      </c>
      <c r="P840" s="95">
        <v>12497.94</v>
      </c>
      <c r="Q840" s="95">
        <v>12497.94</v>
      </c>
      <c r="R840" s="95">
        <v>0</v>
      </c>
      <c r="S840" s="95">
        <v>12497.94</v>
      </c>
    </row>
    <row r="841" spans="1:19" ht="15" x14ac:dyDescent="0.25">
      <c r="A841" s="90" t="s">
        <v>2315</v>
      </c>
      <c r="B841" s="90" t="s">
        <v>95</v>
      </c>
      <c r="C841" s="98" t="s">
        <v>2316</v>
      </c>
      <c r="D841" s="92" t="s">
        <v>2317</v>
      </c>
      <c r="E841" s="90" t="s">
        <v>16</v>
      </c>
      <c r="F841" s="99">
        <v>1</v>
      </c>
      <c r="G841" s="94">
        <v>9900</v>
      </c>
      <c r="H841" s="94">
        <v>0</v>
      </c>
      <c r="I841" s="95">
        <v>9900</v>
      </c>
      <c r="J841" s="95">
        <v>9900</v>
      </c>
      <c r="K841" s="95">
        <v>0</v>
      </c>
      <c r="L841" s="95">
        <v>9900</v>
      </c>
      <c r="M841" s="96">
        <v>0.27529999999999999</v>
      </c>
      <c r="N841" s="95">
        <v>12625.47</v>
      </c>
      <c r="O841" s="95">
        <v>0</v>
      </c>
      <c r="P841" s="95">
        <v>12625.47</v>
      </c>
      <c r="Q841" s="95">
        <v>12625.47</v>
      </c>
      <c r="R841" s="95">
        <v>0</v>
      </c>
      <c r="S841" s="95">
        <v>12625.47</v>
      </c>
    </row>
    <row r="842" spans="1:19" ht="15" x14ac:dyDescent="0.25">
      <c r="A842" s="90" t="s">
        <v>2318</v>
      </c>
      <c r="B842" s="90" t="s">
        <v>95</v>
      </c>
      <c r="C842" s="98" t="s">
        <v>2319</v>
      </c>
      <c r="D842" s="92" t="s">
        <v>2320</v>
      </c>
      <c r="E842" s="90" t="s">
        <v>16</v>
      </c>
      <c r="F842" s="99">
        <v>1</v>
      </c>
      <c r="G842" s="94">
        <v>10200</v>
      </c>
      <c r="H842" s="94">
        <v>0</v>
      </c>
      <c r="I842" s="95">
        <v>10200</v>
      </c>
      <c r="J842" s="95">
        <v>10200</v>
      </c>
      <c r="K842" s="95">
        <v>0</v>
      </c>
      <c r="L842" s="95">
        <v>10200</v>
      </c>
      <c r="M842" s="96">
        <v>0.27529999999999999</v>
      </c>
      <c r="N842" s="95">
        <v>13008.06</v>
      </c>
      <c r="O842" s="95">
        <v>0</v>
      </c>
      <c r="P842" s="95">
        <v>13008.06</v>
      </c>
      <c r="Q842" s="95">
        <v>13008.06</v>
      </c>
      <c r="R842" s="95">
        <v>0</v>
      </c>
      <c r="S842" s="95">
        <v>13008.06</v>
      </c>
    </row>
    <row r="843" spans="1:19" ht="15" x14ac:dyDescent="0.25">
      <c r="A843" s="90" t="s">
        <v>2321</v>
      </c>
      <c r="B843" s="90" t="s">
        <v>95</v>
      </c>
      <c r="C843" s="98" t="s">
        <v>2322</v>
      </c>
      <c r="D843" s="92" t="s">
        <v>2323</v>
      </c>
      <c r="E843" s="90" t="s">
        <v>16</v>
      </c>
      <c r="F843" s="99">
        <v>1</v>
      </c>
      <c r="G843" s="94">
        <v>10400</v>
      </c>
      <c r="H843" s="94">
        <v>0</v>
      </c>
      <c r="I843" s="95">
        <v>10400</v>
      </c>
      <c r="J843" s="95">
        <v>10400</v>
      </c>
      <c r="K843" s="95">
        <v>0</v>
      </c>
      <c r="L843" s="95">
        <v>10400</v>
      </c>
      <c r="M843" s="96">
        <v>0.27529999999999999</v>
      </c>
      <c r="N843" s="95">
        <v>13263.12</v>
      </c>
      <c r="O843" s="95">
        <v>0</v>
      </c>
      <c r="P843" s="95">
        <v>13263.12</v>
      </c>
      <c r="Q843" s="95">
        <v>13263.12</v>
      </c>
      <c r="R843" s="95">
        <v>0</v>
      </c>
      <c r="S843" s="95">
        <v>13263.12</v>
      </c>
    </row>
    <row r="844" spans="1:19" ht="15" x14ac:dyDescent="0.25">
      <c r="A844" s="90" t="s">
        <v>2324</v>
      </c>
      <c r="B844" s="90" t="s">
        <v>95</v>
      </c>
      <c r="C844" s="98" t="s">
        <v>2325</v>
      </c>
      <c r="D844" s="92" t="s">
        <v>2326</v>
      </c>
      <c r="E844" s="90" t="s">
        <v>16</v>
      </c>
      <c r="F844" s="99">
        <v>1</v>
      </c>
      <c r="G844" s="94">
        <v>10700</v>
      </c>
      <c r="H844" s="94">
        <v>0</v>
      </c>
      <c r="I844" s="95">
        <v>10700</v>
      </c>
      <c r="J844" s="95">
        <v>10700</v>
      </c>
      <c r="K844" s="95">
        <v>0</v>
      </c>
      <c r="L844" s="95">
        <v>10700</v>
      </c>
      <c r="M844" s="96">
        <v>0.27529999999999999</v>
      </c>
      <c r="N844" s="95">
        <v>13645.71</v>
      </c>
      <c r="O844" s="95">
        <v>0</v>
      </c>
      <c r="P844" s="95">
        <v>13645.71</v>
      </c>
      <c r="Q844" s="95">
        <v>13645.71</v>
      </c>
      <c r="R844" s="95">
        <v>0</v>
      </c>
      <c r="S844" s="95">
        <v>13645.71</v>
      </c>
    </row>
    <row r="845" spans="1:19" ht="15" x14ac:dyDescent="0.25">
      <c r="A845" s="90" t="s">
        <v>2327</v>
      </c>
      <c r="B845" s="90" t="s">
        <v>95</v>
      </c>
      <c r="C845" s="98" t="s">
        <v>2328</v>
      </c>
      <c r="D845" s="92" t="s">
        <v>2329</v>
      </c>
      <c r="E845" s="90" t="s">
        <v>16</v>
      </c>
      <c r="F845" s="99">
        <v>1</v>
      </c>
      <c r="G845" s="94">
        <v>10300</v>
      </c>
      <c r="H845" s="94">
        <v>0</v>
      </c>
      <c r="I845" s="95">
        <v>10300</v>
      </c>
      <c r="J845" s="95">
        <v>10300</v>
      </c>
      <c r="K845" s="95">
        <v>0</v>
      </c>
      <c r="L845" s="95">
        <v>10300</v>
      </c>
      <c r="M845" s="96">
        <v>0.27529999999999999</v>
      </c>
      <c r="N845" s="95">
        <v>13135.59</v>
      </c>
      <c r="O845" s="95">
        <v>0</v>
      </c>
      <c r="P845" s="95">
        <v>13135.59</v>
      </c>
      <c r="Q845" s="95">
        <v>13135.59</v>
      </c>
      <c r="R845" s="95">
        <v>0</v>
      </c>
      <c r="S845" s="95">
        <v>13135.59</v>
      </c>
    </row>
    <row r="846" spans="1:19" ht="15" x14ac:dyDescent="0.25">
      <c r="A846" s="90" t="s">
        <v>2330</v>
      </c>
      <c r="B846" s="90" t="s">
        <v>95</v>
      </c>
      <c r="C846" s="98" t="s">
        <v>2331</v>
      </c>
      <c r="D846" s="92" t="s">
        <v>2332</v>
      </c>
      <c r="E846" s="90" t="s">
        <v>16</v>
      </c>
      <c r="F846" s="99">
        <v>1</v>
      </c>
      <c r="G846" s="94">
        <v>5500</v>
      </c>
      <c r="H846" s="94">
        <v>0</v>
      </c>
      <c r="I846" s="95">
        <v>5500</v>
      </c>
      <c r="J846" s="95">
        <v>5500</v>
      </c>
      <c r="K846" s="95">
        <v>0</v>
      </c>
      <c r="L846" s="95">
        <v>5500</v>
      </c>
      <c r="M846" s="96">
        <v>0.27529999999999999</v>
      </c>
      <c r="N846" s="95">
        <v>7014.15</v>
      </c>
      <c r="O846" s="95">
        <v>0</v>
      </c>
      <c r="P846" s="95">
        <v>7014.15</v>
      </c>
      <c r="Q846" s="95">
        <v>7014.15</v>
      </c>
      <c r="R846" s="95">
        <v>0</v>
      </c>
      <c r="S846" s="95">
        <v>7014.15</v>
      </c>
    </row>
    <row r="847" spans="1:19" ht="15" x14ac:dyDescent="0.25">
      <c r="A847" s="90" t="s">
        <v>2333</v>
      </c>
      <c r="B847" s="90" t="s">
        <v>95</v>
      </c>
      <c r="C847" s="98" t="s">
        <v>2334</v>
      </c>
      <c r="D847" s="92" t="s">
        <v>2335</v>
      </c>
      <c r="E847" s="90" t="s">
        <v>16</v>
      </c>
      <c r="F847" s="99">
        <v>1</v>
      </c>
      <c r="G847" s="94">
        <v>62000</v>
      </c>
      <c r="H847" s="94">
        <v>0</v>
      </c>
      <c r="I847" s="95">
        <v>62000</v>
      </c>
      <c r="J847" s="95">
        <v>62000</v>
      </c>
      <c r="K847" s="95">
        <v>0</v>
      </c>
      <c r="L847" s="95">
        <v>62000</v>
      </c>
      <c r="M847" s="96">
        <v>0.27529999999999999</v>
      </c>
      <c r="N847" s="95">
        <v>79068.600000000006</v>
      </c>
      <c r="O847" s="95">
        <v>0</v>
      </c>
      <c r="P847" s="95">
        <v>79068.600000000006</v>
      </c>
      <c r="Q847" s="95">
        <v>79068.600000000006</v>
      </c>
      <c r="R847" s="95">
        <v>0</v>
      </c>
      <c r="S847" s="95">
        <v>79068.600000000006</v>
      </c>
    </row>
    <row r="848" spans="1:19" ht="15" x14ac:dyDescent="0.25">
      <c r="A848" s="90" t="s">
        <v>2336</v>
      </c>
      <c r="B848" s="90" t="s">
        <v>95</v>
      </c>
      <c r="C848" s="98" t="s">
        <v>2337</v>
      </c>
      <c r="D848" s="92" t="s">
        <v>2338</v>
      </c>
      <c r="E848" s="90" t="s">
        <v>16</v>
      </c>
      <c r="F848" s="99">
        <v>1</v>
      </c>
      <c r="G848" s="94">
        <v>10700</v>
      </c>
      <c r="H848" s="94">
        <v>0</v>
      </c>
      <c r="I848" s="95">
        <v>10700</v>
      </c>
      <c r="J848" s="95">
        <v>10700</v>
      </c>
      <c r="K848" s="95">
        <v>0</v>
      </c>
      <c r="L848" s="95">
        <v>10700</v>
      </c>
      <c r="M848" s="96">
        <v>0.27529999999999999</v>
      </c>
      <c r="N848" s="95">
        <v>13645.71</v>
      </c>
      <c r="O848" s="95">
        <v>0</v>
      </c>
      <c r="P848" s="95">
        <v>13645.71</v>
      </c>
      <c r="Q848" s="95">
        <v>13645.71</v>
      </c>
      <c r="R848" s="95">
        <v>0</v>
      </c>
      <c r="S848" s="95">
        <v>13645.71</v>
      </c>
    </row>
    <row r="849" spans="1:19" ht="15" x14ac:dyDescent="0.25">
      <c r="A849" s="90" t="s">
        <v>2339</v>
      </c>
      <c r="B849" s="90" t="s">
        <v>95</v>
      </c>
      <c r="C849" s="98" t="s">
        <v>2340</v>
      </c>
      <c r="D849" s="92" t="s">
        <v>2341</v>
      </c>
      <c r="E849" s="90" t="s">
        <v>16</v>
      </c>
      <c r="F849" s="99">
        <v>1</v>
      </c>
      <c r="G849" s="94">
        <v>75100</v>
      </c>
      <c r="H849" s="94">
        <v>0</v>
      </c>
      <c r="I849" s="95">
        <v>75100</v>
      </c>
      <c r="J849" s="95">
        <v>75100</v>
      </c>
      <c r="K849" s="95">
        <v>0</v>
      </c>
      <c r="L849" s="95">
        <v>75100</v>
      </c>
      <c r="M849" s="96">
        <v>0.27529999999999999</v>
      </c>
      <c r="N849" s="95">
        <v>95775.03</v>
      </c>
      <c r="O849" s="95">
        <v>0</v>
      </c>
      <c r="P849" s="95">
        <v>95775.03</v>
      </c>
      <c r="Q849" s="95">
        <v>95775.03</v>
      </c>
      <c r="R849" s="95">
        <v>0</v>
      </c>
      <c r="S849" s="95">
        <v>95775.03</v>
      </c>
    </row>
    <row r="850" spans="1:19" ht="15" x14ac:dyDescent="0.25">
      <c r="A850" s="90" t="s">
        <v>2342</v>
      </c>
      <c r="B850" s="90" t="s">
        <v>95</v>
      </c>
      <c r="C850" s="98" t="s">
        <v>2343</v>
      </c>
      <c r="D850" s="92" t="s">
        <v>2344</v>
      </c>
      <c r="E850" s="90" t="s">
        <v>16</v>
      </c>
      <c r="F850" s="99">
        <v>1</v>
      </c>
      <c r="G850" s="94">
        <v>64000</v>
      </c>
      <c r="H850" s="94">
        <v>0</v>
      </c>
      <c r="I850" s="95">
        <v>64000</v>
      </c>
      <c r="J850" s="95">
        <v>64000</v>
      </c>
      <c r="K850" s="95">
        <v>0</v>
      </c>
      <c r="L850" s="95">
        <v>64000</v>
      </c>
      <c r="M850" s="96">
        <v>0.27529999999999999</v>
      </c>
      <c r="N850" s="95">
        <v>81619.199999999997</v>
      </c>
      <c r="O850" s="95">
        <v>0</v>
      </c>
      <c r="P850" s="95">
        <v>81619.199999999997</v>
      </c>
      <c r="Q850" s="95">
        <v>81619.199999999997</v>
      </c>
      <c r="R850" s="95">
        <v>0</v>
      </c>
      <c r="S850" s="95">
        <v>81619.199999999997</v>
      </c>
    </row>
    <row r="851" spans="1:19" ht="15" x14ac:dyDescent="0.25">
      <c r="A851" s="90" t="s">
        <v>2345</v>
      </c>
      <c r="B851" s="90" t="s">
        <v>95</v>
      </c>
      <c r="C851" s="98" t="s">
        <v>2346</v>
      </c>
      <c r="D851" s="92" t="s">
        <v>2347</v>
      </c>
      <c r="E851" s="90" t="s">
        <v>16</v>
      </c>
      <c r="F851" s="99">
        <v>1</v>
      </c>
      <c r="G851" s="94">
        <v>21000</v>
      </c>
      <c r="H851" s="94">
        <v>0</v>
      </c>
      <c r="I851" s="95">
        <v>21000</v>
      </c>
      <c r="J851" s="95">
        <v>21000</v>
      </c>
      <c r="K851" s="95">
        <v>0</v>
      </c>
      <c r="L851" s="95">
        <v>21000</v>
      </c>
      <c r="M851" s="96">
        <v>0.27529999999999999</v>
      </c>
      <c r="N851" s="95">
        <v>26781.3</v>
      </c>
      <c r="O851" s="95">
        <v>0</v>
      </c>
      <c r="P851" s="95">
        <v>26781.3</v>
      </c>
      <c r="Q851" s="95">
        <v>26781.3</v>
      </c>
      <c r="R851" s="95">
        <v>0</v>
      </c>
      <c r="S851" s="95">
        <v>26781.3</v>
      </c>
    </row>
    <row r="852" spans="1:19" ht="15" x14ac:dyDescent="0.25">
      <c r="A852" s="90" t="s">
        <v>2348</v>
      </c>
      <c r="B852" s="90" t="s">
        <v>95</v>
      </c>
      <c r="C852" s="98" t="s">
        <v>2349</v>
      </c>
      <c r="D852" s="92" t="s">
        <v>2350</v>
      </c>
      <c r="E852" s="90" t="s">
        <v>16</v>
      </c>
      <c r="F852" s="99">
        <v>1</v>
      </c>
      <c r="G852" s="94">
        <v>11800</v>
      </c>
      <c r="H852" s="94">
        <v>0</v>
      </c>
      <c r="I852" s="95">
        <v>11800</v>
      </c>
      <c r="J852" s="95">
        <v>11800</v>
      </c>
      <c r="K852" s="95">
        <v>0</v>
      </c>
      <c r="L852" s="95">
        <v>11800</v>
      </c>
      <c r="M852" s="96">
        <v>0.27529999999999999</v>
      </c>
      <c r="N852" s="95">
        <v>15048.54</v>
      </c>
      <c r="O852" s="95">
        <v>0</v>
      </c>
      <c r="P852" s="95">
        <v>15048.54</v>
      </c>
      <c r="Q852" s="95">
        <v>15048.54</v>
      </c>
      <c r="R852" s="95">
        <v>0</v>
      </c>
      <c r="S852" s="95">
        <v>15048.54</v>
      </c>
    </row>
    <row r="853" spans="1:19" ht="15" x14ac:dyDescent="0.25">
      <c r="A853" s="90" t="s">
        <v>2351</v>
      </c>
      <c r="B853" s="90" t="s">
        <v>95</v>
      </c>
      <c r="C853" s="98" t="s">
        <v>2352</v>
      </c>
      <c r="D853" s="92" t="s">
        <v>2353</v>
      </c>
      <c r="E853" s="90" t="s">
        <v>16</v>
      </c>
      <c r="F853" s="99">
        <v>1</v>
      </c>
      <c r="G853" s="94">
        <v>48300</v>
      </c>
      <c r="H853" s="94">
        <v>0</v>
      </c>
      <c r="I853" s="95">
        <v>48300</v>
      </c>
      <c r="J853" s="95">
        <v>48300</v>
      </c>
      <c r="K853" s="95">
        <v>0</v>
      </c>
      <c r="L853" s="95">
        <v>48300</v>
      </c>
      <c r="M853" s="96">
        <v>0.27529999999999999</v>
      </c>
      <c r="N853" s="95">
        <v>61596.99</v>
      </c>
      <c r="O853" s="95">
        <v>0</v>
      </c>
      <c r="P853" s="95">
        <v>61596.99</v>
      </c>
      <c r="Q853" s="95">
        <v>61596.99</v>
      </c>
      <c r="R853" s="95">
        <v>0</v>
      </c>
      <c r="S853" s="95">
        <v>61596.99</v>
      </c>
    </row>
    <row r="854" spans="1:19" ht="15" x14ac:dyDescent="0.25">
      <c r="A854" s="90" t="s">
        <v>2354</v>
      </c>
      <c r="B854" s="90" t="s">
        <v>95</v>
      </c>
      <c r="C854" s="98" t="s">
        <v>2355</v>
      </c>
      <c r="D854" s="92" t="s">
        <v>2356</v>
      </c>
      <c r="E854" s="90" t="s">
        <v>16</v>
      </c>
      <c r="F854" s="99">
        <v>1</v>
      </c>
      <c r="G854" s="94">
        <v>9700</v>
      </c>
      <c r="H854" s="94">
        <v>0</v>
      </c>
      <c r="I854" s="95">
        <v>9700</v>
      </c>
      <c r="J854" s="95">
        <v>9700</v>
      </c>
      <c r="K854" s="95">
        <v>0</v>
      </c>
      <c r="L854" s="95">
        <v>9700</v>
      </c>
      <c r="M854" s="96">
        <v>0.27529999999999999</v>
      </c>
      <c r="N854" s="95">
        <v>12370.41</v>
      </c>
      <c r="O854" s="95">
        <v>0</v>
      </c>
      <c r="P854" s="95">
        <v>12370.41</v>
      </c>
      <c r="Q854" s="95">
        <v>12370.41</v>
      </c>
      <c r="R854" s="95">
        <v>0</v>
      </c>
      <c r="S854" s="95">
        <v>12370.41</v>
      </c>
    </row>
    <row r="855" spans="1:19" ht="15" x14ac:dyDescent="0.25">
      <c r="A855" s="90" t="s">
        <v>2357</v>
      </c>
      <c r="B855" s="90" t="s">
        <v>95</v>
      </c>
      <c r="C855" s="98" t="s">
        <v>2358</v>
      </c>
      <c r="D855" s="92" t="s">
        <v>2359</v>
      </c>
      <c r="E855" s="90" t="s">
        <v>16</v>
      </c>
      <c r="F855" s="99">
        <v>1</v>
      </c>
      <c r="G855" s="94">
        <v>13800</v>
      </c>
      <c r="H855" s="94">
        <v>0</v>
      </c>
      <c r="I855" s="95">
        <v>13800</v>
      </c>
      <c r="J855" s="95">
        <v>13800</v>
      </c>
      <c r="K855" s="95">
        <v>0</v>
      </c>
      <c r="L855" s="95">
        <v>13800</v>
      </c>
      <c r="M855" s="96">
        <v>0.27529999999999999</v>
      </c>
      <c r="N855" s="95">
        <v>17599.14</v>
      </c>
      <c r="O855" s="95">
        <v>0</v>
      </c>
      <c r="P855" s="95">
        <v>17599.14</v>
      </c>
      <c r="Q855" s="95">
        <v>17599.14</v>
      </c>
      <c r="R855" s="95">
        <v>0</v>
      </c>
      <c r="S855" s="95">
        <v>17599.14</v>
      </c>
    </row>
    <row r="856" spans="1:19" ht="15" x14ac:dyDescent="0.25">
      <c r="A856" s="90" t="s">
        <v>2360</v>
      </c>
      <c r="B856" s="90" t="s">
        <v>95</v>
      </c>
      <c r="C856" s="98" t="s">
        <v>2361</v>
      </c>
      <c r="D856" s="92" t="s">
        <v>2362</v>
      </c>
      <c r="E856" s="90" t="s">
        <v>16</v>
      </c>
      <c r="F856" s="99">
        <v>1</v>
      </c>
      <c r="G856" s="94">
        <v>18760</v>
      </c>
      <c r="H856" s="94">
        <v>0</v>
      </c>
      <c r="I856" s="95">
        <v>18760</v>
      </c>
      <c r="J856" s="95">
        <v>18760</v>
      </c>
      <c r="K856" s="95">
        <v>0</v>
      </c>
      <c r="L856" s="95">
        <v>18760</v>
      </c>
      <c r="M856" s="96">
        <v>0.27529999999999999</v>
      </c>
      <c r="N856" s="95">
        <v>23924.63</v>
      </c>
      <c r="O856" s="95">
        <v>0</v>
      </c>
      <c r="P856" s="95">
        <v>23924.63</v>
      </c>
      <c r="Q856" s="95">
        <v>23924.63</v>
      </c>
      <c r="R856" s="95">
        <v>0</v>
      </c>
      <c r="S856" s="95">
        <v>23924.63</v>
      </c>
    </row>
    <row r="857" spans="1:19" ht="15" x14ac:dyDescent="0.25">
      <c r="A857" s="90" t="s">
        <v>2363</v>
      </c>
      <c r="B857" s="90" t="s">
        <v>95</v>
      </c>
      <c r="C857" s="98" t="s">
        <v>2364</v>
      </c>
      <c r="D857" s="92" t="s">
        <v>2365</v>
      </c>
      <c r="E857" s="90" t="s">
        <v>16</v>
      </c>
      <c r="F857" s="99">
        <v>1</v>
      </c>
      <c r="G857" s="94">
        <v>6200</v>
      </c>
      <c r="H857" s="94">
        <v>0</v>
      </c>
      <c r="I857" s="95">
        <v>6200</v>
      </c>
      <c r="J857" s="95">
        <v>6200</v>
      </c>
      <c r="K857" s="95">
        <v>0</v>
      </c>
      <c r="L857" s="95">
        <v>6200</v>
      </c>
      <c r="M857" s="96">
        <v>0.27529999999999999</v>
      </c>
      <c r="N857" s="95">
        <v>7906.86</v>
      </c>
      <c r="O857" s="95">
        <v>0</v>
      </c>
      <c r="P857" s="95">
        <v>7906.86</v>
      </c>
      <c r="Q857" s="95">
        <v>7906.86</v>
      </c>
      <c r="R857" s="95">
        <v>0</v>
      </c>
      <c r="S857" s="95">
        <v>7906.86</v>
      </c>
    </row>
    <row r="858" spans="1:19" ht="15" x14ac:dyDescent="0.25">
      <c r="A858" s="90" t="s">
        <v>2366</v>
      </c>
      <c r="B858" s="90" t="s">
        <v>95</v>
      </c>
      <c r="C858" s="98" t="s">
        <v>2367</v>
      </c>
      <c r="D858" s="92" t="s">
        <v>2368</v>
      </c>
      <c r="E858" s="90" t="s">
        <v>16</v>
      </c>
      <c r="F858" s="99">
        <v>1</v>
      </c>
      <c r="G858" s="94">
        <v>6200</v>
      </c>
      <c r="H858" s="94">
        <v>0</v>
      </c>
      <c r="I858" s="95">
        <v>6200</v>
      </c>
      <c r="J858" s="95">
        <v>6200</v>
      </c>
      <c r="K858" s="95">
        <v>0</v>
      </c>
      <c r="L858" s="95">
        <v>6200</v>
      </c>
      <c r="M858" s="96">
        <v>0.27529999999999999</v>
      </c>
      <c r="N858" s="95">
        <v>7906.86</v>
      </c>
      <c r="O858" s="95">
        <v>0</v>
      </c>
      <c r="P858" s="95">
        <v>7906.86</v>
      </c>
      <c r="Q858" s="95">
        <v>7906.86</v>
      </c>
      <c r="R858" s="95">
        <v>0</v>
      </c>
      <c r="S858" s="95">
        <v>7906.86</v>
      </c>
    </row>
    <row r="859" spans="1:19" ht="15" x14ac:dyDescent="0.25">
      <c r="A859" s="90" t="s">
        <v>2369</v>
      </c>
      <c r="B859" s="90" t="s">
        <v>95</v>
      </c>
      <c r="C859" s="98" t="s">
        <v>2370</v>
      </c>
      <c r="D859" s="92" t="s">
        <v>2371</v>
      </c>
      <c r="E859" s="90" t="s">
        <v>16</v>
      </c>
      <c r="F859" s="99">
        <v>1</v>
      </c>
      <c r="G859" s="94">
        <v>6200</v>
      </c>
      <c r="H859" s="94">
        <v>0</v>
      </c>
      <c r="I859" s="95">
        <v>6200</v>
      </c>
      <c r="J859" s="95">
        <v>6200</v>
      </c>
      <c r="K859" s="95">
        <v>0</v>
      </c>
      <c r="L859" s="95">
        <v>6200</v>
      </c>
      <c r="M859" s="96">
        <v>0.27529999999999999</v>
      </c>
      <c r="N859" s="95">
        <v>7906.86</v>
      </c>
      <c r="O859" s="95">
        <v>0</v>
      </c>
      <c r="P859" s="95">
        <v>7906.86</v>
      </c>
      <c r="Q859" s="95">
        <v>7906.86</v>
      </c>
      <c r="R859" s="95">
        <v>0</v>
      </c>
      <c r="S859" s="95">
        <v>7906.86</v>
      </c>
    </row>
    <row r="860" spans="1:19" ht="15" x14ac:dyDescent="0.25">
      <c r="A860" s="90" t="s">
        <v>2372</v>
      </c>
      <c r="B860" s="90" t="s">
        <v>95</v>
      </c>
      <c r="C860" s="98" t="s">
        <v>2373</v>
      </c>
      <c r="D860" s="92" t="s">
        <v>2374</v>
      </c>
      <c r="E860" s="90" t="s">
        <v>16</v>
      </c>
      <c r="F860" s="99">
        <v>1</v>
      </c>
      <c r="G860" s="94">
        <v>6200</v>
      </c>
      <c r="H860" s="94">
        <v>0</v>
      </c>
      <c r="I860" s="95">
        <v>6200</v>
      </c>
      <c r="J860" s="95">
        <v>6200</v>
      </c>
      <c r="K860" s="95">
        <v>0</v>
      </c>
      <c r="L860" s="95">
        <v>6200</v>
      </c>
      <c r="M860" s="96">
        <v>0.27529999999999999</v>
      </c>
      <c r="N860" s="95">
        <v>7906.86</v>
      </c>
      <c r="O860" s="95">
        <v>0</v>
      </c>
      <c r="P860" s="95">
        <v>7906.86</v>
      </c>
      <c r="Q860" s="95">
        <v>7906.86</v>
      </c>
      <c r="R860" s="95">
        <v>0</v>
      </c>
      <c r="S860" s="95">
        <v>7906.86</v>
      </c>
    </row>
    <row r="861" spans="1:19" ht="15" x14ac:dyDescent="0.25">
      <c r="A861" s="90" t="s">
        <v>2375</v>
      </c>
      <c r="B861" s="90" t="s">
        <v>95</v>
      </c>
      <c r="C861" s="98" t="s">
        <v>2376</v>
      </c>
      <c r="D861" s="92" t="s">
        <v>2377</v>
      </c>
      <c r="E861" s="90" t="s">
        <v>16</v>
      </c>
      <c r="F861" s="99">
        <v>1</v>
      </c>
      <c r="G861" s="94">
        <v>6200</v>
      </c>
      <c r="H861" s="94">
        <v>0</v>
      </c>
      <c r="I861" s="95">
        <v>6200</v>
      </c>
      <c r="J861" s="95">
        <v>6200</v>
      </c>
      <c r="K861" s="95">
        <v>0</v>
      </c>
      <c r="L861" s="95">
        <v>6200</v>
      </c>
      <c r="M861" s="96">
        <v>0.27529999999999999</v>
      </c>
      <c r="N861" s="95">
        <v>7906.86</v>
      </c>
      <c r="O861" s="95">
        <v>0</v>
      </c>
      <c r="P861" s="95">
        <v>7906.86</v>
      </c>
      <c r="Q861" s="95">
        <v>7906.86</v>
      </c>
      <c r="R861" s="95">
        <v>0</v>
      </c>
      <c r="S861" s="95">
        <v>7906.86</v>
      </c>
    </row>
    <row r="862" spans="1:19" ht="15" x14ac:dyDescent="0.25">
      <c r="A862" s="90" t="s">
        <v>2378</v>
      </c>
      <c r="B862" s="90" t="s">
        <v>95</v>
      </c>
      <c r="C862" s="98" t="s">
        <v>2379</v>
      </c>
      <c r="D862" s="92" t="s">
        <v>2380</v>
      </c>
      <c r="E862" s="90" t="s">
        <v>16</v>
      </c>
      <c r="F862" s="99">
        <v>1</v>
      </c>
      <c r="G862" s="94">
        <v>6200</v>
      </c>
      <c r="H862" s="94">
        <v>0</v>
      </c>
      <c r="I862" s="95">
        <v>6200</v>
      </c>
      <c r="J862" s="95">
        <v>6200</v>
      </c>
      <c r="K862" s="95">
        <v>0</v>
      </c>
      <c r="L862" s="95">
        <v>6200</v>
      </c>
      <c r="M862" s="96">
        <v>0.27529999999999999</v>
      </c>
      <c r="N862" s="95">
        <v>7906.86</v>
      </c>
      <c r="O862" s="95">
        <v>0</v>
      </c>
      <c r="P862" s="95">
        <v>7906.86</v>
      </c>
      <c r="Q862" s="95">
        <v>7906.86</v>
      </c>
      <c r="R862" s="95">
        <v>0</v>
      </c>
      <c r="S862" s="95">
        <v>7906.86</v>
      </c>
    </row>
    <row r="863" spans="1:19" ht="15" x14ac:dyDescent="0.25">
      <c r="A863" s="90" t="s">
        <v>2381</v>
      </c>
      <c r="B863" s="90" t="s">
        <v>95</v>
      </c>
      <c r="C863" s="98" t="s">
        <v>2382</v>
      </c>
      <c r="D863" s="92" t="s">
        <v>2383</v>
      </c>
      <c r="E863" s="90" t="s">
        <v>16</v>
      </c>
      <c r="F863" s="99">
        <v>1</v>
      </c>
      <c r="G863" s="94">
        <v>6200</v>
      </c>
      <c r="H863" s="94">
        <v>0</v>
      </c>
      <c r="I863" s="95">
        <v>6200</v>
      </c>
      <c r="J863" s="95">
        <v>6200</v>
      </c>
      <c r="K863" s="95">
        <v>0</v>
      </c>
      <c r="L863" s="95">
        <v>6200</v>
      </c>
      <c r="M863" s="96">
        <v>0.27529999999999999</v>
      </c>
      <c r="N863" s="95">
        <v>7906.86</v>
      </c>
      <c r="O863" s="95">
        <v>0</v>
      </c>
      <c r="P863" s="95">
        <v>7906.86</v>
      </c>
      <c r="Q863" s="95">
        <v>7906.86</v>
      </c>
      <c r="R863" s="95">
        <v>0</v>
      </c>
      <c r="S863" s="95">
        <v>7906.86</v>
      </c>
    </row>
    <row r="864" spans="1:19" ht="15" x14ac:dyDescent="0.25">
      <c r="A864" s="90" t="s">
        <v>2384</v>
      </c>
      <c r="B864" s="90" t="s">
        <v>95</v>
      </c>
      <c r="C864" s="98" t="s">
        <v>2385</v>
      </c>
      <c r="D864" s="92" t="s">
        <v>2386</v>
      </c>
      <c r="E864" s="90" t="s">
        <v>16</v>
      </c>
      <c r="F864" s="99">
        <v>1</v>
      </c>
      <c r="G864" s="94">
        <v>6200</v>
      </c>
      <c r="H864" s="94">
        <v>0</v>
      </c>
      <c r="I864" s="95">
        <v>6200</v>
      </c>
      <c r="J864" s="95">
        <v>6200</v>
      </c>
      <c r="K864" s="95">
        <v>0</v>
      </c>
      <c r="L864" s="95">
        <v>6200</v>
      </c>
      <c r="M864" s="96">
        <v>0.27529999999999999</v>
      </c>
      <c r="N864" s="95">
        <v>7906.86</v>
      </c>
      <c r="O864" s="95">
        <v>0</v>
      </c>
      <c r="P864" s="95">
        <v>7906.86</v>
      </c>
      <c r="Q864" s="95">
        <v>7906.86</v>
      </c>
      <c r="R864" s="95">
        <v>0</v>
      </c>
      <c r="S864" s="95">
        <v>7906.86</v>
      </c>
    </row>
    <row r="865" spans="1:19" ht="15" x14ac:dyDescent="0.25">
      <c r="A865" s="90" t="s">
        <v>2387</v>
      </c>
      <c r="B865" s="90" t="s">
        <v>95</v>
      </c>
      <c r="C865" s="98" t="s">
        <v>2388</v>
      </c>
      <c r="D865" s="92" t="s">
        <v>2389</v>
      </c>
      <c r="E865" s="90" t="s">
        <v>16</v>
      </c>
      <c r="F865" s="99">
        <v>1</v>
      </c>
      <c r="G865" s="94">
        <v>18900</v>
      </c>
      <c r="H865" s="94">
        <v>0</v>
      </c>
      <c r="I865" s="95">
        <v>18900</v>
      </c>
      <c r="J865" s="95">
        <v>18900</v>
      </c>
      <c r="K865" s="95">
        <v>0</v>
      </c>
      <c r="L865" s="95">
        <v>18900</v>
      </c>
      <c r="M865" s="96">
        <v>0.27529999999999999</v>
      </c>
      <c r="N865" s="95">
        <v>24103.17</v>
      </c>
      <c r="O865" s="95">
        <v>0</v>
      </c>
      <c r="P865" s="95">
        <v>24103.17</v>
      </c>
      <c r="Q865" s="95">
        <v>24103.17</v>
      </c>
      <c r="R865" s="95">
        <v>0</v>
      </c>
      <c r="S865" s="95">
        <v>24103.17</v>
      </c>
    </row>
    <row r="866" spans="1:19" ht="15" x14ac:dyDescent="0.25">
      <c r="A866" s="90" t="s">
        <v>2390</v>
      </c>
      <c r="B866" s="90" t="s">
        <v>95</v>
      </c>
      <c r="C866" s="98" t="s">
        <v>2391</v>
      </c>
      <c r="D866" s="92" t="s">
        <v>2392</v>
      </c>
      <c r="E866" s="90" t="s">
        <v>16</v>
      </c>
      <c r="F866" s="99">
        <v>1</v>
      </c>
      <c r="G866" s="94">
        <v>15700</v>
      </c>
      <c r="H866" s="94">
        <v>0</v>
      </c>
      <c r="I866" s="95">
        <v>15700</v>
      </c>
      <c r="J866" s="95">
        <v>15700</v>
      </c>
      <c r="K866" s="95">
        <v>0</v>
      </c>
      <c r="L866" s="95">
        <v>15700</v>
      </c>
      <c r="M866" s="96">
        <v>0.27529999999999999</v>
      </c>
      <c r="N866" s="95">
        <v>20022.21</v>
      </c>
      <c r="O866" s="95">
        <v>0</v>
      </c>
      <c r="P866" s="95">
        <v>20022.21</v>
      </c>
      <c r="Q866" s="95">
        <v>20022.21</v>
      </c>
      <c r="R866" s="95">
        <v>0</v>
      </c>
      <c r="S866" s="95">
        <v>20022.21</v>
      </c>
    </row>
    <row r="867" spans="1:19" ht="15" x14ac:dyDescent="0.25">
      <c r="A867" s="90" t="s">
        <v>2393</v>
      </c>
      <c r="B867" s="90" t="s">
        <v>95</v>
      </c>
      <c r="C867" s="98" t="s">
        <v>2394</v>
      </c>
      <c r="D867" s="92" t="s">
        <v>2395</v>
      </c>
      <c r="E867" s="90" t="s">
        <v>16</v>
      </c>
      <c r="F867" s="99">
        <v>1</v>
      </c>
      <c r="G867" s="94">
        <v>37300</v>
      </c>
      <c r="H867" s="94">
        <v>0</v>
      </c>
      <c r="I867" s="95">
        <v>37300</v>
      </c>
      <c r="J867" s="95">
        <v>37300</v>
      </c>
      <c r="K867" s="95">
        <v>0</v>
      </c>
      <c r="L867" s="95">
        <v>37300</v>
      </c>
      <c r="M867" s="96">
        <v>0.27529999999999999</v>
      </c>
      <c r="N867" s="95">
        <v>47568.69</v>
      </c>
      <c r="O867" s="95">
        <v>0</v>
      </c>
      <c r="P867" s="95">
        <v>47568.69</v>
      </c>
      <c r="Q867" s="95">
        <v>47568.69</v>
      </c>
      <c r="R867" s="95">
        <v>0</v>
      </c>
      <c r="S867" s="95">
        <v>47568.69</v>
      </c>
    </row>
    <row r="868" spans="1:19" ht="15" x14ac:dyDescent="0.25">
      <c r="A868" s="90" t="s">
        <v>2396</v>
      </c>
      <c r="B868" s="90" t="s">
        <v>95</v>
      </c>
      <c r="C868" s="98" t="s">
        <v>2397</v>
      </c>
      <c r="D868" s="92" t="s">
        <v>2398</v>
      </c>
      <c r="E868" s="90" t="s">
        <v>16</v>
      </c>
      <c r="F868" s="99">
        <v>1</v>
      </c>
      <c r="G868" s="94">
        <v>11740</v>
      </c>
      <c r="H868" s="94">
        <v>0</v>
      </c>
      <c r="I868" s="95">
        <v>11740</v>
      </c>
      <c r="J868" s="95">
        <v>11740</v>
      </c>
      <c r="K868" s="95">
        <v>0</v>
      </c>
      <c r="L868" s="95">
        <v>11740</v>
      </c>
      <c r="M868" s="96">
        <v>0.27529999999999999</v>
      </c>
      <c r="N868" s="95">
        <v>14972.02</v>
      </c>
      <c r="O868" s="95">
        <v>0</v>
      </c>
      <c r="P868" s="95">
        <v>14972.02</v>
      </c>
      <c r="Q868" s="95">
        <v>14972.02</v>
      </c>
      <c r="R868" s="95">
        <v>0</v>
      </c>
      <c r="S868" s="95">
        <v>14972.02</v>
      </c>
    </row>
    <row r="869" spans="1:19" ht="15" x14ac:dyDescent="0.25">
      <c r="A869" s="90" t="s">
        <v>2399</v>
      </c>
      <c r="B869" s="90" t="s">
        <v>95</v>
      </c>
      <c r="C869" s="98" t="s">
        <v>2400</v>
      </c>
      <c r="D869" s="92" t="s">
        <v>2401</v>
      </c>
      <c r="E869" s="90" t="s">
        <v>16</v>
      </c>
      <c r="F869" s="99">
        <v>1</v>
      </c>
      <c r="G869" s="94">
        <v>11740</v>
      </c>
      <c r="H869" s="94">
        <v>0</v>
      </c>
      <c r="I869" s="95">
        <v>11740</v>
      </c>
      <c r="J869" s="95">
        <v>11740</v>
      </c>
      <c r="K869" s="95">
        <v>0</v>
      </c>
      <c r="L869" s="95">
        <v>11740</v>
      </c>
      <c r="M869" s="96">
        <v>0.27529999999999999</v>
      </c>
      <c r="N869" s="95">
        <v>14972.02</v>
      </c>
      <c r="O869" s="95">
        <v>0</v>
      </c>
      <c r="P869" s="95">
        <v>14972.02</v>
      </c>
      <c r="Q869" s="95">
        <v>14972.02</v>
      </c>
      <c r="R869" s="95">
        <v>0</v>
      </c>
      <c r="S869" s="95">
        <v>14972.02</v>
      </c>
    </row>
    <row r="870" spans="1:19" ht="15" x14ac:dyDescent="0.25">
      <c r="A870" s="90" t="s">
        <v>2402</v>
      </c>
      <c r="B870" s="90" t="s">
        <v>95</v>
      </c>
      <c r="C870" s="98" t="s">
        <v>2403</v>
      </c>
      <c r="D870" s="92" t="s">
        <v>2404</v>
      </c>
      <c r="E870" s="90" t="s">
        <v>16</v>
      </c>
      <c r="F870" s="99">
        <v>1</v>
      </c>
      <c r="G870" s="94">
        <v>318000</v>
      </c>
      <c r="H870" s="94">
        <v>0</v>
      </c>
      <c r="I870" s="95">
        <v>318000</v>
      </c>
      <c r="J870" s="95">
        <v>318000</v>
      </c>
      <c r="K870" s="95">
        <v>0</v>
      </c>
      <c r="L870" s="95">
        <v>318000</v>
      </c>
      <c r="M870" s="96">
        <v>0.27529999999999999</v>
      </c>
      <c r="N870" s="95">
        <v>405545.4</v>
      </c>
      <c r="O870" s="95">
        <v>0</v>
      </c>
      <c r="P870" s="95">
        <v>405545.4</v>
      </c>
      <c r="Q870" s="95">
        <v>405545.4</v>
      </c>
      <c r="R870" s="95">
        <v>0</v>
      </c>
      <c r="S870" s="95">
        <v>405545.4</v>
      </c>
    </row>
    <row r="871" spans="1:19" ht="15" x14ac:dyDescent="0.25">
      <c r="A871" s="90" t="s">
        <v>2405</v>
      </c>
      <c r="B871" s="90" t="s">
        <v>95</v>
      </c>
      <c r="C871" s="98" t="s">
        <v>2406</v>
      </c>
      <c r="D871" s="92" t="s">
        <v>2407</v>
      </c>
      <c r="E871" s="90" t="s">
        <v>16</v>
      </c>
      <c r="F871" s="99">
        <v>1</v>
      </c>
      <c r="G871" s="94">
        <v>363000</v>
      </c>
      <c r="H871" s="94">
        <v>0</v>
      </c>
      <c r="I871" s="95">
        <v>363000</v>
      </c>
      <c r="J871" s="95">
        <v>363000</v>
      </c>
      <c r="K871" s="95">
        <v>0</v>
      </c>
      <c r="L871" s="95">
        <v>363000</v>
      </c>
      <c r="M871" s="96">
        <v>0.27529999999999999</v>
      </c>
      <c r="N871" s="95">
        <v>462933.9</v>
      </c>
      <c r="O871" s="95">
        <v>0</v>
      </c>
      <c r="P871" s="95">
        <v>462933.9</v>
      </c>
      <c r="Q871" s="95">
        <v>462933.9</v>
      </c>
      <c r="R871" s="95">
        <v>0</v>
      </c>
      <c r="S871" s="95">
        <v>462933.9</v>
      </c>
    </row>
    <row r="872" spans="1:19" ht="15" x14ac:dyDescent="0.25">
      <c r="A872" s="90" t="s">
        <v>2408</v>
      </c>
      <c r="B872" s="90" t="s">
        <v>95</v>
      </c>
      <c r="C872" s="98" t="s">
        <v>2409</v>
      </c>
      <c r="D872" s="92" t="s">
        <v>2410</v>
      </c>
      <c r="E872" s="90" t="s">
        <v>16</v>
      </c>
      <c r="F872" s="99">
        <v>1</v>
      </c>
      <c r="G872" s="94">
        <v>160700</v>
      </c>
      <c r="H872" s="94">
        <v>0</v>
      </c>
      <c r="I872" s="95">
        <v>160700</v>
      </c>
      <c r="J872" s="95">
        <v>160700</v>
      </c>
      <c r="K872" s="95">
        <v>0</v>
      </c>
      <c r="L872" s="95">
        <v>160700</v>
      </c>
      <c r="M872" s="96">
        <v>0.27529999999999999</v>
      </c>
      <c r="N872" s="95">
        <v>204940.71</v>
      </c>
      <c r="O872" s="95">
        <v>0</v>
      </c>
      <c r="P872" s="95">
        <v>204940.71</v>
      </c>
      <c r="Q872" s="95">
        <v>204940.71</v>
      </c>
      <c r="R872" s="95">
        <v>0</v>
      </c>
      <c r="S872" s="95">
        <v>204940.71</v>
      </c>
    </row>
    <row r="873" spans="1:19" ht="15" x14ac:dyDescent="0.25">
      <c r="A873" s="90" t="s">
        <v>2411</v>
      </c>
      <c r="B873" s="90" t="s">
        <v>95</v>
      </c>
      <c r="C873" s="98" t="s">
        <v>2412</v>
      </c>
      <c r="D873" s="92" t="s">
        <v>2413</v>
      </c>
      <c r="E873" s="90" t="s">
        <v>16</v>
      </c>
      <c r="F873" s="99">
        <v>1</v>
      </c>
      <c r="G873" s="94">
        <v>147300</v>
      </c>
      <c r="H873" s="94">
        <v>0</v>
      </c>
      <c r="I873" s="95">
        <v>147300</v>
      </c>
      <c r="J873" s="95">
        <v>147300</v>
      </c>
      <c r="K873" s="95">
        <v>0</v>
      </c>
      <c r="L873" s="95">
        <v>147300</v>
      </c>
      <c r="M873" s="96">
        <v>0.27529999999999999</v>
      </c>
      <c r="N873" s="95">
        <v>187851.69</v>
      </c>
      <c r="O873" s="95">
        <v>0</v>
      </c>
      <c r="P873" s="95">
        <v>187851.69</v>
      </c>
      <c r="Q873" s="95">
        <v>187851.69</v>
      </c>
      <c r="R873" s="95">
        <v>0</v>
      </c>
      <c r="S873" s="95">
        <v>187851.69</v>
      </c>
    </row>
    <row r="874" spans="1:19" ht="15" x14ac:dyDescent="0.25">
      <c r="A874" s="90" t="s">
        <v>2414</v>
      </c>
      <c r="B874" s="90" t="s">
        <v>95</v>
      </c>
      <c r="C874" s="98" t="s">
        <v>2415</v>
      </c>
      <c r="D874" s="92" t="s">
        <v>2416</v>
      </c>
      <c r="E874" s="90" t="s">
        <v>16</v>
      </c>
      <c r="F874" s="99">
        <v>1</v>
      </c>
      <c r="G874" s="94">
        <v>17500</v>
      </c>
      <c r="H874" s="94">
        <v>0</v>
      </c>
      <c r="I874" s="95">
        <v>17500</v>
      </c>
      <c r="J874" s="95">
        <v>17500</v>
      </c>
      <c r="K874" s="95">
        <v>0</v>
      </c>
      <c r="L874" s="95">
        <v>17500</v>
      </c>
      <c r="M874" s="96">
        <v>0.27529999999999999</v>
      </c>
      <c r="N874" s="95">
        <v>22317.75</v>
      </c>
      <c r="O874" s="95">
        <v>0</v>
      </c>
      <c r="P874" s="95">
        <v>22317.75</v>
      </c>
      <c r="Q874" s="95">
        <v>22317.75</v>
      </c>
      <c r="R874" s="95">
        <v>0</v>
      </c>
      <c r="S874" s="95">
        <v>22317.75</v>
      </c>
    </row>
    <row r="875" spans="1:19" ht="15" x14ac:dyDescent="0.25">
      <c r="A875" s="90" t="s">
        <v>2417</v>
      </c>
      <c r="B875" s="90" t="s">
        <v>95</v>
      </c>
      <c r="C875" s="98" t="s">
        <v>2418</v>
      </c>
      <c r="D875" s="92" t="s">
        <v>2419</v>
      </c>
      <c r="E875" s="90" t="s">
        <v>16</v>
      </c>
      <c r="F875" s="99">
        <v>1</v>
      </c>
      <c r="G875" s="94">
        <v>15300</v>
      </c>
      <c r="H875" s="94">
        <v>0</v>
      </c>
      <c r="I875" s="95">
        <v>15300</v>
      </c>
      <c r="J875" s="95">
        <v>15300</v>
      </c>
      <c r="K875" s="95">
        <v>0</v>
      </c>
      <c r="L875" s="95">
        <v>15300</v>
      </c>
      <c r="M875" s="96">
        <v>0.27529999999999999</v>
      </c>
      <c r="N875" s="95">
        <v>19512.09</v>
      </c>
      <c r="O875" s="95">
        <v>0</v>
      </c>
      <c r="P875" s="95">
        <v>19512.09</v>
      </c>
      <c r="Q875" s="95">
        <v>19512.09</v>
      </c>
      <c r="R875" s="95">
        <v>0</v>
      </c>
      <c r="S875" s="95">
        <v>19512.09</v>
      </c>
    </row>
    <row r="876" spans="1:19" ht="15" x14ac:dyDescent="0.25">
      <c r="A876" s="90" t="s">
        <v>2420</v>
      </c>
      <c r="B876" s="90" t="s">
        <v>95</v>
      </c>
      <c r="C876" s="98" t="s">
        <v>2421</v>
      </c>
      <c r="D876" s="92" t="s">
        <v>2422</v>
      </c>
      <c r="E876" s="90" t="s">
        <v>16</v>
      </c>
      <c r="F876" s="99">
        <v>1</v>
      </c>
      <c r="G876" s="94">
        <v>11600</v>
      </c>
      <c r="H876" s="94">
        <v>0</v>
      </c>
      <c r="I876" s="95">
        <v>11600</v>
      </c>
      <c r="J876" s="95">
        <v>11600</v>
      </c>
      <c r="K876" s="95">
        <v>0</v>
      </c>
      <c r="L876" s="95">
        <v>11600</v>
      </c>
      <c r="M876" s="96">
        <v>0.27529999999999999</v>
      </c>
      <c r="N876" s="95">
        <v>14793.48</v>
      </c>
      <c r="O876" s="95">
        <v>0</v>
      </c>
      <c r="P876" s="95">
        <v>14793.48</v>
      </c>
      <c r="Q876" s="95">
        <v>14793.48</v>
      </c>
      <c r="R876" s="95">
        <v>0</v>
      </c>
      <c r="S876" s="95">
        <v>14793.48</v>
      </c>
    </row>
    <row r="877" spans="1:19" ht="15" x14ac:dyDescent="0.25">
      <c r="A877" s="90" t="s">
        <v>2423</v>
      </c>
      <c r="B877" s="90" t="s">
        <v>95</v>
      </c>
      <c r="C877" s="98" t="s">
        <v>2424</v>
      </c>
      <c r="D877" s="92" t="s">
        <v>2425</v>
      </c>
      <c r="E877" s="90" t="s">
        <v>16</v>
      </c>
      <c r="F877" s="99">
        <v>1</v>
      </c>
      <c r="G877" s="94">
        <v>11600</v>
      </c>
      <c r="H877" s="94">
        <v>0</v>
      </c>
      <c r="I877" s="95">
        <v>11600</v>
      </c>
      <c r="J877" s="95">
        <v>11600</v>
      </c>
      <c r="K877" s="95">
        <v>0</v>
      </c>
      <c r="L877" s="95">
        <v>11600</v>
      </c>
      <c r="M877" s="96">
        <v>0.27529999999999999</v>
      </c>
      <c r="N877" s="95">
        <v>14793.48</v>
      </c>
      <c r="O877" s="95">
        <v>0</v>
      </c>
      <c r="P877" s="95">
        <v>14793.48</v>
      </c>
      <c r="Q877" s="95">
        <v>14793.48</v>
      </c>
      <c r="R877" s="95">
        <v>0</v>
      </c>
      <c r="S877" s="95">
        <v>14793.48</v>
      </c>
    </row>
    <row r="878" spans="1:19" ht="15" x14ac:dyDescent="0.25">
      <c r="A878" s="90" t="s">
        <v>2426</v>
      </c>
      <c r="B878" s="90"/>
      <c r="C878" s="91" t="s">
        <v>2427</v>
      </c>
      <c r="D878" s="92"/>
      <c r="E878" s="90"/>
      <c r="F878" s="99"/>
      <c r="G878" s="94"/>
      <c r="H878" s="94"/>
      <c r="I878" s="95"/>
      <c r="J878" s="95"/>
      <c r="K878" s="95"/>
      <c r="L878" s="95"/>
      <c r="M878" s="96">
        <v>0</v>
      </c>
      <c r="N878" s="95"/>
      <c r="O878" s="95"/>
      <c r="P878" s="95"/>
      <c r="Q878" s="95"/>
      <c r="R878" s="95"/>
      <c r="S878" s="95"/>
    </row>
    <row r="879" spans="1:19" ht="15" x14ac:dyDescent="0.25">
      <c r="A879" s="90" t="s">
        <v>2428</v>
      </c>
      <c r="B879" s="90"/>
      <c r="C879" s="91" t="s">
        <v>2429</v>
      </c>
      <c r="D879" s="92"/>
      <c r="E879" s="90"/>
      <c r="F879" s="99"/>
      <c r="G879" s="94"/>
      <c r="H879" s="94"/>
      <c r="I879" s="95"/>
      <c r="J879" s="95"/>
      <c r="K879" s="95"/>
      <c r="L879" s="95"/>
      <c r="M879" s="96">
        <v>0</v>
      </c>
      <c r="N879" s="95"/>
      <c r="O879" s="95"/>
      <c r="P879" s="95"/>
      <c r="Q879" s="95"/>
      <c r="R879" s="95"/>
      <c r="S879" s="95"/>
    </row>
    <row r="880" spans="1:19" ht="15" x14ac:dyDescent="0.25">
      <c r="A880" s="90" t="s">
        <v>2430</v>
      </c>
      <c r="B880" s="90" t="s">
        <v>382</v>
      </c>
      <c r="C880" s="98" t="s">
        <v>2431</v>
      </c>
      <c r="D880" s="92" t="s">
        <v>2432</v>
      </c>
      <c r="E880" s="90" t="s">
        <v>16</v>
      </c>
      <c r="F880" s="99">
        <v>1</v>
      </c>
      <c r="G880" s="94">
        <v>172596.69</v>
      </c>
      <c r="H880" s="94">
        <v>2209.02</v>
      </c>
      <c r="I880" s="95">
        <v>174805.71</v>
      </c>
      <c r="J880" s="95">
        <v>172596.69</v>
      </c>
      <c r="K880" s="95">
        <v>2209.0199999999895</v>
      </c>
      <c r="L880" s="95">
        <v>174805.71</v>
      </c>
      <c r="M880" s="96">
        <v>0.27529999999999999</v>
      </c>
      <c r="N880" s="95">
        <v>220112.56</v>
      </c>
      <c r="O880" s="95">
        <v>2817.16</v>
      </c>
      <c r="P880" s="95">
        <v>222929.72</v>
      </c>
      <c r="Q880" s="95">
        <v>220112.56</v>
      </c>
      <c r="R880" s="95">
        <v>2817.16</v>
      </c>
      <c r="S880" s="95">
        <v>222929.72</v>
      </c>
    </row>
    <row r="881" spans="1:19" ht="38.25" x14ac:dyDescent="0.25">
      <c r="A881" s="90" t="s">
        <v>2433</v>
      </c>
      <c r="B881" s="90" t="s">
        <v>706</v>
      </c>
      <c r="C881" s="98" t="s">
        <v>2434</v>
      </c>
      <c r="D881" s="92" t="s">
        <v>2435</v>
      </c>
      <c r="E881" s="90" t="s">
        <v>16</v>
      </c>
      <c r="F881" s="99">
        <v>5</v>
      </c>
      <c r="G881" s="94">
        <v>656950.85</v>
      </c>
      <c r="H881" s="94">
        <v>4495.95</v>
      </c>
      <c r="I881" s="95">
        <v>661446.79999999993</v>
      </c>
      <c r="J881" s="95">
        <v>3284754.25</v>
      </c>
      <c r="K881" s="95">
        <v>22479.75</v>
      </c>
      <c r="L881" s="95">
        <v>3307234</v>
      </c>
      <c r="M881" s="96">
        <v>0.1837</v>
      </c>
      <c r="N881" s="95">
        <v>777632.72</v>
      </c>
      <c r="O881" s="95">
        <v>5321.86</v>
      </c>
      <c r="P881" s="95">
        <v>782954.58</v>
      </c>
      <c r="Q881" s="95">
        <v>3888163.6</v>
      </c>
      <c r="R881" s="95">
        <v>26609.3</v>
      </c>
      <c r="S881" s="95">
        <v>3914772.9</v>
      </c>
    </row>
    <row r="882" spans="1:19" ht="15" x14ac:dyDescent="0.25">
      <c r="A882" s="90" t="s">
        <v>2436</v>
      </c>
      <c r="B882" s="90" t="s">
        <v>31</v>
      </c>
      <c r="C882" s="98" t="s">
        <v>2437</v>
      </c>
      <c r="D882" s="92" t="s">
        <v>2438</v>
      </c>
      <c r="E882" s="90" t="s">
        <v>93</v>
      </c>
      <c r="F882" s="99">
        <v>15</v>
      </c>
      <c r="G882" s="94">
        <v>904.53</v>
      </c>
      <c r="H882" s="94">
        <v>0</v>
      </c>
      <c r="I882" s="95">
        <v>904.53</v>
      </c>
      <c r="J882" s="95">
        <v>13567.95</v>
      </c>
      <c r="K882" s="95">
        <v>0</v>
      </c>
      <c r="L882" s="95">
        <v>13567.95</v>
      </c>
      <c r="M882" s="96">
        <v>0.27529999999999999</v>
      </c>
      <c r="N882" s="95">
        <v>1153.55</v>
      </c>
      <c r="O882" s="95">
        <v>0</v>
      </c>
      <c r="P882" s="95">
        <v>1153.55</v>
      </c>
      <c r="Q882" s="95">
        <v>17303.25</v>
      </c>
      <c r="R882" s="95">
        <v>0</v>
      </c>
      <c r="S882" s="95">
        <v>17303.25</v>
      </c>
    </row>
    <row r="883" spans="1:19" ht="15" x14ac:dyDescent="0.25">
      <c r="A883" s="90" t="s">
        <v>2439</v>
      </c>
      <c r="B883" s="90" t="s">
        <v>706</v>
      </c>
      <c r="C883" s="98" t="s">
        <v>2440</v>
      </c>
      <c r="D883" s="92" t="s">
        <v>2441</v>
      </c>
      <c r="E883" s="90" t="s">
        <v>16</v>
      </c>
      <c r="F883" s="99">
        <v>15</v>
      </c>
      <c r="G883" s="94">
        <v>4369.37</v>
      </c>
      <c r="H883" s="94">
        <v>0</v>
      </c>
      <c r="I883" s="95">
        <v>4369.37</v>
      </c>
      <c r="J883" s="95">
        <v>65540.55</v>
      </c>
      <c r="K883" s="95">
        <v>0</v>
      </c>
      <c r="L883" s="95">
        <v>65540.55</v>
      </c>
      <c r="M883" s="96">
        <v>0.27529999999999999</v>
      </c>
      <c r="N883" s="95">
        <v>5572.26</v>
      </c>
      <c r="O883" s="95">
        <v>0</v>
      </c>
      <c r="P883" s="95">
        <v>5572.26</v>
      </c>
      <c r="Q883" s="95">
        <v>83583.899999999994</v>
      </c>
      <c r="R883" s="95">
        <v>0</v>
      </c>
      <c r="S883" s="95">
        <v>83583.899999999994</v>
      </c>
    </row>
    <row r="884" spans="1:19" ht="25.5" x14ac:dyDescent="0.25">
      <c r="A884" s="90" t="s">
        <v>2442</v>
      </c>
      <c r="B884" s="90" t="s">
        <v>95</v>
      </c>
      <c r="C884" s="98" t="s">
        <v>2443</v>
      </c>
      <c r="D884" s="92" t="s">
        <v>2444</v>
      </c>
      <c r="E884" s="90" t="s">
        <v>16</v>
      </c>
      <c r="F884" s="99">
        <v>1</v>
      </c>
      <c r="G884" s="94">
        <v>767000</v>
      </c>
      <c r="H884" s="94">
        <v>0</v>
      </c>
      <c r="I884" s="95">
        <v>767000</v>
      </c>
      <c r="J884" s="95">
        <v>767000</v>
      </c>
      <c r="K884" s="95">
        <v>0</v>
      </c>
      <c r="L884" s="95">
        <v>767000</v>
      </c>
      <c r="M884" s="96">
        <v>0.1837</v>
      </c>
      <c r="N884" s="95">
        <v>907897.9</v>
      </c>
      <c r="O884" s="95">
        <v>0</v>
      </c>
      <c r="P884" s="95">
        <v>907897.9</v>
      </c>
      <c r="Q884" s="95">
        <v>907897.9</v>
      </c>
      <c r="R884" s="95">
        <v>0</v>
      </c>
      <c r="S884" s="95">
        <v>907897.9</v>
      </c>
    </row>
    <row r="885" spans="1:19" ht="15" x14ac:dyDescent="0.25">
      <c r="A885" s="90" t="s">
        <v>2445</v>
      </c>
      <c r="B885" s="90" t="s">
        <v>75</v>
      </c>
      <c r="C885" s="98" t="s">
        <v>2446</v>
      </c>
      <c r="D885" s="92" t="s">
        <v>2447</v>
      </c>
      <c r="E885" s="90" t="s">
        <v>93</v>
      </c>
      <c r="F885" s="99">
        <v>14</v>
      </c>
      <c r="G885" s="94">
        <v>18495.849999999999</v>
      </c>
      <c r="H885" s="94">
        <v>43.57</v>
      </c>
      <c r="I885" s="95">
        <v>18539.419999999998</v>
      </c>
      <c r="J885" s="95">
        <v>258941.9</v>
      </c>
      <c r="K885" s="95">
        <v>609.98000000001048</v>
      </c>
      <c r="L885" s="95">
        <v>259551.88</v>
      </c>
      <c r="M885" s="96">
        <v>0.27529999999999999</v>
      </c>
      <c r="N885" s="95">
        <v>23587.759999999998</v>
      </c>
      <c r="O885" s="95">
        <v>55.56</v>
      </c>
      <c r="P885" s="95">
        <v>23643.32</v>
      </c>
      <c r="Q885" s="95">
        <v>330228.64</v>
      </c>
      <c r="R885" s="95">
        <v>777.84</v>
      </c>
      <c r="S885" s="95">
        <v>331006.48000000004</v>
      </c>
    </row>
    <row r="886" spans="1:19" ht="38.25" x14ac:dyDescent="0.25">
      <c r="A886" s="90" t="s">
        <v>2448</v>
      </c>
      <c r="B886" s="90" t="s">
        <v>1476</v>
      </c>
      <c r="C886" s="98" t="s">
        <v>2449</v>
      </c>
      <c r="D886" s="92" t="s">
        <v>2450</v>
      </c>
      <c r="E886" s="90" t="s">
        <v>16</v>
      </c>
      <c r="F886" s="99">
        <v>2</v>
      </c>
      <c r="G886" s="94">
        <v>1552.33</v>
      </c>
      <c r="H886" s="94">
        <v>2634.99</v>
      </c>
      <c r="I886" s="95">
        <v>4187.32</v>
      </c>
      <c r="J886" s="95">
        <v>3104.66</v>
      </c>
      <c r="K886" s="95">
        <v>5269.98</v>
      </c>
      <c r="L886" s="95">
        <v>8374.64</v>
      </c>
      <c r="M886" s="96">
        <v>0.27529999999999999</v>
      </c>
      <c r="N886" s="95">
        <v>1979.69</v>
      </c>
      <c r="O886" s="95">
        <v>3360.4</v>
      </c>
      <c r="P886" s="95">
        <v>5340.09</v>
      </c>
      <c r="Q886" s="95">
        <v>3959.38</v>
      </c>
      <c r="R886" s="95">
        <v>6720.8</v>
      </c>
      <c r="S886" s="95">
        <v>10680.18</v>
      </c>
    </row>
    <row r="887" spans="1:19" ht="38.25" x14ac:dyDescent="0.25">
      <c r="A887" s="90" t="s">
        <v>2451</v>
      </c>
      <c r="B887" s="90" t="s">
        <v>95</v>
      </c>
      <c r="C887" s="98" t="s">
        <v>2452</v>
      </c>
      <c r="D887" s="92" t="s">
        <v>2453</v>
      </c>
      <c r="E887" s="90" t="s">
        <v>16</v>
      </c>
      <c r="F887" s="99">
        <v>2</v>
      </c>
      <c r="G887" s="94">
        <v>246612.77</v>
      </c>
      <c r="H887" s="94">
        <v>0</v>
      </c>
      <c r="I887" s="95">
        <v>246612.77</v>
      </c>
      <c r="J887" s="95">
        <v>493225.54</v>
      </c>
      <c r="K887" s="95">
        <v>0</v>
      </c>
      <c r="L887" s="95">
        <v>493225.54</v>
      </c>
      <c r="M887" s="96">
        <v>0.1837</v>
      </c>
      <c r="N887" s="95">
        <v>291915.53999999998</v>
      </c>
      <c r="O887" s="95">
        <v>0</v>
      </c>
      <c r="P887" s="95">
        <v>291915.53999999998</v>
      </c>
      <c r="Q887" s="95">
        <v>583831.07999999996</v>
      </c>
      <c r="R887" s="95">
        <v>0</v>
      </c>
      <c r="S887" s="95">
        <v>583831.07999999996</v>
      </c>
    </row>
    <row r="888" spans="1:19" ht="38.25" x14ac:dyDescent="0.25">
      <c r="A888" s="90" t="s">
        <v>2454</v>
      </c>
      <c r="B888" s="90" t="s">
        <v>1476</v>
      </c>
      <c r="C888" s="98" t="s">
        <v>2449</v>
      </c>
      <c r="D888" s="92" t="s">
        <v>2455</v>
      </c>
      <c r="E888" s="90" t="s">
        <v>16</v>
      </c>
      <c r="F888" s="99">
        <v>2</v>
      </c>
      <c r="G888" s="94">
        <v>1552.33</v>
      </c>
      <c r="H888" s="94">
        <v>2634.99</v>
      </c>
      <c r="I888" s="95">
        <v>4187.32</v>
      </c>
      <c r="J888" s="95">
        <v>3104.66</v>
      </c>
      <c r="K888" s="95">
        <v>5269.98</v>
      </c>
      <c r="L888" s="95">
        <v>8374.64</v>
      </c>
      <c r="M888" s="96">
        <v>0.27529999999999999</v>
      </c>
      <c r="N888" s="95">
        <v>1979.69</v>
      </c>
      <c r="O888" s="95">
        <v>3360.4</v>
      </c>
      <c r="P888" s="95">
        <v>5340.09</v>
      </c>
      <c r="Q888" s="95">
        <v>3959.38</v>
      </c>
      <c r="R888" s="95">
        <v>6720.8</v>
      </c>
      <c r="S888" s="95">
        <v>10680.18</v>
      </c>
    </row>
    <row r="889" spans="1:19" ht="38.25" x14ac:dyDescent="0.25">
      <c r="A889" s="90" t="s">
        <v>2430</v>
      </c>
      <c r="B889" s="90" t="s">
        <v>95</v>
      </c>
      <c r="C889" s="98" t="s">
        <v>2456</v>
      </c>
      <c r="D889" s="92" t="s">
        <v>2457</v>
      </c>
      <c r="E889" s="90" t="s">
        <v>16</v>
      </c>
      <c r="F889" s="99">
        <v>1</v>
      </c>
      <c r="G889" s="94">
        <v>59290</v>
      </c>
      <c r="H889" s="94">
        <v>0</v>
      </c>
      <c r="I889" s="95">
        <v>59290</v>
      </c>
      <c r="J889" s="95">
        <v>59290</v>
      </c>
      <c r="K889" s="95">
        <v>0</v>
      </c>
      <c r="L889" s="95">
        <v>59290</v>
      </c>
      <c r="M889" s="96">
        <v>0.1837</v>
      </c>
      <c r="N889" s="95">
        <v>70181.570000000007</v>
      </c>
      <c r="O889" s="95">
        <v>0</v>
      </c>
      <c r="P889" s="95">
        <v>70181.570000000007</v>
      </c>
      <c r="Q889" s="95">
        <v>70181.570000000007</v>
      </c>
      <c r="R889" s="95">
        <v>0</v>
      </c>
      <c r="S889" s="95">
        <v>70181.570000000007</v>
      </c>
    </row>
    <row r="890" spans="1:19" ht="15" x14ac:dyDescent="0.25">
      <c r="A890" s="90" t="s">
        <v>2430</v>
      </c>
      <c r="B890" s="90" t="s">
        <v>45</v>
      </c>
      <c r="C890" s="98" t="s">
        <v>2458</v>
      </c>
      <c r="D890" s="92" t="s">
        <v>2459</v>
      </c>
      <c r="E890" s="90" t="s">
        <v>93</v>
      </c>
      <c r="F890" s="99">
        <v>210</v>
      </c>
      <c r="G890" s="94">
        <v>169.22</v>
      </c>
      <c r="H890" s="94">
        <v>42.87</v>
      </c>
      <c r="I890" s="95">
        <v>212.09</v>
      </c>
      <c r="J890" s="95">
        <v>35536.199999999997</v>
      </c>
      <c r="K890" s="95">
        <v>9002.7000000000044</v>
      </c>
      <c r="L890" s="95">
        <v>44538.9</v>
      </c>
      <c r="M890" s="96">
        <v>0.27529999999999999</v>
      </c>
      <c r="N890" s="95">
        <v>215.81</v>
      </c>
      <c r="O890" s="95">
        <v>54.67</v>
      </c>
      <c r="P890" s="95">
        <v>270.48</v>
      </c>
      <c r="Q890" s="95">
        <v>45320.1</v>
      </c>
      <c r="R890" s="95">
        <v>11480.7</v>
      </c>
      <c r="S890" s="95">
        <v>56800.800000000003</v>
      </c>
    </row>
    <row r="891" spans="1:19" ht="15" x14ac:dyDescent="0.25">
      <c r="A891" s="90" t="s">
        <v>2430</v>
      </c>
      <c r="B891" s="90" t="s">
        <v>86</v>
      </c>
      <c r="C891" s="98" t="s">
        <v>2460</v>
      </c>
      <c r="D891" s="92" t="s">
        <v>2461</v>
      </c>
      <c r="E891" s="90" t="s">
        <v>93</v>
      </c>
      <c r="F891" s="99">
        <v>90</v>
      </c>
      <c r="G891" s="94">
        <v>101.63</v>
      </c>
      <c r="H891" s="94">
        <v>8.34</v>
      </c>
      <c r="I891" s="95">
        <v>109.97</v>
      </c>
      <c r="J891" s="95">
        <v>9146.7000000000007</v>
      </c>
      <c r="K891" s="95">
        <v>750.59999999999854</v>
      </c>
      <c r="L891" s="95">
        <v>9897.2999999999993</v>
      </c>
      <c r="M891" s="96">
        <v>0.27529999999999999</v>
      </c>
      <c r="N891" s="95">
        <v>129.61000000000001</v>
      </c>
      <c r="O891" s="95">
        <v>10.64</v>
      </c>
      <c r="P891" s="95">
        <v>140.25</v>
      </c>
      <c r="Q891" s="95">
        <v>11664.9</v>
      </c>
      <c r="R891" s="95">
        <v>957.6</v>
      </c>
      <c r="S891" s="95">
        <v>12622.5</v>
      </c>
    </row>
    <row r="892" spans="1:19" ht="15" x14ac:dyDescent="0.25">
      <c r="A892" s="90" t="s">
        <v>2430</v>
      </c>
      <c r="B892" s="90" t="s">
        <v>1802</v>
      </c>
      <c r="C892" s="98" t="s">
        <v>2462</v>
      </c>
      <c r="D892" s="92" t="s">
        <v>2463</v>
      </c>
      <c r="E892" s="90" t="s">
        <v>93</v>
      </c>
      <c r="F892" s="99">
        <v>90</v>
      </c>
      <c r="G892" s="94">
        <v>95.56</v>
      </c>
      <c r="H892" s="94">
        <v>27.46</v>
      </c>
      <c r="I892" s="95">
        <v>123.02000000000001</v>
      </c>
      <c r="J892" s="95">
        <v>8600.4</v>
      </c>
      <c r="K892" s="95">
        <v>2471.3999999999996</v>
      </c>
      <c r="L892" s="95">
        <v>11071.8</v>
      </c>
      <c r="M892" s="96">
        <v>0.27529999999999999</v>
      </c>
      <c r="N892" s="95">
        <v>121.87</v>
      </c>
      <c r="O892" s="95">
        <v>35.020000000000003</v>
      </c>
      <c r="P892" s="95">
        <v>156.89000000000001</v>
      </c>
      <c r="Q892" s="95">
        <v>10968.3</v>
      </c>
      <c r="R892" s="95">
        <v>3151.8</v>
      </c>
      <c r="S892" s="95">
        <v>14120.099999999999</v>
      </c>
    </row>
    <row r="893" spans="1:19" ht="15" x14ac:dyDescent="0.25">
      <c r="A893" s="90" t="s">
        <v>2430</v>
      </c>
      <c r="B893" s="90" t="s">
        <v>1802</v>
      </c>
      <c r="C893" s="98" t="s">
        <v>2464</v>
      </c>
      <c r="D893" s="92" t="s">
        <v>2465</v>
      </c>
      <c r="E893" s="90" t="s">
        <v>16</v>
      </c>
      <c r="F893" s="99">
        <v>1</v>
      </c>
      <c r="G893" s="94">
        <v>34319.879999999997</v>
      </c>
      <c r="H893" s="94">
        <v>539.64</v>
      </c>
      <c r="I893" s="95">
        <v>34859.519999999997</v>
      </c>
      <c r="J893" s="95">
        <v>34319.879999999997</v>
      </c>
      <c r="K893" s="95">
        <v>539.63999999999942</v>
      </c>
      <c r="L893" s="95">
        <v>34859.519999999997</v>
      </c>
      <c r="M893" s="96">
        <v>0.1837</v>
      </c>
      <c r="N893" s="95">
        <v>40624.44</v>
      </c>
      <c r="O893" s="95">
        <v>638.77</v>
      </c>
      <c r="P893" s="95">
        <v>41263.21</v>
      </c>
      <c r="Q893" s="95">
        <v>40624.44</v>
      </c>
      <c r="R893" s="95">
        <v>638.77</v>
      </c>
      <c r="S893" s="95">
        <v>41263.21</v>
      </c>
    </row>
    <row r="894" spans="1:19" ht="15" x14ac:dyDescent="0.25">
      <c r="A894" s="90" t="s">
        <v>2466</v>
      </c>
      <c r="B894" s="90"/>
      <c r="C894" s="98" t="s">
        <v>2467</v>
      </c>
      <c r="D894" s="92"/>
      <c r="E894" s="90"/>
      <c r="F894" s="99"/>
      <c r="G894" s="94"/>
      <c r="H894" s="94"/>
      <c r="I894" s="95"/>
      <c r="J894" s="95"/>
      <c r="K894" s="95"/>
      <c r="L894" s="95"/>
      <c r="M894" s="96">
        <v>0</v>
      </c>
      <c r="N894" s="95"/>
      <c r="O894" s="95"/>
      <c r="P894" s="95"/>
      <c r="Q894" s="95"/>
      <c r="R894" s="95"/>
      <c r="S894" s="95"/>
    </row>
    <row r="895" spans="1:19" ht="15" x14ac:dyDescent="0.25">
      <c r="A895" s="90" t="s">
        <v>2468</v>
      </c>
      <c r="B895" s="90" t="s">
        <v>31</v>
      </c>
      <c r="C895" s="98" t="s">
        <v>2469</v>
      </c>
      <c r="D895" s="92" t="s">
        <v>2470</v>
      </c>
      <c r="E895" s="90" t="s">
        <v>93</v>
      </c>
      <c r="F895" s="99">
        <v>20</v>
      </c>
      <c r="G895" s="94">
        <v>6.28</v>
      </c>
      <c r="H895" s="94">
        <v>5.28</v>
      </c>
      <c r="I895" s="95">
        <v>11.56</v>
      </c>
      <c r="J895" s="95">
        <v>125.6</v>
      </c>
      <c r="K895" s="95">
        <v>105.6</v>
      </c>
      <c r="L895" s="95">
        <v>231.2</v>
      </c>
      <c r="M895" s="96">
        <v>0.27529999999999999</v>
      </c>
      <c r="N895" s="95">
        <v>8.01</v>
      </c>
      <c r="O895" s="95">
        <v>6.73</v>
      </c>
      <c r="P895" s="95">
        <v>14.74</v>
      </c>
      <c r="Q895" s="95">
        <v>160.19999999999999</v>
      </c>
      <c r="R895" s="95">
        <v>134.6</v>
      </c>
      <c r="S895" s="95">
        <v>294.79999999999995</v>
      </c>
    </row>
    <row r="896" spans="1:19" ht="15" x14ac:dyDescent="0.25">
      <c r="A896" s="90" t="s">
        <v>2471</v>
      </c>
      <c r="B896" s="90" t="s">
        <v>31</v>
      </c>
      <c r="C896" s="98" t="s">
        <v>2472</v>
      </c>
      <c r="D896" s="92" t="s">
        <v>2473</v>
      </c>
      <c r="E896" s="90" t="s">
        <v>93</v>
      </c>
      <c r="F896" s="99">
        <v>1</v>
      </c>
      <c r="G896" s="94">
        <v>11.18</v>
      </c>
      <c r="H896" s="94">
        <v>7.78</v>
      </c>
      <c r="I896" s="95">
        <v>18.96</v>
      </c>
      <c r="J896" s="95">
        <v>11.18</v>
      </c>
      <c r="K896" s="95">
        <v>7.7800000000000011</v>
      </c>
      <c r="L896" s="95">
        <v>18.96</v>
      </c>
      <c r="M896" s="96">
        <v>0.27529999999999999</v>
      </c>
      <c r="N896" s="95">
        <v>14.26</v>
      </c>
      <c r="O896" s="95">
        <v>9.92</v>
      </c>
      <c r="P896" s="95">
        <v>24.18</v>
      </c>
      <c r="Q896" s="95">
        <v>14.26</v>
      </c>
      <c r="R896" s="95">
        <v>9.92</v>
      </c>
      <c r="S896" s="95">
        <v>24.18</v>
      </c>
    </row>
    <row r="897" spans="1:19" ht="15" x14ac:dyDescent="0.25">
      <c r="A897" s="90" t="s">
        <v>2474</v>
      </c>
      <c r="B897" s="90" t="s">
        <v>31</v>
      </c>
      <c r="C897" s="98" t="s">
        <v>2475</v>
      </c>
      <c r="D897" s="92" t="s">
        <v>2476</v>
      </c>
      <c r="E897" s="90" t="s">
        <v>93</v>
      </c>
      <c r="F897" s="99">
        <v>18</v>
      </c>
      <c r="G897" s="94">
        <v>8.01</v>
      </c>
      <c r="H897" s="94">
        <v>6.98</v>
      </c>
      <c r="I897" s="95">
        <v>14.99</v>
      </c>
      <c r="J897" s="95">
        <v>144.18</v>
      </c>
      <c r="K897" s="95">
        <v>125.63999999999999</v>
      </c>
      <c r="L897" s="95">
        <v>269.82</v>
      </c>
      <c r="M897" s="96">
        <v>0.27529999999999999</v>
      </c>
      <c r="N897" s="95">
        <v>10.220000000000001</v>
      </c>
      <c r="O897" s="95">
        <v>8.9</v>
      </c>
      <c r="P897" s="95">
        <v>19.12</v>
      </c>
      <c r="Q897" s="95">
        <v>183.96</v>
      </c>
      <c r="R897" s="95">
        <v>160.19999999999999</v>
      </c>
      <c r="S897" s="95">
        <v>344.15999999999997</v>
      </c>
    </row>
    <row r="898" spans="1:19" ht="15" x14ac:dyDescent="0.25">
      <c r="A898" s="90" t="s">
        <v>2477</v>
      </c>
      <c r="B898" s="90" t="s">
        <v>31</v>
      </c>
      <c r="C898" s="98" t="s">
        <v>2478</v>
      </c>
      <c r="D898" s="92" t="s">
        <v>2479</v>
      </c>
      <c r="E898" s="90" t="s">
        <v>93</v>
      </c>
      <c r="F898" s="99">
        <v>4</v>
      </c>
      <c r="G898" s="94">
        <v>62.57</v>
      </c>
      <c r="H898" s="94">
        <v>8.41</v>
      </c>
      <c r="I898" s="95">
        <v>70.98</v>
      </c>
      <c r="J898" s="95">
        <v>250.28</v>
      </c>
      <c r="K898" s="95">
        <v>33.640000000000015</v>
      </c>
      <c r="L898" s="95">
        <v>283.92</v>
      </c>
      <c r="M898" s="96">
        <v>0.27529999999999999</v>
      </c>
      <c r="N898" s="95">
        <v>79.8</v>
      </c>
      <c r="O898" s="95">
        <v>10.73</v>
      </c>
      <c r="P898" s="95">
        <v>90.53</v>
      </c>
      <c r="Q898" s="95">
        <v>319.2</v>
      </c>
      <c r="R898" s="95">
        <v>42.92</v>
      </c>
      <c r="S898" s="95">
        <v>362.12</v>
      </c>
    </row>
    <row r="899" spans="1:19" ht="15" x14ac:dyDescent="0.25">
      <c r="A899" s="90" t="s">
        <v>2480</v>
      </c>
      <c r="B899" s="90" t="s">
        <v>31</v>
      </c>
      <c r="C899" s="98" t="s">
        <v>2481</v>
      </c>
      <c r="D899" s="92" t="s">
        <v>2482</v>
      </c>
      <c r="E899" s="90" t="s">
        <v>93</v>
      </c>
      <c r="F899" s="99">
        <v>1</v>
      </c>
      <c r="G899" s="94">
        <v>6.65</v>
      </c>
      <c r="H899" s="94">
        <v>3.71</v>
      </c>
      <c r="I899" s="95">
        <v>10.36</v>
      </c>
      <c r="J899" s="95">
        <v>6.65</v>
      </c>
      <c r="K899" s="95">
        <v>3.7099999999999991</v>
      </c>
      <c r="L899" s="95">
        <v>10.36</v>
      </c>
      <c r="M899" s="96">
        <v>0.27529999999999999</v>
      </c>
      <c r="N899" s="95">
        <v>8.48</v>
      </c>
      <c r="O899" s="95">
        <v>4.7300000000000004</v>
      </c>
      <c r="P899" s="95">
        <v>13.21</v>
      </c>
      <c r="Q899" s="95">
        <v>8.48</v>
      </c>
      <c r="R899" s="95">
        <v>4.7300000000000004</v>
      </c>
      <c r="S899" s="95">
        <v>13.21</v>
      </c>
    </row>
    <row r="900" spans="1:19" ht="15" x14ac:dyDescent="0.25">
      <c r="A900" s="90" t="s">
        <v>2483</v>
      </c>
      <c r="B900" s="90" t="s">
        <v>31</v>
      </c>
      <c r="C900" s="98" t="s">
        <v>2484</v>
      </c>
      <c r="D900" s="92" t="s">
        <v>2485</v>
      </c>
      <c r="E900" s="90" t="s">
        <v>93</v>
      </c>
      <c r="F900" s="99">
        <v>17</v>
      </c>
      <c r="G900" s="94">
        <v>7.04</v>
      </c>
      <c r="H900" s="94">
        <v>4.7</v>
      </c>
      <c r="I900" s="95">
        <v>11.74</v>
      </c>
      <c r="J900" s="95">
        <v>119.68</v>
      </c>
      <c r="K900" s="95">
        <v>79.900000000000006</v>
      </c>
      <c r="L900" s="95">
        <v>199.58</v>
      </c>
      <c r="M900" s="96">
        <v>0.27529999999999999</v>
      </c>
      <c r="N900" s="95">
        <v>8.98</v>
      </c>
      <c r="O900" s="95">
        <v>5.99</v>
      </c>
      <c r="P900" s="95">
        <v>14.97</v>
      </c>
      <c r="Q900" s="95">
        <v>152.66</v>
      </c>
      <c r="R900" s="95">
        <v>101.83</v>
      </c>
      <c r="S900" s="95">
        <v>254.49</v>
      </c>
    </row>
    <row r="901" spans="1:19" ht="15" x14ac:dyDescent="0.25">
      <c r="A901" s="90" t="s">
        <v>2486</v>
      </c>
      <c r="B901" s="90" t="s">
        <v>31</v>
      </c>
      <c r="C901" s="98" t="s">
        <v>2487</v>
      </c>
      <c r="D901" s="92" t="s">
        <v>2488</v>
      </c>
      <c r="E901" s="90" t="s">
        <v>93</v>
      </c>
      <c r="F901" s="99">
        <v>6</v>
      </c>
      <c r="G901" s="94">
        <v>10.23</v>
      </c>
      <c r="H901" s="94">
        <v>5.48</v>
      </c>
      <c r="I901" s="95">
        <v>15.71</v>
      </c>
      <c r="J901" s="95">
        <v>61.38</v>
      </c>
      <c r="K901" s="95">
        <v>32.880000000000003</v>
      </c>
      <c r="L901" s="95">
        <v>94.26</v>
      </c>
      <c r="M901" s="96">
        <v>0.27529999999999999</v>
      </c>
      <c r="N901" s="95">
        <v>13.05</v>
      </c>
      <c r="O901" s="95">
        <v>6.99</v>
      </c>
      <c r="P901" s="95">
        <v>20.04</v>
      </c>
      <c r="Q901" s="95">
        <v>78.3</v>
      </c>
      <c r="R901" s="95">
        <v>41.94</v>
      </c>
      <c r="S901" s="95">
        <v>120.24</v>
      </c>
    </row>
    <row r="902" spans="1:19" ht="15" x14ac:dyDescent="0.25">
      <c r="A902" s="90" t="s">
        <v>2489</v>
      </c>
      <c r="B902" s="90" t="s">
        <v>31</v>
      </c>
      <c r="C902" s="98" t="s">
        <v>2490</v>
      </c>
      <c r="D902" s="92" t="s">
        <v>2491</v>
      </c>
      <c r="E902" s="90" t="s">
        <v>16</v>
      </c>
      <c r="F902" s="99">
        <v>1</v>
      </c>
      <c r="G902" s="94">
        <v>7.13</v>
      </c>
      <c r="H902" s="94">
        <v>9.48</v>
      </c>
      <c r="I902" s="95">
        <v>16.61</v>
      </c>
      <c r="J902" s="95">
        <v>7.13</v>
      </c>
      <c r="K902" s="95">
        <v>9.48</v>
      </c>
      <c r="L902" s="95">
        <v>16.61</v>
      </c>
      <c r="M902" s="96">
        <v>0.27529999999999999</v>
      </c>
      <c r="N902" s="95">
        <v>9.09</v>
      </c>
      <c r="O902" s="95">
        <v>12.09</v>
      </c>
      <c r="P902" s="95">
        <v>21.18</v>
      </c>
      <c r="Q902" s="95">
        <v>9.09</v>
      </c>
      <c r="R902" s="95">
        <v>12.09</v>
      </c>
      <c r="S902" s="95">
        <v>21.18</v>
      </c>
    </row>
    <row r="903" spans="1:19" ht="15" x14ac:dyDescent="0.25">
      <c r="A903" s="90" t="s">
        <v>2492</v>
      </c>
      <c r="B903" s="90" t="s">
        <v>31</v>
      </c>
      <c r="C903" s="98" t="s">
        <v>2493</v>
      </c>
      <c r="D903" s="92" t="s">
        <v>2494</v>
      </c>
      <c r="E903" s="90" t="s">
        <v>16</v>
      </c>
      <c r="F903" s="99">
        <v>26</v>
      </c>
      <c r="G903" s="94">
        <v>6.98</v>
      </c>
      <c r="H903" s="94">
        <v>11.64</v>
      </c>
      <c r="I903" s="95">
        <v>18.62</v>
      </c>
      <c r="J903" s="95">
        <v>181.48</v>
      </c>
      <c r="K903" s="95">
        <v>302.64</v>
      </c>
      <c r="L903" s="95">
        <v>484.12</v>
      </c>
      <c r="M903" s="96">
        <v>0.27529999999999999</v>
      </c>
      <c r="N903" s="95">
        <v>8.9</v>
      </c>
      <c r="O903" s="95">
        <v>14.84</v>
      </c>
      <c r="P903" s="95">
        <v>23.740000000000002</v>
      </c>
      <c r="Q903" s="95">
        <v>231.4</v>
      </c>
      <c r="R903" s="95">
        <v>385.84</v>
      </c>
      <c r="S903" s="95">
        <v>617.24</v>
      </c>
    </row>
    <row r="904" spans="1:19" ht="15" x14ac:dyDescent="0.25">
      <c r="A904" s="90" t="s">
        <v>2468</v>
      </c>
      <c r="B904" s="90" t="s">
        <v>1476</v>
      </c>
      <c r="C904" s="98" t="s">
        <v>2495</v>
      </c>
      <c r="D904" s="92" t="s">
        <v>2496</v>
      </c>
      <c r="E904" s="90" t="s">
        <v>16</v>
      </c>
      <c r="F904" s="99">
        <v>2</v>
      </c>
      <c r="G904" s="94">
        <v>1.81</v>
      </c>
      <c r="H904" s="94">
        <v>0</v>
      </c>
      <c r="I904" s="95">
        <v>1.81</v>
      </c>
      <c r="J904" s="95">
        <v>3.62</v>
      </c>
      <c r="K904" s="95">
        <v>0</v>
      </c>
      <c r="L904" s="95">
        <v>3.62</v>
      </c>
      <c r="M904" s="96">
        <v>0.27529999999999999</v>
      </c>
      <c r="N904" s="95">
        <v>2.31</v>
      </c>
      <c r="O904" s="95">
        <v>0</v>
      </c>
      <c r="P904" s="95">
        <v>2.31</v>
      </c>
      <c r="Q904" s="95">
        <v>4.62</v>
      </c>
      <c r="R904" s="95">
        <v>0</v>
      </c>
      <c r="S904" s="95">
        <v>4.62</v>
      </c>
    </row>
    <row r="905" spans="1:19" ht="15" x14ac:dyDescent="0.25">
      <c r="A905" s="90" t="s">
        <v>2468</v>
      </c>
      <c r="B905" s="90" t="s">
        <v>184</v>
      </c>
      <c r="C905" s="98" t="s">
        <v>2497</v>
      </c>
      <c r="D905" s="92" t="s">
        <v>2498</v>
      </c>
      <c r="E905" s="90" t="s">
        <v>16</v>
      </c>
      <c r="F905" s="99">
        <v>64</v>
      </c>
      <c r="G905" s="94">
        <v>20.309999999999999</v>
      </c>
      <c r="H905" s="94">
        <v>4.13</v>
      </c>
      <c r="I905" s="95">
        <v>24.439999999999998</v>
      </c>
      <c r="J905" s="95">
        <v>1299.8399999999999</v>
      </c>
      <c r="K905" s="95">
        <v>264.32000000000016</v>
      </c>
      <c r="L905" s="95">
        <v>1564.16</v>
      </c>
      <c r="M905" s="96">
        <v>0.27529999999999999</v>
      </c>
      <c r="N905" s="95">
        <v>25.9</v>
      </c>
      <c r="O905" s="95">
        <v>5.27</v>
      </c>
      <c r="P905" s="95">
        <v>31.169999999999998</v>
      </c>
      <c r="Q905" s="95">
        <v>1657.6</v>
      </c>
      <c r="R905" s="95">
        <v>337.28</v>
      </c>
      <c r="S905" s="95">
        <v>1994.8799999999999</v>
      </c>
    </row>
    <row r="906" spans="1:19" ht="15" x14ac:dyDescent="0.25">
      <c r="A906" s="90" t="s">
        <v>2499</v>
      </c>
      <c r="B906" s="90"/>
      <c r="C906" s="98" t="s">
        <v>2500</v>
      </c>
      <c r="D906" s="92"/>
      <c r="E906" s="90"/>
      <c r="F906" s="99"/>
      <c r="G906" s="94"/>
      <c r="H906" s="94"/>
      <c r="I906" s="95"/>
      <c r="J906" s="95"/>
      <c r="K906" s="95"/>
      <c r="L906" s="95"/>
      <c r="M906" s="96">
        <v>0</v>
      </c>
      <c r="N906" s="95"/>
      <c r="O906" s="95"/>
      <c r="P906" s="95"/>
      <c r="Q906" s="95">
        <v>0</v>
      </c>
      <c r="R906" s="95">
        <v>0</v>
      </c>
      <c r="S906" s="95">
        <v>0</v>
      </c>
    </row>
    <row r="907" spans="1:19" ht="15" x14ac:dyDescent="0.25">
      <c r="A907" s="90" t="s">
        <v>2501</v>
      </c>
      <c r="B907" s="90" t="s">
        <v>706</v>
      </c>
      <c r="C907" s="98" t="s">
        <v>2502</v>
      </c>
      <c r="D907" s="92" t="s">
        <v>2503</v>
      </c>
      <c r="E907" s="90" t="s">
        <v>93</v>
      </c>
      <c r="F907" s="99">
        <v>141</v>
      </c>
      <c r="G907" s="94">
        <v>26.75</v>
      </c>
      <c r="H907" s="94">
        <v>35.549999999999997</v>
      </c>
      <c r="I907" s="95">
        <v>62.3</v>
      </c>
      <c r="J907" s="95">
        <v>3771.75</v>
      </c>
      <c r="K907" s="95">
        <v>5012.5499999999993</v>
      </c>
      <c r="L907" s="95">
        <v>8784.2999999999993</v>
      </c>
      <c r="M907" s="96">
        <v>0.27529999999999999</v>
      </c>
      <c r="N907" s="95">
        <v>34.11</v>
      </c>
      <c r="O907" s="95">
        <v>45.34</v>
      </c>
      <c r="P907" s="95">
        <v>79.45</v>
      </c>
      <c r="Q907" s="95">
        <v>4809.51</v>
      </c>
      <c r="R907" s="95">
        <v>6392.94</v>
      </c>
      <c r="S907" s="95">
        <v>11202.45</v>
      </c>
    </row>
    <row r="908" spans="1:19" ht="15" x14ac:dyDescent="0.25">
      <c r="A908" s="90" t="s">
        <v>2504</v>
      </c>
      <c r="B908" s="90" t="s">
        <v>1802</v>
      </c>
      <c r="C908" s="98" t="s">
        <v>2505</v>
      </c>
      <c r="D908" s="92" t="s">
        <v>2506</v>
      </c>
      <c r="E908" s="90" t="s">
        <v>16</v>
      </c>
      <c r="F908" s="99">
        <v>55</v>
      </c>
      <c r="G908" s="94">
        <v>3.62</v>
      </c>
      <c r="H908" s="94">
        <v>3.78</v>
      </c>
      <c r="I908" s="95">
        <v>7.4</v>
      </c>
      <c r="J908" s="95">
        <v>199.1</v>
      </c>
      <c r="K908" s="95">
        <v>207.9</v>
      </c>
      <c r="L908" s="95">
        <v>407</v>
      </c>
      <c r="M908" s="96">
        <v>0.27529999999999999</v>
      </c>
      <c r="N908" s="95">
        <v>4.62</v>
      </c>
      <c r="O908" s="95">
        <v>4.82</v>
      </c>
      <c r="P908" s="95">
        <v>9.4400000000000013</v>
      </c>
      <c r="Q908" s="95">
        <v>254.1</v>
      </c>
      <c r="R908" s="95">
        <v>265.10000000000002</v>
      </c>
      <c r="S908" s="95">
        <v>519.20000000000005</v>
      </c>
    </row>
    <row r="909" spans="1:19" ht="15" x14ac:dyDescent="0.25">
      <c r="A909" s="90" t="s">
        <v>2507</v>
      </c>
      <c r="B909" s="90"/>
      <c r="C909" s="91" t="s">
        <v>2508</v>
      </c>
      <c r="D909" s="92"/>
      <c r="E909" s="90"/>
      <c r="F909" s="99"/>
      <c r="G909" s="94"/>
      <c r="H909" s="94"/>
      <c r="I909" s="95"/>
      <c r="J909" s="95"/>
      <c r="K909" s="95"/>
      <c r="L909" s="95"/>
      <c r="M909" s="96">
        <v>0</v>
      </c>
      <c r="N909" s="95"/>
      <c r="O909" s="95"/>
      <c r="P909" s="95"/>
      <c r="Q909" s="95">
        <v>0</v>
      </c>
      <c r="R909" s="95">
        <v>0</v>
      </c>
      <c r="S909" s="95">
        <v>0</v>
      </c>
    </row>
    <row r="910" spans="1:19" ht="15" x14ac:dyDescent="0.25">
      <c r="A910" s="90" t="s">
        <v>2509</v>
      </c>
      <c r="B910" s="90" t="s">
        <v>31</v>
      </c>
      <c r="C910" s="98" t="s">
        <v>2510</v>
      </c>
      <c r="D910" s="92" t="s">
        <v>2511</v>
      </c>
      <c r="E910" s="90" t="s">
        <v>16</v>
      </c>
      <c r="F910" s="99">
        <v>30</v>
      </c>
      <c r="G910" s="94">
        <v>11.44</v>
      </c>
      <c r="H910" s="94">
        <v>21.84</v>
      </c>
      <c r="I910" s="95">
        <v>33.28</v>
      </c>
      <c r="J910" s="95">
        <v>343.2</v>
      </c>
      <c r="K910" s="95">
        <v>655.20000000000005</v>
      </c>
      <c r="L910" s="95">
        <v>998.4</v>
      </c>
      <c r="M910" s="96">
        <v>0.27529999999999999</v>
      </c>
      <c r="N910" s="95">
        <v>14.59</v>
      </c>
      <c r="O910" s="95">
        <v>27.85</v>
      </c>
      <c r="P910" s="95">
        <v>42.44</v>
      </c>
      <c r="Q910" s="95">
        <v>437.7</v>
      </c>
      <c r="R910" s="95">
        <v>835.5</v>
      </c>
      <c r="S910" s="95">
        <v>1273.2</v>
      </c>
    </row>
    <row r="911" spans="1:19" ht="15" x14ac:dyDescent="0.25">
      <c r="A911" s="90" t="s">
        <v>2512</v>
      </c>
      <c r="B911" s="90" t="s">
        <v>382</v>
      </c>
      <c r="C911" s="98" t="s">
        <v>2513</v>
      </c>
      <c r="D911" s="92" t="s">
        <v>2514</v>
      </c>
      <c r="E911" s="90" t="s">
        <v>16</v>
      </c>
      <c r="F911" s="99">
        <v>2</v>
      </c>
      <c r="G911" s="94">
        <v>125.79</v>
      </c>
      <c r="H911" s="94">
        <v>75.06</v>
      </c>
      <c r="I911" s="95">
        <v>200.85000000000002</v>
      </c>
      <c r="J911" s="95">
        <v>251.58</v>
      </c>
      <c r="K911" s="95">
        <v>150.11999999999998</v>
      </c>
      <c r="L911" s="95">
        <v>401.7</v>
      </c>
      <c r="M911" s="96">
        <v>0.27529999999999999</v>
      </c>
      <c r="N911" s="95">
        <v>160.41999999999999</v>
      </c>
      <c r="O911" s="95">
        <v>95.72</v>
      </c>
      <c r="P911" s="95">
        <v>256.14</v>
      </c>
      <c r="Q911" s="95">
        <v>320.83999999999997</v>
      </c>
      <c r="R911" s="95">
        <v>191.44</v>
      </c>
      <c r="S911" s="95">
        <v>512.28</v>
      </c>
    </row>
    <row r="912" spans="1:19" ht="15" x14ac:dyDescent="0.25">
      <c r="A912" s="90" t="s">
        <v>2515</v>
      </c>
      <c r="B912" s="90" t="s">
        <v>382</v>
      </c>
      <c r="C912" s="98" t="s">
        <v>2513</v>
      </c>
      <c r="D912" s="92" t="s">
        <v>2516</v>
      </c>
      <c r="E912" s="90" t="s">
        <v>16</v>
      </c>
      <c r="F912" s="99">
        <v>1</v>
      </c>
      <c r="G912" s="94">
        <v>125.79</v>
      </c>
      <c r="H912" s="94">
        <v>75.06</v>
      </c>
      <c r="I912" s="95">
        <v>200.85000000000002</v>
      </c>
      <c r="J912" s="95">
        <v>125.79</v>
      </c>
      <c r="K912" s="95">
        <v>75.059999999999988</v>
      </c>
      <c r="L912" s="95">
        <v>200.85</v>
      </c>
      <c r="M912" s="96">
        <v>0.27529999999999999</v>
      </c>
      <c r="N912" s="95">
        <v>160.41999999999999</v>
      </c>
      <c r="O912" s="95">
        <v>95.72</v>
      </c>
      <c r="P912" s="95">
        <v>256.14</v>
      </c>
      <c r="Q912" s="95">
        <v>160.41999999999999</v>
      </c>
      <c r="R912" s="95">
        <v>95.72</v>
      </c>
      <c r="S912" s="95">
        <v>256.14</v>
      </c>
    </row>
    <row r="913" spans="1:19" ht="15" x14ac:dyDescent="0.25">
      <c r="A913" s="90" t="s">
        <v>2517</v>
      </c>
      <c r="B913" s="90" t="s">
        <v>382</v>
      </c>
      <c r="C913" s="98" t="s">
        <v>2518</v>
      </c>
      <c r="D913" s="92" t="s">
        <v>2519</v>
      </c>
      <c r="E913" s="90" t="s">
        <v>16</v>
      </c>
      <c r="F913" s="99">
        <v>10</v>
      </c>
      <c r="G913" s="94">
        <v>10.92</v>
      </c>
      <c r="H913" s="94">
        <v>15.8</v>
      </c>
      <c r="I913" s="95">
        <v>26.72</v>
      </c>
      <c r="J913" s="95">
        <v>109.2</v>
      </c>
      <c r="K913" s="95">
        <v>158</v>
      </c>
      <c r="L913" s="95">
        <v>267.2</v>
      </c>
      <c r="M913" s="96">
        <v>0.27529999999999999</v>
      </c>
      <c r="N913" s="95">
        <v>13.93</v>
      </c>
      <c r="O913" s="95">
        <v>20.149999999999999</v>
      </c>
      <c r="P913" s="95">
        <v>34.08</v>
      </c>
      <c r="Q913" s="95">
        <v>139.30000000000001</v>
      </c>
      <c r="R913" s="95">
        <v>201.5</v>
      </c>
      <c r="S913" s="95">
        <v>340.8</v>
      </c>
    </row>
    <row r="914" spans="1:19" ht="15" x14ac:dyDescent="0.25">
      <c r="A914" s="90" t="s">
        <v>2520</v>
      </c>
      <c r="B914" s="90"/>
      <c r="C914" s="91" t="s">
        <v>2521</v>
      </c>
      <c r="D914" s="92"/>
      <c r="E914" s="90"/>
      <c r="F914" s="99"/>
      <c r="G914" s="94"/>
      <c r="H914" s="94"/>
      <c r="I914" s="95"/>
      <c r="J914" s="95"/>
      <c r="K914" s="95"/>
      <c r="L914" s="95"/>
      <c r="M914" s="96">
        <v>0</v>
      </c>
      <c r="N914" s="95"/>
      <c r="O914" s="95"/>
      <c r="P914" s="95"/>
      <c r="Q914" s="95">
        <v>0</v>
      </c>
      <c r="R914" s="95">
        <v>0</v>
      </c>
      <c r="S914" s="95">
        <v>0</v>
      </c>
    </row>
    <row r="915" spans="1:19" ht="15" x14ac:dyDescent="0.25">
      <c r="A915" s="90" t="s">
        <v>2522</v>
      </c>
      <c r="B915" s="90" t="s">
        <v>31</v>
      </c>
      <c r="C915" s="98" t="s">
        <v>2523</v>
      </c>
      <c r="D915" s="92" t="s">
        <v>2524</v>
      </c>
      <c r="E915" s="90" t="s">
        <v>16</v>
      </c>
      <c r="F915" s="99">
        <v>2</v>
      </c>
      <c r="G915" s="94">
        <v>26.6</v>
      </c>
      <c r="H915" s="94">
        <v>20.92</v>
      </c>
      <c r="I915" s="95">
        <v>47.52</v>
      </c>
      <c r="J915" s="95">
        <v>53.2</v>
      </c>
      <c r="K915" s="95">
        <v>41.84</v>
      </c>
      <c r="L915" s="95">
        <v>95.04</v>
      </c>
      <c r="M915" s="96">
        <v>0.27529999999999999</v>
      </c>
      <c r="N915" s="95">
        <v>33.92</v>
      </c>
      <c r="O915" s="95">
        <v>26.68</v>
      </c>
      <c r="P915" s="95">
        <v>60.6</v>
      </c>
      <c r="Q915" s="95">
        <v>67.84</v>
      </c>
      <c r="R915" s="95">
        <v>53.36</v>
      </c>
      <c r="S915" s="95">
        <v>121.2</v>
      </c>
    </row>
    <row r="916" spans="1:19" ht="15" x14ac:dyDescent="0.25">
      <c r="A916" s="90" t="s">
        <v>2525</v>
      </c>
      <c r="B916" s="90" t="s">
        <v>31</v>
      </c>
      <c r="C916" s="98" t="s">
        <v>2526</v>
      </c>
      <c r="D916" s="92" t="s">
        <v>2527</v>
      </c>
      <c r="E916" s="90" t="s">
        <v>16</v>
      </c>
      <c r="F916" s="99">
        <v>2</v>
      </c>
      <c r="G916" s="94">
        <v>46.51</v>
      </c>
      <c r="H916" s="94">
        <v>37.68</v>
      </c>
      <c r="I916" s="95">
        <v>84.19</v>
      </c>
      <c r="J916" s="95">
        <v>93.02</v>
      </c>
      <c r="K916" s="95">
        <v>75.36</v>
      </c>
      <c r="L916" s="95">
        <v>168.38</v>
      </c>
      <c r="M916" s="96">
        <v>0.27529999999999999</v>
      </c>
      <c r="N916" s="95">
        <v>59.31</v>
      </c>
      <c r="O916" s="95">
        <v>48.05</v>
      </c>
      <c r="P916" s="95">
        <v>107.36</v>
      </c>
      <c r="Q916" s="95">
        <v>118.62</v>
      </c>
      <c r="R916" s="95">
        <v>96.1</v>
      </c>
      <c r="S916" s="95">
        <v>214.72</v>
      </c>
    </row>
    <row r="917" spans="1:19" ht="15" x14ac:dyDescent="0.25">
      <c r="A917" s="90" t="s">
        <v>2528</v>
      </c>
      <c r="B917" s="90" t="s">
        <v>31</v>
      </c>
      <c r="C917" s="98" t="s">
        <v>2529</v>
      </c>
      <c r="D917" s="92" t="s">
        <v>2530</v>
      </c>
      <c r="E917" s="90" t="s">
        <v>16</v>
      </c>
      <c r="F917" s="99">
        <v>4</v>
      </c>
      <c r="G917" s="94">
        <v>17.05</v>
      </c>
      <c r="H917" s="94">
        <v>14.21</v>
      </c>
      <c r="I917" s="95">
        <v>31.26</v>
      </c>
      <c r="J917" s="95">
        <v>68.2</v>
      </c>
      <c r="K917" s="95">
        <v>56.84</v>
      </c>
      <c r="L917" s="95">
        <v>125.04</v>
      </c>
      <c r="M917" s="96">
        <v>0.27529999999999999</v>
      </c>
      <c r="N917" s="95">
        <v>21.74</v>
      </c>
      <c r="O917" s="95">
        <v>18.12</v>
      </c>
      <c r="P917" s="95">
        <v>39.86</v>
      </c>
      <c r="Q917" s="95">
        <v>86.96</v>
      </c>
      <c r="R917" s="95">
        <v>72.48</v>
      </c>
      <c r="S917" s="95">
        <v>159.44</v>
      </c>
    </row>
    <row r="918" spans="1:19" ht="15" x14ac:dyDescent="0.25">
      <c r="A918" s="90" t="s">
        <v>2531</v>
      </c>
      <c r="B918" s="90" t="s">
        <v>31</v>
      </c>
      <c r="C918" s="98" t="s">
        <v>2532</v>
      </c>
      <c r="D918" s="92" t="s">
        <v>2533</v>
      </c>
      <c r="E918" s="90" t="s">
        <v>16</v>
      </c>
      <c r="F918" s="99">
        <v>7</v>
      </c>
      <c r="G918" s="94">
        <v>19.39</v>
      </c>
      <c r="H918" s="94">
        <v>17.57</v>
      </c>
      <c r="I918" s="95">
        <v>36.96</v>
      </c>
      <c r="J918" s="95">
        <v>135.72999999999999</v>
      </c>
      <c r="K918" s="95">
        <v>122.99000000000004</v>
      </c>
      <c r="L918" s="95">
        <v>258.72000000000003</v>
      </c>
      <c r="M918" s="96">
        <v>0.27529999999999999</v>
      </c>
      <c r="N918" s="95">
        <v>24.73</v>
      </c>
      <c r="O918" s="95">
        <v>22.41</v>
      </c>
      <c r="P918" s="95">
        <v>47.14</v>
      </c>
      <c r="Q918" s="95">
        <v>173.11</v>
      </c>
      <c r="R918" s="95">
        <v>156.87</v>
      </c>
      <c r="S918" s="95">
        <v>329.98</v>
      </c>
    </row>
    <row r="919" spans="1:19" ht="15" x14ac:dyDescent="0.25">
      <c r="A919" s="90" t="s">
        <v>2534</v>
      </c>
      <c r="B919" s="90" t="s">
        <v>31</v>
      </c>
      <c r="C919" s="98" t="s">
        <v>2535</v>
      </c>
      <c r="D919" s="92" t="s">
        <v>2536</v>
      </c>
      <c r="E919" s="90" t="s">
        <v>16</v>
      </c>
      <c r="F919" s="99">
        <v>12</v>
      </c>
      <c r="G919" s="94">
        <v>33.049999999999997</v>
      </c>
      <c r="H919" s="94">
        <v>21.68</v>
      </c>
      <c r="I919" s="95">
        <v>54.73</v>
      </c>
      <c r="J919" s="95">
        <v>396.6</v>
      </c>
      <c r="K919" s="95">
        <v>260.15999999999997</v>
      </c>
      <c r="L919" s="95">
        <v>656.76</v>
      </c>
      <c r="M919" s="96">
        <v>0.27529999999999999</v>
      </c>
      <c r="N919" s="95">
        <v>42.15</v>
      </c>
      <c r="O919" s="95">
        <v>27.65</v>
      </c>
      <c r="P919" s="95">
        <v>69.8</v>
      </c>
      <c r="Q919" s="95">
        <v>505.8</v>
      </c>
      <c r="R919" s="95">
        <v>331.8</v>
      </c>
      <c r="S919" s="95">
        <v>837.6</v>
      </c>
    </row>
    <row r="920" spans="1:19" ht="15" x14ac:dyDescent="0.25">
      <c r="A920" s="90" t="s">
        <v>2537</v>
      </c>
      <c r="B920" s="90" t="s">
        <v>31</v>
      </c>
      <c r="C920" s="98" t="s">
        <v>2538</v>
      </c>
      <c r="D920" s="92" t="s">
        <v>2539</v>
      </c>
      <c r="E920" s="90" t="s">
        <v>16</v>
      </c>
      <c r="F920" s="99">
        <v>1</v>
      </c>
      <c r="G920" s="94">
        <v>39.409999999999997</v>
      </c>
      <c r="H920" s="94">
        <v>28.75</v>
      </c>
      <c r="I920" s="95">
        <v>68.16</v>
      </c>
      <c r="J920" s="95">
        <v>39.409999999999997</v>
      </c>
      <c r="K920" s="95">
        <v>28.75</v>
      </c>
      <c r="L920" s="95">
        <v>68.16</v>
      </c>
      <c r="M920" s="96">
        <v>0.27529999999999999</v>
      </c>
      <c r="N920" s="95">
        <v>50.26</v>
      </c>
      <c r="O920" s="95">
        <v>36.659999999999997</v>
      </c>
      <c r="P920" s="95">
        <v>86.919999999999987</v>
      </c>
      <c r="Q920" s="95">
        <v>50.26</v>
      </c>
      <c r="R920" s="95">
        <v>36.659999999999997</v>
      </c>
      <c r="S920" s="95">
        <v>86.919999999999987</v>
      </c>
    </row>
    <row r="921" spans="1:19" ht="15" x14ac:dyDescent="0.25">
      <c r="A921" s="90" t="s">
        <v>2540</v>
      </c>
      <c r="B921" s="90"/>
      <c r="C921" s="98" t="s">
        <v>2541</v>
      </c>
      <c r="D921" s="92"/>
      <c r="E921" s="90"/>
      <c r="F921" s="99"/>
      <c r="G921" s="94"/>
      <c r="H921" s="94"/>
      <c r="I921" s="95"/>
      <c r="J921" s="95"/>
      <c r="K921" s="95"/>
      <c r="L921" s="95"/>
      <c r="M921" s="96">
        <v>0</v>
      </c>
      <c r="N921" s="95"/>
      <c r="O921" s="95"/>
      <c r="P921" s="95"/>
      <c r="Q921" s="95">
        <v>0</v>
      </c>
      <c r="R921" s="95">
        <v>0</v>
      </c>
      <c r="S921" s="95">
        <v>0</v>
      </c>
    </row>
    <row r="922" spans="1:19" ht="15" x14ac:dyDescent="0.25">
      <c r="A922" s="90" t="s">
        <v>2542</v>
      </c>
      <c r="B922" s="90" t="s">
        <v>184</v>
      </c>
      <c r="C922" s="98" t="s">
        <v>2543</v>
      </c>
      <c r="D922" s="92" t="s">
        <v>2544</v>
      </c>
      <c r="E922" s="90" t="s">
        <v>16</v>
      </c>
      <c r="F922" s="99">
        <v>2</v>
      </c>
      <c r="G922" s="94">
        <v>332.97</v>
      </c>
      <c r="H922" s="94">
        <v>18.97</v>
      </c>
      <c r="I922" s="95">
        <v>351.94000000000005</v>
      </c>
      <c r="J922" s="95">
        <v>665.94</v>
      </c>
      <c r="K922" s="95">
        <v>37.939999999999941</v>
      </c>
      <c r="L922" s="95">
        <v>703.88</v>
      </c>
      <c r="M922" s="96">
        <v>0.27529999999999999</v>
      </c>
      <c r="N922" s="95">
        <v>424.64</v>
      </c>
      <c r="O922" s="95">
        <v>24.19</v>
      </c>
      <c r="P922" s="95">
        <v>448.83</v>
      </c>
      <c r="Q922" s="95">
        <v>849.28</v>
      </c>
      <c r="R922" s="95">
        <v>48.38</v>
      </c>
      <c r="S922" s="95">
        <v>897.66</v>
      </c>
    </row>
    <row r="923" spans="1:19" ht="15" x14ac:dyDescent="0.25">
      <c r="A923" s="90" t="s">
        <v>2545</v>
      </c>
      <c r="B923" s="90" t="s">
        <v>184</v>
      </c>
      <c r="C923" s="98" t="s">
        <v>2546</v>
      </c>
      <c r="D923" s="92" t="s">
        <v>2547</v>
      </c>
      <c r="E923" s="90" t="s">
        <v>16</v>
      </c>
      <c r="F923" s="99">
        <v>7</v>
      </c>
      <c r="G923" s="94">
        <v>223.5</v>
      </c>
      <c r="H923" s="94">
        <v>18.97</v>
      </c>
      <c r="I923" s="95">
        <v>242.47</v>
      </c>
      <c r="J923" s="95">
        <v>1564.5</v>
      </c>
      <c r="K923" s="95">
        <v>132.78999999999996</v>
      </c>
      <c r="L923" s="95">
        <v>1697.29</v>
      </c>
      <c r="M923" s="96">
        <v>0.27529999999999999</v>
      </c>
      <c r="N923" s="95">
        <v>285.02999999999997</v>
      </c>
      <c r="O923" s="95">
        <v>24.19</v>
      </c>
      <c r="P923" s="95">
        <v>309.21999999999997</v>
      </c>
      <c r="Q923" s="95">
        <v>1995.21</v>
      </c>
      <c r="R923" s="95">
        <v>169.33</v>
      </c>
      <c r="S923" s="95">
        <v>2164.54</v>
      </c>
    </row>
    <row r="924" spans="1:19" ht="15" x14ac:dyDescent="0.25">
      <c r="A924" s="90" t="s">
        <v>2548</v>
      </c>
      <c r="B924" s="90" t="s">
        <v>31</v>
      </c>
      <c r="C924" s="98" t="s">
        <v>2549</v>
      </c>
      <c r="D924" s="92" t="s">
        <v>2550</v>
      </c>
      <c r="E924" s="90" t="s">
        <v>16</v>
      </c>
      <c r="F924" s="99">
        <v>2</v>
      </c>
      <c r="G924" s="94">
        <v>91.01</v>
      </c>
      <c r="H924" s="94">
        <v>16.079999999999998</v>
      </c>
      <c r="I924" s="95">
        <v>107.09</v>
      </c>
      <c r="J924" s="95">
        <v>182.02</v>
      </c>
      <c r="K924" s="95">
        <v>32.159999999999997</v>
      </c>
      <c r="L924" s="95">
        <v>214.18</v>
      </c>
      <c r="M924" s="96">
        <v>0.27529999999999999</v>
      </c>
      <c r="N924" s="95">
        <v>116.07</v>
      </c>
      <c r="O924" s="95">
        <v>20.51</v>
      </c>
      <c r="P924" s="95">
        <v>136.57999999999998</v>
      </c>
      <c r="Q924" s="95">
        <v>232.14</v>
      </c>
      <c r="R924" s="95">
        <v>41.02</v>
      </c>
      <c r="S924" s="95">
        <v>273.15999999999997</v>
      </c>
    </row>
    <row r="925" spans="1:19" ht="15" x14ac:dyDescent="0.25">
      <c r="A925" s="90" t="s">
        <v>2551</v>
      </c>
      <c r="B925" s="90" t="s">
        <v>100</v>
      </c>
      <c r="C925" s="98" t="s">
        <v>2552</v>
      </c>
      <c r="D925" s="92" t="s">
        <v>2553</v>
      </c>
      <c r="E925" s="90" t="s">
        <v>16</v>
      </c>
      <c r="F925" s="99">
        <v>38</v>
      </c>
      <c r="G925" s="94">
        <v>157.88999999999999</v>
      </c>
      <c r="H925" s="94">
        <v>58.79</v>
      </c>
      <c r="I925" s="95">
        <v>216.67999999999998</v>
      </c>
      <c r="J925" s="95">
        <v>5999.82</v>
      </c>
      <c r="K925" s="95">
        <v>2234.0200000000004</v>
      </c>
      <c r="L925" s="95">
        <v>8233.84</v>
      </c>
      <c r="M925" s="96">
        <v>0.27529999999999999</v>
      </c>
      <c r="N925" s="95">
        <v>201.36</v>
      </c>
      <c r="O925" s="95">
        <v>74.97</v>
      </c>
      <c r="P925" s="95">
        <v>276.33000000000004</v>
      </c>
      <c r="Q925" s="95">
        <v>7651.68</v>
      </c>
      <c r="R925" s="95">
        <v>2848.86</v>
      </c>
      <c r="S925" s="95">
        <v>10500.54</v>
      </c>
    </row>
    <row r="926" spans="1:19" ht="15" x14ac:dyDescent="0.25">
      <c r="A926" s="90" t="s">
        <v>2554</v>
      </c>
      <c r="B926" s="90"/>
      <c r="C926" s="91" t="s">
        <v>2555</v>
      </c>
      <c r="D926" s="92"/>
      <c r="E926" s="90"/>
      <c r="F926" s="99"/>
      <c r="G926" s="94"/>
      <c r="H926" s="94"/>
      <c r="I926" s="95"/>
      <c r="J926" s="95"/>
      <c r="K926" s="95"/>
      <c r="L926" s="95"/>
      <c r="M926" s="96">
        <v>0</v>
      </c>
      <c r="N926" s="95"/>
      <c r="O926" s="95"/>
      <c r="P926" s="95"/>
      <c r="Q926" s="95">
        <v>0</v>
      </c>
      <c r="R926" s="95">
        <v>0</v>
      </c>
      <c r="S926" s="95">
        <v>0</v>
      </c>
    </row>
    <row r="927" spans="1:19" ht="15" x14ac:dyDescent="0.25">
      <c r="A927" s="90" t="s">
        <v>2556</v>
      </c>
      <c r="B927" s="90" t="s">
        <v>31</v>
      </c>
      <c r="C927" s="98" t="s">
        <v>2557</v>
      </c>
      <c r="D927" s="92" t="s">
        <v>2558</v>
      </c>
      <c r="E927" s="90" t="s">
        <v>93</v>
      </c>
      <c r="F927" s="99">
        <v>180</v>
      </c>
      <c r="G927" s="94">
        <v>141.9</v>
      </c>
      <c r="H927" s="94">
        <v>5.72</v>
      </c>
      <c r="I927" s="95">
        <v>147.62</v>
      </c>
      <c r="J927" s="95">
        <v>25542</v>
      </c>
      <c r="K927" s="95">
        <v>1029.5999999999985</v>
      </c>
      <c r="L927" s="95">
        <v>26571.599999999999</v>
      </c>
      <c r="M927" s="96">
        <v>0.27529999999999999</v>
      </c>
      <c r="N927" s="95">
        <v>180.97</v>
      </c>
      <c r="O927" s="95">
        <v>7.29</v>
      </c>
      <c r="P927" s="95">
        <v>188.26</v>
      </c>
      <c r="Q927" s="95">
        <v>32574.6</v>
      </c>
      <c r="R927" s="95">
        <v>1312.2</v>
      </c>
      <c r="S927" s="95">
        <v>33886.799999999996</v>
      </c>
    </row>
    <row r="928" spans="1:19" ht="15" x14ac:dyDescent="0.25">
      <c r="A928" s="90" t="s">
        <v>2559</v>
      </c>
      <c r="B928" s="90" t="s">
        <v>31</v>
      </c>
      <c r="C928" s="98" t="s">
        <v>2560</v>
      </c>
      <c r="D928" s="92" t="s">
        <v>2561</v>
      </c>
      <c r="E928" s="90" t="s">
        <v>93</v>
      </c>
      <c r="F928" s="99">
        <v>1240</v>
      </c>
      <c r="G928" s="94">
        <v>3.71</v>
      </c>
      <c r="H928" s="94">
        <v>1.1399999999999999</v>
      </c>
      <c r="I928" s="95">
        <v>4.8499999999999996</v>
      </c>
      <c r="J928" s="95">
        <v>4600.3999999999996</v>
      </c>
      <c r="K928" s="95">
        <v>1413.6000000000004</v>
      </c>
      <c r="L928" s="95">
        <v>6014</v>
      </c>
      <c r="M928" s="96">
        <v>0.27529999999999999</v>
      </c>
      <c r="N928" s="95">
        <v>4.7300000000000004</v>
      </c>
      <c r="O928" s="95">
        <v>1.45</v>
      </c>
      <c r="P928" s="95">
        <v>6.1800000000000006</v>
      </c>
      <c r="Q928" s="95">
        <v>5865.2</v>
      </c>
      <c r="R928" s="95">
        <v>1798</v>
      </c>
      <c r="S928" s="95">
        <v>7663.2</v>
      </c>
    </row>
    <row r="929" spans="1:19" ht="15" x14ac:dyDescent="0.25">
      <c r="A929" s="90" t="s">
        <v>2562</v>
      </c>
      <c r="B929" s="90"/>
      <c r="C929" s="98" t="s">
        <v>2563</v>
      </c>
      <c r="D929" s="92"/>
      <c r="E929" s="90"/>
      <c r="F929" s="99"/>
      <c r="G929" s="94"/>
      <c r="H929" s="94"/>
      <c r="I929" s="95"/>
      <c r="J929" s="95"/>
      <c r="K929" s="95"/>
      <c r="L929" s="95"/>
      <c r="M929" s="96"/>
      <c r="N929" s="95"/>
      <c r="O929" s="95"/>
      <c r="P929" s="95"/>
      <c r="Q929" s="95">
        <v>0</v>
      </c>
      <c r="R929" s="95">
        <v>0</v>
      </c>
      <c r="S929" s="95">
        <v>0</v>
      </c>
    </row>
    <row r="930" spans="1:19" ht="15" x14ac:dyDescent="0.25">
      <c r="A930" s="90" t="s">
        <v>2564</v>
      </c>
      <c r="B930" s="90" t="s">
        <v>1221</v>
      </c>
      <c r="C930" s="98" t="s">
        <v>2565</v>
      </c>
      <c r="D930" s="92" t="s">
        <v>2566</v>
      </c>
      <c r="E930" s="90" t="s">
        <v>93</v>
      </c>
      <c r="F930" s="99">
        <v>135</v>
      </c>
      <c r="G930" s="94">
        <v>46.79</v>
      </c>
      <c r="H930" s="94">
        <v>8</v>
      </c>
      <c r="I930" s="95">
        <v>54.79</v>
      </c>
      <c r="J930" s="95">
        <v>6316.65</v>
      </c>
      <c r="K930" s="95">
        <v>1080</v>
      </c>
      <c r="L930" s="95">
        <v>7396.65</v>
      </c>
      <c r="M930" s="96">
        <v>0.27529999999999999</v>
      </c>
      <c r="N930" s="95">
        <v>59.67</v>
      </c>
      <c r="O930" s="95">
        <v>10.199999999999999</v>
      </c>
      <c r="P930" s="95">
        <v>69.87</v>
      </c>
      <c r="Q930" s="95">
        <v>8055.45</v>
      </c>
      <c r="R930" s="95">
        <v>1377</v>
      </c>
      <c r="S930" s="95">
        <v>9432.4500000000007</v>
      </c>
    </row>
    <row r="931" spans="1:19" ht="15" x14ac:dyDescent="0.25">
      <c r="A931" s="90" t="s">
        <v>2567</v>
      </c>
      <c r="B931" s="90" t="s">
        <v>1802</v>
      </c>
      <c r="C931" s="98" t="s">
        <v>2568</v>
      </c>
      <c r="D931" s="92" t="s">
        <v>2569</v>
      </c>
      <c r="E931" s="90" t="s">
        <v>93</v>
      </c>
      <c r="F931" s="99">
        <v>74</v>
      </c>
      <c r="G931" s="94">
        <v>107.59</v>
      </c>
      <c r="H931" s="94">
        <v>13.66</v>
      </c>
      <c r="I931" s="95">
        <v>121.25</v>
      </c>
      <c r="J931" s="95">
        <v>7961.66</v>
      </c>
      <c r="K931" s="95">
        <v>1010.8400000000001</v>
      </c>
      <c r="L931" s="95">
        <v>8972.5</v>
      </c>
      <c r="M931" s="96">
        <v>0.27529999999999999</v>
      </c>
      <c r="N931" s="95">
        <v>137.21</v>
      </c>
      <c r="O931" s="95">
        <v>17.420000000000002</v>
      </c>
      <c r="P931" s="95">
        <v>154.63</v>
      </c>
      <c r="Q931" s="95">
        <v>10153.540000000001</v>
      </c>
      <c r="R931" s="95">
        <v>1289.08</v>
      </c>
      <c r="S931" s="95">
        <v>11442.62</v>
      </c>
    </row>
    <row r="932" spans="1:19" ht="15" x14ac:dyDescent="0.25">
      <c r="A932" s="90" t="s">
        <v>2570</v>
      </c>
      <c r="B932" s="90" t="s">
        <v>622</v>
      </c>
      <c r="C932" s="98" t="s">
        <v>2571</v>
      </c>
      <c r="D932" s="92" t="s">
        <v>2572</v>
      </c>
      <c r="E932" s="90" t="s">
        <v>93</v>
      </c>
      <c r="F932" s="99">
        <v>24</v>
      </c>
      <c r="G932" s="94">
        <v>30.11</v>
      </c>
      <c r="H932" s="94">
        <v>6.71</v>
      </c>
      <c r="I932" s="95">
        <v>36.82</v>
      </c>
      <c r="J932" s="95">
        <v>722.64</v>
      </c>
      <c r="K932" s="95">
        <v>161.03999999999996</v>
      </c>
      <c r="L932" s="95">
        <v>883.68</v>
      </c>
      <c r="M932" s="96">
        <v>0.27529999999999999</v>
      </c>
      <c r="N932" s="95">
        <v>38.4</v>
      </c>
      <c r="O932" s="95">
        <v>8.56</v>
      </c>
      <c r="P932" s="95">
        <v>46.96</v>
      </c>
      <c r="Q932" s="95">
        <v>921.6</v>
      </c>
      <c r="R932" s="95">
        <v>205.44</v>
      </c>
      <c r="S932" s="95">
        <v>1127.04</v>
      </c>
    </row>
    <row r="933" spans="1:19" ht="15" x14ac:dyDescent="0.25">
      <c r="A933" s="90" t="s">
        <v>2573</v>
      </c>
      <c r="B933" s="90"/>
      <c r="C933" s="91" t="s">
        <v>2574</v>
      </c>
      <c r="D933" s="92"/>
      <c r="E933" s="90"/>
      <c r="F933" s="99"/>
      <c r="G933" s="94"/>
      <c r="H933" s="94"/>
      <c r="I933" s="95"/>
      <c r="J933" s="95"/>
      <c r="K933" s="95"/>
      <c r="L933" s="95"/>
      <c r="M933" s="96"/>
      <c r="N933" s="95"/>
      <c r="O933" s="95"/>
      <c r="P933" s="95"/>
      <c r="Q933" s="95">
        <v>0</v>
      </c>
      <c r="R933" s="95">
        <v>0</v>
      </c>
      <c r="S933" s="95">
        <v>0</v>
      </c>
    </row>
    <row r="934" spans="1:19" ht="15" x14ac:dyDescent="0.25">
      <c r="A934" s="90" t="s">
        <v>2575</v>
      </c>
      <c r="B934" s="90" t="s">
        <v>75</v>
      </c>
      <c r="C934" s="98" t="s">
        <v>2576</v>
      </c>
      <c r="D934" s="92" t="s">
        <v>2577</v>
      </c>
      <c r="E934" s="90" t="s">
        <v>93</v>
      </c>
      <c r="F934" s="99">
        <v>15</v>
      </c>
      <c r="G934" s="94">
        <v>235.71</v>
      </c>
      <c r="H934" s="94">
        <v>11.66</v>
      </c>
      <c r="I934" s="95">
        <v>247.37</v>
      </c>
      <c r="J934" s="95">
        <v>3535.65</v>
      </c>
      <c r="K934" s="95">
        <v>174.90000000000009</v>
      </c>
      <c r="L934" s="95">
        <v>3710.55</v>
      </c>
      <c r="M934" s="96">
        <v>0.27529999999999999</v>
      </c>
      <c r="N934" s="95">
        <v>300.60000000000002</v>
      </c>
      <c r="O934" s="95">
        <v>14.87</v>
      </c>
      <c r="P934" s="95">
        <v>315.47000000000003</v>
      </c>
      <c r="Q934" s="95">
        <v>4509</v>
      </c>
      <c r="R934" s="95">
        <v>223.05</v>
      </c>
      <c r="S934" s="95">
        <v>4732.05</v>
      </c>
    </row>
    <row r="935" spans="1:19" ht="15" x14ac:dyDescent="0.25">
      <c r="A935" s="90" t="s">
        <v>2578</v>
      </c>
      <c r="B935" s="90" t="s">
        <v>45</v>
      </c>
      <c r="C935" s="98" t="s">
        <v>2576</v>
      </c>
      <c r="D935" s="92" t="s">
        <v>2579</v>
      </c>
      <c r="E935" s="90" t="s">
        <v>93</v>
      </c>
      <c r="F935" s="99">
        <v>27</v>
      </c>
      <c r="G935" s="94">
        <v>405.44</v>
      </c>
      <c r="H935" s="94">
        <v>11.66</v>
      </c>
      <c r="I935" s="95">
        <v>417.1</v>
      </c>
      <c r="J935" s="95">
        <v>10946.88</v>
      </c>
      <c r="K935" s="95">
        <v>314.82000000000153</v>
      </c>
      <c r="L935" s="95">
        <v>11261.7</v>
      </c>
      <c r="M935" s="96">
        <v>0.27529999999999999</v>
      </c>
      <c r="N935" s="95">
        <v>517.05999999999995</v>
      </c>
      <c r="O935" s="95">
        <v>14.87</v>
      </c>
      <c r="P935" s="95">
        <v>531.92999999999995</v>
      </c>
      <c r="Q935" s="95">
        <v>13960.62</v>
      </c>
      <c r="R935" s="95">
        <v>401.49</v>
      </c>
      <c r="S935" s="95">
        <v>14362.11</v>
      </c>
    </row>
    <row r="936" spans="1:19" ht="15" x14ac:dyDescent="0.25">
      <c r="A936" s="90" t="s">
        <v>2580</v>
      </c>
      <c r="B936" s="90" t="s">
        <v>75</v>
      </c>
      <c r="C936" s="98" t="s">
        <v>2581</v>
      </c>
      <c r="D936" s="92" t="s">
        <v>2582</v>
      </c>
      <c r="E936" s="90" t="s">
        <v>93</v>
      </c>
      <c r="F936" s="99">
        <v>4</v>
      </c>
      <c r="G936" s="94">
        <v>111.15</v>
      </c>
      <c r="H936" s="94">
        <v>11.66</v>
      </c>
      <c r="I936" s="95">
        <v>122.81</v>
      </c>
      <c r="J936" s="95">
        <v>444.6</v>
      </c>
      <c r="K936" s="95">
        <v>46.639999999999986</v>
      </c>
      <c r="L936" s="95">
        <v>491.24</v>
      </c>
      <c r="M936" s="96">
        <v>0.27529999999999999</v>
      </c>
      <c r="N936" s="95">
        <v>141.75</v>
      </c>
      <c r="O936" s="95">
        <v>14.87</v>
      </c>
      <c r="P936" s="95">
        <v>156.62</v>
      </c>
      <c r="Q936" s="95">
        <v>567</v>
      </c>
      <c r="R936" s="95">
        <v>59.48</v>
      </c>
      <c r="S936" s="95">
        <v>626.48</v>
      </c>
    </row>
    <row r="937" spans="1:19" ht="15" x14ac:dyDescent="0.25">
      <c r="A937" s="90" t="s">
        <v>2583</v>
      </c>
      <c r="B937" s="90" t="s">
        <v>86</v>
      </c>
      <c r="C937" s="98" t="s">
        <v>2584</v>
      </c>
      <c r="D937" s="92" t="s">
        <v>2585</v>
      </c>
      <c r="E937" s="90" t="s">
        <v>16</v>
      </c>
      <c r="F937" s="99">
        <v>25</v>
      </c>
      <c r="G937" s="94">
        <v>42.51</v>
      </c>
      <c r="H937" s="94">
        <v>16.66</v>
      </c>
      <c r="I937" s="95">
        <v>59.17</v>
      </c>
      <c r="J937" s="95">
        <v>1062.75</v>
      </c>
      <c r="K937" s="95">
        <v>416.5</v>
      </c>
      <c r="L937" s="95">
        <v>1479.25</v>
      </c>
      <c r="M937" s="96">
        <v>0.27529999999999999</v>
      </c>
      <c r="N937" s="95">
        <v>54.21</v>
      </c>
      <c r="O937" s="95">
        <v>21.25</v>
      </c>
      <c r="P937" s="95">
        <v>75.460000000000008</v>
      </c>
      <c r="Q937" s="95">
        <v>1355.25</v>
      </c>
      <c r="R937" s="95">
        <v>531.25</v>
      </c>
      <c r="S937" s="95">
        <v>1886.5</v>
      </c>
    </row>
    <row r="938" spans="1:19" ht="15" x14ac:dyDescent="0.25">
      <c r="A938" s="90" t="s">
        <v>2586</v>
      </c>
      <c r="B938" s="90"/>
      <c r="C938" s="98" t="s">
        <v>2587</v>
      </c>
      <c r="D938" s="92"/>
      <c r="E938" s="90"/>
      <c r="F938" s="99"/>
      <c r="G938" s="94"/>
      <c r="H938" s="94"/>
      <c r="I938" s="95"/>
      <c r="J938" s="95"/>
      <c r="K938" s="95"/>
      <c r="L938" s="95"/>
      <c r="M938" s="96">
        <v>0</v>
      </c>
      <c r="N938" s="95"/>
      <c r="O938" s="95"/>
      <c r="P938" s="95"/>
      <c r="Q938" s="95"/>
      <c r="R938" s="95"/>
      <c r="S938" s="95"/>
    </row>
    <row r="939" spans="1:19" ht="15" x14ac:dyDescent="0.25">
      <c r="A939" s="90" t="s">
        <v>2588</v>
      </c>
      <c r="B939" s="90"/>
      <c r="C939" s="91" t="s">
        <v>2589</v>
      </c>
      <c r="D939" s="92"/>
      <c r="E939" s="90"/>
      <c r="F939" s="99"/>
      <c r="G939" s="94"/>
      <c r="H939" s="94"/>
      <c r="I939" s="95"/>
      <c r="J939" s="95"/>
      <c r="K939" s="95"/>
      <c r="L939" s="95"/>
      <c r="M939" s="96">
        <v>0</v>
      </c>
      <c r="N939" s="95"/>
      <c r="O939" s="95"/>
      <c r="P939" s="95"/>
      <c r="Q939" s="95"/>
      <c r="R939" s="95"/>
      <c r="S939" s="95"/>
    </row>
    <row r="940" spans="1:19" ht="15" x14ac:dyDescent="0.25">
      <c r="A940" s="90" t="s">
        <v>2590</v>
      </c>
      <c r="B940" s="90" t="s">
        <v>86</v>
      </c>
      <c r="C940" s="98" t="s">
        <v>2460</v>
      </c>
      <c r="D940" s="92" t="s">
        <v>2591</v>
      </c>
      <c r="E940" s="90" t="s">
        <v>93</v>
      </c>
      <c r="F940" s="99">
        <v>2520</v>
      </c>
      <c r="G940" s="94">
        <v>101.63</v>
      </c>
      <c r="H940" s="94">
        <v>8.34</v>
      </c>
      <c r="I940" s="95">
        <v>109.97</v>
      </c>
      <c r="J940" s="95">
        <v>256107.6</v>
      </c>
      <c r="K940" s="95">
        <v>21016.800000000017</v>
      </c>
      <c r="L940" s="95">
        <v>277124.40000000002</v>
      </c>
      <c r="M940" s="96">
        <v>0.27529999999999999</v>
      </c>
      <c r="N940" s="95">
        <v>129.61000000000001</v>
      </c>
      <c r="O940" s="95">
        <v>10.64</v>
      </c>
      <c r="P940" s="95">
        <v>140.25</v>
      </c>
      <c r="Q940" s="95">
        <v>326617.2</v>
      </c>
      <c r="R940" s="95">
        <v>26812.799999999999</v>
      </c>
      <c r="S940" s="95">
        <v>353430</v>
      </c>
    </row>
    <row r="941" spans="1:19" ht="38.25" x14ac:dyDescent="0.25">
      <c r="A941" s="90" t="s">
        <v>2592</v>
      </c>
      <c r="B941" s="90" t="s">
        <v>1476</v>
      </c>
      <c r="C941" s="98" t="s">
        <v>2449</v>
      </c>
      <c r="D941" s="92" t="s">
        <v>2593</v>
      </c>
      <c r="E941" s="90" t="s">
        <v>16</v>
      </c>
      <c r="F941" s="99">
        <v>2</v>
      </c>
      <c r="G941" s="94">
        <v>1552.33</v>
      </c>
      <c r="H941" s="94">
        <v>2634.99</v>
      </c>
      <c r="I941" s="95">
        <v>4187.32</v>
      </c>
      <c r="J941" s="95">
        <v>3104.66</v>
      </c>
      <c r="K941" s="95">
        <v>5269.98</v>
      </c>
      <c r="L941" s="95">
        <v>8374.64</v>
      </c>
      <c r="M941" s="96">
        <v>0.27529999999999999</v>
      </c>
      <c r="N941" s="95">
        <v>1979.69</v>
      </c>
      <c r="O941" s="95">
        <v>3360.4</v>
      </c>
      <c r="P941" s="95">
        <v>5340.09</v>
      </c>
      <c r="Q941" s="95">
        <v>3959.38</v>
      </c>
      <c r="R941" s="95">
        <v>6720.8</v>
      </c>
      <c r="S941" s="95">
        <v>10680.18</v>
      </c>
    </row>
    <row r="942" spans="1:19" ht="38.25" x14ac:dyDescent="0.25">
      <c r="A942" s="90" t="s">
        <v>2594</v>
      </c>
      <c r="B942" s="90" t="s">
        <v>95</v>
      </c>
      <c r="C942" s="98" t="s">
        <v>2595</v>
      </c>
      <c r="D942" s="92" t="s">
        <v>2596</v>
      </c>
      <c r="E942" s="90" t="s">
        <v>16</v>
      </c>
      <c r="F942" s="99">
        <v>2</v>
      </c>
      <c r="G942" s="94">
        <v>189300</v>
      </c>
      <c r="H942" s="94">
        <v>0</v>
      </c>
      <c r="I942" s="95">
        <v>189300</v>
      </c>
      <c r="J942" s="95">
        <v>378600</v>
      </c>
      <c r="K942" s="95">
        <v>0</v>
      </c>
      <c r="L942" s="95">
        <v>378600</v>
      </c>
      <c r="M942" s="96">
        <v>0.1837</v>
      </c>
      <c r="N942" s="95">
        <v>224074.41</v>
      </c>
      <c r="O942" s="95">
        <v>0</v>
      </c>
      <c r="P942" s="95">
        <v>224074.41</v>
      </c>
      <c r="Q942" s="95">
        <v>448148.82</v>
      </c>
      <c r="R942" s="95">
        <v>0</v>
      </c>
      <c r="S942" s="95">
        <v>448148.82</v>
      </c>
    </row>
    <row r="943" spans="1:19" ht="15" x14ac:dyDescent="0.25">
      <c r="A943" s="90" t="s">
        <v>2597</v>
      </c>
      <c r="B943" s="90" t="s">
        <v>75</v>
      </c>
      <c r="C943" s="98" t="s">
        <v>2446</v>
      </c>
      <c r="D943" s="92" t="s">
        <v>2598</v>
      </c>
      <c r="E943" s="90" t="s">
        <v>93</v>
      </c>
      <c r="F943" s="99">
        <v>20</v>
      </c>
      <c r="G943" s="94">
        <v>24658.63</v>
      </c>
      <c r="H943" s="94">
        <v>43.57</v>
      </c>
      <c r="I943" s="95">
        <v>24702.2</v>
      </c>
      <c r="J943" s="95">
        <v>493172.6</v>
      </c>
      <c r="K943" s="95">
        <v>871.40000000002328</v>
      </c>
      <c r="L943" s="95">
        <v>494044</v>
      </c>
      <c r="M943" s="96">
        <v>0.27529999999999999</v>
      </c>
      <c r="N943" s="95">
        <v>31447.15</v>
      </c>
      <c r="O943" s="95">
        <v>55.56</v>
      </c>
      <c r="P943" s="95">
        <v>31502.710000000003</v>
      </c>
      <c r="Q943" s="95">
        <v>628943</v>
      </c>
      <c r="R943" s="95">
        <v>1111.2</v>
      </c>
      <c r="S943" s="95">
        <v>630054.19999999995</v>
      </c>
    </row>
    <row r="944" spans="1:19" ht="15" x14ac:dyDescent="0.25">
      <c r="A944" s="90" t="s">
        <v>2599</v>
      </c>
      <c r="B944" s="90" t="s">
        <v>1802</v>
      </c>
      <c r="C944" s="98" t="s">
        <v>2464</v>
      </c>
      <c r="D944" s="92" t="s">
        <v>2600</v>
      </c>
      <c r="E944" s="90" t="s">
        <v>16</v>
      </c>
      <c r="F944" s="99">
        <v>1</v>
      </c>
      <c r="G944" s="94">
        <v>71231.48</v>
      </c>
      <c r="H944" s="94">
        <v>539.64</v>
      </c>
      <c r="I944" s="95">
        <v>71771.12</v>
      </c>
      <c r="J944" s="95">
        <v>71231.48</v>
      </c>
      <c r="K944" s="95">
        <v>539.63999999999942</v>
      </c>
      <c r="L944" s="95">
        <v>71771.12</v>
      </c>
      <c r="M944" s="96">
        <v>0.1837</v>
      </c>
      <c r="N944" s="95">
        <v>84316.7</v>
      </c>
      <c r="O944" s="95">
        <v>638.77</v>
      </c>
      <c r="P944" s="95">
        <v>84955.47</v>
      </c>
      <c r="Q944" s="95">
        <v>84316.7</v>
      </c>
      <c r="R944" s="95">
        <v>638.77</v>
      </c>
      <c r="S944" s="95">
        <v>84955.47</v>
      </c>
    </row>
    <row r="945" spans="1:19" ht="15" x14ac:dyDescent="0.25">
      <c r="A945" s="90" t="s">
        <v>2601</v>
      </c>
      <c r="B945" s="90"/>
      <c r="C945" s="98" t="s">
        <v>2467</v>
      </c>
      <c r="D945" s="92"/>
      <c r="E945" s="90"/>
      <c r="F945" s="99"/>
      <c r="G945" s="94"/>
      <c r="H945" s="94"/>
      <c r="I945" s="95"/>
      <c r="J945" s="95"/>
      <c r="K945" s="95"/>
      <c r="L945" s="95"/>
      <c r="M945" s="96">
        <v>0</v>
      </c>
      <c r="N945" s="95"/>
      <c r="O945" s="95"/>
      <c r="P945" s="95"/>
      <c r="Q945" s="95">
        <v>0</v>
      </c>
      <c r="R945" s="95">
        <v>0</v>
      </c>
      <c r="S945" s="95">
        <v>0</v>
      </c>
    </row>
    <row r="946" spans="1:19" ht="15" x14ac:dyDescent="0.25">
      <c r="A946" s="90" t="s">
        <v>2602</v>
      </c>
      <c r="B946" s="90" t="s">
        <v>31</v>
      </c>
      <c r="C946" s="98" t="s">
        <v>2469</v>
      </c>
      <c r="D946" s="92" t="s">
        <v>2470</v>
      </c>
      <c r="E946" s="90" t="s">
        <v>93</v>
      </c>
      <c r="F946" s="99">
        <v>1</v>
      </c>
      <c r="G946" s="94">
        <v>6.28</v>
      </c>
      <c r="H946" s="94">
        <v>5.28</v>
      </c>
      <c r="I946" s="95">
        <v>11.56</v>
      </c>
      <c r="J946" s="95">
        <v>6.28</v>
      </c>
      <c r="K946" s="95">
        <v>5.28</v>
      </c>
      <c r="L946" s="95">
        <v>11.56</v>
      </c>
      <c r="M946" s="96">
        <v>0.27529999999999999</v>
      </c>
      <c r="N946" s="95">
        <v>8.01</v>
      </c>
      <c r="O946" s="95">
        <v>6.73</v>
      </c>
      <c r="P946" s="95">
        <v>14.74</v>
      </c>
      <c r="Q946" s="95">
        <v>8.01</v>
      </c>
      <c r="R946" s="95">
        <v>6.73</v>
      </c>
      <c r="S946" s="95">
        <v>14.74</v>
      </c>
    </row>
    <row r="947" spans="1:19" ht="15" x14ac:dyDescent="0.25">
      <c r="A947" s="90" t="s">
        <v>2603</v>
      </c>
      <c r="B947" s="90" t="s">
        <v>31</v>
      </c>
      <c r="C947" s="98" t="s">
        <v>2475</v>
      </c>
      <c r="D947" s="92" t="s">
        <v>2476</v>
      </c>
      <c r="E947" s="90" t="s">
        <v>93</v>
      </c>
      <c r="F947" s="99">
        <v>8</v>
      </c>
      <c r="G947" s="94">
        <v>8.01</v>
      </c>
      <c r="H947" s="94">
        <v>6.98</v>
      </c>
      <c r="I947" s="95">
        <v>14.99</v>
      </c>
      <c r="J947" s="95">
        <v>64.08</v>
      </c>
      <c r="K947" s="95">
        <v>55.84</v>
      </c>
      <c r="L947" s="95">
        <v>119.92</v>
      </c>
      <c r="M947" s="96">
        <v>0.27529999999999999</v>
      </c>
      <c r="N947" s="95">
        <v>10.220000000000001</v>
      </c>
      <c r="O947" s="95">
        <v>8.9</v>
      </c>
      <c r="P947" s="95">
        <v>19.12</v>
      </c>
      <c r="Q947" s="95">
        <v>81.760000000000005</v>
      </c>
      <c r="R947" s="95">
        <v>71.2</v>
      </c>
      <c r="S947" s="95">
        <v>152.96</v>
      </c>
    </row>
    <row r="948" spans="1:19" ht="15" x14ac:dyDescent="0.25">
      <c r="A948" s="90" t="s">
        <v>2604</v>
      </c>
      <c r="B948" s="90" t="s">
        <v>31</v>
      </c>
      <c r="C948" s="98" t="s">
        <v>2481</v>
      </c>
      <c r="D948" s="92" t="s">
        <v>2479</v>
      </c>
      <c r="E948" s="90" t="s">
        <v>93</v>
      </c>
      <c r="F948" s="99">
        <v>2</v>
      </c>
      <c r="G948" s="94">
        <v>6.65</v>
      </c>
      <c r="H948" s="94">
        <v>3.71</v>
      </c>
      <c r="I948" s="95">
        <v>10.36</v>
      </c>
      <c r="J948" s="95">
        <v>13.3</v>
      </c>
      <c r="K948" s="95">
        <v>7.4199999999999982</v>
      </c>
      <c r="L948" s="95">
        <v>20.72</v>
      </c>
      <c r="M948" s="96">
        <v>0.27529999999999999</v>
      </c>
      <c r="N948" s="95">
        <v>8.48</v>
      </c>
      <c r="O948" s="95">
        <v>4.7300000000000004</v>
      </c>
      <c r="P948" s="95">
        <v>13.21</v>
      </c>
      <c r="Q948" s="95">
        <v>16.96</v>
      </c>
      <c r="R948" s="95">
        <v>9.4600000000000009</v>
      </c>
      <c r="S948" s="95">
        <v>26.42</v>
      </c>
    </row>
    <row r="949" spans="1:19" ht="15" x14ac:dyDescent="0.25">
      <c r="A949" s="90" t="s">
        <v>2605</v>
      </c>
      <c r="B949" s="90" t="s">
        <v>31</v>
      </c>
      <c r="C949" s="98" t="s">
        <v>2484</v>
      </c>
      <c r="D949" s="92" t="s">
        <v>2485</v>
      </c>
      <c r="E949" s="90" t="s">
        <v>93</v>
      </c>
      <c r="F949" s="99">
        <v>7</v>
      </c>
      <c r="G949" s="94">
        <v>7.04</v>
      </c>
      <c r="H949" s="94">
        <v>4.7</v>
      </c>
      <c r="I949" s="95">
        <v>11.74</v>
      </c>
      <c r="J949" s="95">
        <v>49.28</v>
      </c>
      <c r="K949" s="95">
        <v>32.900000000000006</v>
      </c>
      <c r="L949" s="95">
        <v>82.18</v>
      </c>
      <c r="M949" s="96">
        <v>0.27529999999999999</v>
      </c>
      <c r="N949" s="95">
        <v>8.98</v>
      </c>
      <c r="O949" s="95">
        <v>5.99</v>
      </c>
      <c r="P949" s="95">
        <v>14.97</v>
      </c>
      <c r="Q949" s="95">
        <v>62.86</v>
      </c>
      <c r="R949" s="95">
        <v>41.93</v>
      </c>
      <c r="S949" s="95">
        <v>104.78999999999999</v>
      </c>
    </row>
    <row r="950" spans="1:19" ht="15" x14ac:dyDescent="0.25">
      <c r="A950" s="90" t="s">
        <v>2606</v>
      </c>
      <c r="B950" s="90" t="s">
        <v>31</v>
      </c>
      <c r="C950" s="98" t="s">
        <v>2607</v>
      </c>
      <c r="D950" s="92" t="s">
        <v>2494</v>
      </c>
      <c r="E950" s="90" t="s">
        <v>16</v>
      </c>
      <c r="F950" s="99">
        <v>18</v>
      </c>
      <c r="G950" s="94">
        <v>4.75</v>
      </c>
      <c r="H950" s="94">
        <v>6.4</v>
      </c>
      <c r="I950" s="95">
        <v>11.15</v>
      </c>
      <c r="J950" s="95">
        <v>85.5</v>
      </c>
      <c r="K950" s="95">
        <v>115.19999999999999</v>
      </c>
      <c r="L950" s="95">
        <v>200.7</v>
      </c>
      <c r="M950" s="96">
        <v>0.27529999999999999</v>
      </c>
      <c r="N950" s="95">
        <v>6.06</v>
      </c>
      <c r="O950" s="95">
        <v>8.16</v>
      </c>
      <c r="P950" s="95">
        <v>14.219999999999999</v>
      </c>
      <c r="Q950" s="95">
        <v>109.08</v>
      </c>
      <c r="R950" s="95">
        <v>146.88</v>
      </c>
      <c r="S950" s="95">
        <v>255.95999999999998</v>
      </c>
    </row>
    <row r="951" spans="1:19" ht="15" x14ac:dyDescent="0.25">
      <c r="A951" s="90" t="s">
        <v>2608</v>
      </c>
      <c r="B951" s="90" t="s">
        <v>31</v>
      </c>
      <c r="C951" s="98" t="s">
        <v>2609</v>
      </c>
      <c r="D951" s="92" t="s">
        <v>2498</v>
      </c>
      <c r="E951" s="90" t="s">
        <v>16</v>
      </c>
      <c r="F951" s="99">
        <v>36</v>
      </c>
      <c r="G951" s="94">
        <v>2.7</v>
      </c>
      <c r="H951" s="94">
        <v>4.25</v>
      </c>
      <c r="I951" s="95">
        <v>6.95</v>
      </c>
      <c r="J951" s="95">
        <v>97.2</v>
      </c>
      <c r="K951" s="95">
        <v>153</v>
      </c>
      <c r="L951" s="95">
        <v>250.2</v>
      </c>
      <c r="M951" s="96">
        <v>0.27529999999999999</v>
      </c>
      <c r="N951" s="95">
        <v>3.44</v>
      </c>
      <c r="O951" s="95">
        <v>5.42</v>
      </c>
      <c r="P951" s="95">
        <v>8.86</v>
      </c>
      <c r="Q951" s="95">
        <v>123.84</v>
      </c>
      <c r="R951" s="95">
        <v>195.12</v>
      </c>
      <c r="S951" s="95">
        <v>318.96000000000004</v>
      </c>
    </row>
    <row r="952" spans="1:19" ht="15" x14ac:dyDescent="0.25">
      <c r="A952" s="90" t="s">
        <v>2610</v>
      </c>
      <c r="B952" s="90"/>
      <c r="C952" s="98" t="s">
        <v>2500</v>
      </c>
      <c r="D952" s="92"/>
      <c r="E952" s="90"/>
      <c r="F952" s="99"/>
      <c r="G952" s="94"/>
      <c r="H952" s="94"/>
      <c r="I952" s="95"/>
      <c r="J952" s="95"/>
      <c r="K952" s="95"/>
      <c r="L952" s="95"/>
      <c r="M952" s="96">
        <v>0</v>
      </c>
      <c r="N952" s="95"/>
      <c r="O952" s="95"/>
      <c r="P952" s="95"/>
      <c r="Q952" s="95">
        <v>0</v>
      </c>
      <c r="R952" s="95">
        <v>0</v>
      </c>
      <c r="S952" s="95">
        <v>0</v>
      </c>
    </row>
    <row r="953" spans="1:19" ht="15" x14ac:dyDescent="0.25">
      <c r="A953" s="90" t="s">
        <v>2611</v>
      </c>
      <c r="B953" s="90" t="s">
        <v>706</v>
      </c>
      <c r="C953" s="98" t="s">
        <v>2502</v>
      </c>
      <c r="D953" s="92" t="s">
        <v>2612</v>
      </c>
      <c r="E953" s="90" t="s">
        <v>93</v>
      </c>
      <c r="F953" s="99">
        <v>54</v>
      </c>
      <c r="G953" s="94">
        <v>26.75</v>
      </c>
      <c r="H953" s="94">
        <v>35.549999999999997</v>
      </c>
      <c r="I953" s="95">
        <v>62.3</v>
      </c>
      <c r="J953" s="95">
        <v>1444.5</v>
      </c>
      <c r="K953" s="95">
        <v>1919.6999999999998</v>
      </c>
      <c r="L953" s="95">
        <v>3364.2</v>
      </c>
      <c r="M953" s="96">
        <v>0.27529999999999999</v>
      </c>
      <c r="N953" s="95">
        <v>34.11</v>
      </c>
      <c r="O953" s="95">
        <v>45.34</v>
      </c>
      <c r="P953" s="95">
        <v>79.45</v>
      </c>
      <c r="Q953" s="95">
        <v>1841.94</v>
      </c>
      <c r="R953" s="95">
        <v>2448.36</v>
      </c>
      <c r="S953" s="95">
        <v>4290.3</v>
      </c>
    </row>
    <row r="954" spans="1:19" ht="15" x14ac:dyDescent="0.25">
      <c r="A954" s="90" t="s">
        <v>2613</v>
      </c>
      <c r="B954" s="90" t="s">
        <v>1802</v>
      </c>
      <c r="C954" s="98" t="s">
        <v>2505</v>
      </c>
      <c r="D954" s="92" t="s">
        <v>2614</v>
      </c>
      <c r="E954" s="90" t="s">
        <v>16</v>
      </c>
      <c r="F954" s="99">
        <v>28</v>
      </c>
      <c r="G954" s="94">
        <v>3.62</v>
      </c>
      <c r="H954" s="94">
        <v>3.78</v>
      </c>
      <c r="I954" s="95">
        <v>7.4</v>
      </c>
      <c r="J954" s="95">
        <v>101.36</v>
      </c>
      <c r="K954" s="95">
        <v>105.83999999999999</v>
      </c>
      <c r="L954" s="95">
        <v>207.2</v>
      </c>
      <c r="M954" s="96">
        <v>0.27529999999999999</v>
      </c>
      <c r="N954" s="95">
        <v>4.62</v>
      </c>
      <c r="O954" s="95">
        <v>4.82</v>
      </c>
      <c r="P954" s="95">
        <v>9.4400000000000013</v>
      </c>
      <c r="Q954" s="95">
        <v>129.36000000000001</v>
      </c>
      <c r="R954" s="95">
        <v>134.96</v>
      </c>
      <c r="S954" s="95">
        <v>264.32000000000005</v>
      </c>
    </row>
    <row r="955" spans="1:19" ht="15" x14ac:dyDescent="0.25">
      <c r="A955" s="90" t="s">
        <v>2615</v>
      </c>
      <c r="B955" s="90" t="s">
        <v>1802</v>
      </c>
      <c r="C955" s="98" t="s">
        <v>2616</v>
      </c>
      <c r="D955" s="92" t="s">
        <v>2617</v>
      </c>
      <c r="E955" s="90" t="s">
        <v>16</v>
      </c>
      <c r="F955" s="99">
        <v>2</v>
      </c>
      <c r="G955" s="94">
        <v>17.600000000000001</v>
      </c>
      <c r="H955" s="94">
        <v>9.49</v>
      </c>
      <c r="I955" s="95">
        <v>27.090000000000003</v>
      </c>
      <c r="J955" s="95">
        <v>35.200000000000003</v>
      </c>
      <c r="K955" s="95">
        <v>18.979999999999997</v>
      </c>
      <c r="L955" s="95">
        <v>54.18</v>
      </c>
      <c r="M955" s="96">
        <v>0.27529999999999999</v>
      </c>
      <c r="N955" s="95">
        <v>22.45</v>
      </c>
      <c r="O955" s="95">
        <v>12.1</v>
      </c>
      <c r="P955" s="95">
        <v>34.549999999999997</v>
      </c>
      <c r="Q955" s="95">
        <v>44.9</v>
      </c>
      <c r="R955" s="95">
        <v>24.2</v>
      </c>
      <c r="S955" s="95">
        <v>69.099999999999994</v>
      </c>
    </row>
    <row r="956" spans="1:19" ht="15" x14ac:dyDescent="0.25">
      <c r="A956" s="90" t="s">
        <v>2618</v>
      </c>
      <c r="B956" s="90" t="s">
        <v>1802</v>
      </c>
      <c r="C956" s="98" t="s">
        <v>2619</v>
      </c>
      <c r="D956" s="92" t="s">
        <v>2620</v>
      </c>
      <c r="E956" s="90" t="s">
        <v>16</v>
      </c>
      <c r="F956" s="99">
        <v>2</v>
      </c>
      <c r="G956" s="94">
        <v>95.62</v>
      </c>
      <c r="H956" s="94">
        <v>15.19</v>
      </c>
      <c r="I956" s="95">
        <v>110.81</v>
      </c>
      <c r="J956" s="95">
        <v>191.24</v>
      </c>
      <c r="K956" s="95">
        <v>30.379999999999995</v>
      </c>
      <c r="L956" s="95">
        <v>221.62</v>
      </c>
      <c r="M956" s="96">
        <v>0.27529999999999999</v>
      </c>
      <c r="N956" s="95">
        <v>121.94</v>
      </c>
      <c r="O956" s="95">
        <v>19.37</v>
      </c>
      <c r="P956" s="95">
        <v>141.31</v>
      </c>
      <c r="Q956" s="95">
        <v>243.88</v>
      </c>
      <c r="R956" s="95">
        <v>38.74</v>
      </c>
      <c r="S956" s="95">
        <v>282.62</v>
      </c>
    </row>
    <row r="957" spans="1:19" ht="15" x14ac:dyDescent="0.25">
      <c r="A957" s="90" t="s">
        <v>2621</v>
      </c>
      <c r="B957" s="90"/>
      <c r="C957" s="91" t="s">
        <v>2508</v>
      </c>
      <c r="D957" s="92"/>
      <c r="E957" s="90"/>
      <c r="F957" s="99"/>
      <c r="G957" s="94"/>
      <c r="H957" s="94"/>
      <c r="I957" s="95"/>
      <c r="J957" s="95"/>
      <c r="K957" s="95"/>
      <c r="L957" s="95"/>
      <c r="M957" s="96">
        <v>0</v>
      </c>
      <c r="N957" s="95"/>
      <c r="O957" s="95"/>
      <c r="P957" s="95"/>
      <c r="Q957" s="95">
        <v>0</v>
      </c>
      <c r="R957" s="95">
        <v>0</v>
      </c>
      <c r="S957" s="95">
        <v>0</v>
      </c>
    </row>
    <row r="958" spans="1:19" ht="15" x14ac:dyDescent="0.25">
      <c r="A958" s="90" t="s">
        <v>2622</v>
      </c>
      <c r="B958" s="90" t="s">
        <v>31</v>
      </c>
      <c r="C958" s="98" t="s">
        <v>2510</v>
      </c>
      <c r="D958" s="92" t="s">
        <v>2511</v>
      </c>
      <c r="E958" s="90" t="s">
        <v>16</v>
      </c>
      <c r="F958" s="99">
        <v>9</v>
      </c>
      <c r="G958" s="94">
        <v>11.44</v>
      </c>
      <c r="H958" s="94">
        <v>21.84</v>
      </c>
      <c r="I958" s="95">
        <v>33.28</v>
      </c>
      <c r="J958" s="95">
        <v>102.96</v>
      </c>
      <c r="K958" s="95">
        <v>196.56</v>
      </c>
      <c r="L958" s="95">
        <v>299.52</v>
      </c>
      <c r="M958" s="96">
        <v>0.27529999999999999</v>
      </c>
      <c r="N958" s="95">
        <v>14.59</v>
      </c>
      <c r="O958" s="95">
        <v>27.85</v>
      </c>
      <c r="P958" s="95">
        <v>42.44</v>
      </c>
      <c r="Q958" s="95">
        <v>131.31</v>
      </c>
      <c r="R958" s="95">
        <v>250.65</v>
      </c>
      <c r="S958" s="95">
        <v>381.96000000000004</v>
      </c>
    </row>
    <row r="959" spans="1:19" ht="15" x14ac:dyDescent="0.25">
      <c r="A959" s="90" t="s">
        <v>2623</v>
      </c>
      <c r="B959" s="90"/>
      <c r="C959" s="91" t="s">
        <v>2521</v>
      </c>
      <c r="D959" s="92"/>
      <c r="E959" s="90"/>
      <c r="F959" s="99"/>
      <c r="G959" s="94"/>
      <c r="H959" s="94"/>
      <c r="I959" s="95"/>
      <c r="J959" s="95"/>
      <c r="K959" s="95"/>
      <c r="L959" s="95"/>
      <c r="M959" s="96">
        <v>0</v>
      </c>
      <c r="N959" s="95"/>
      <c r="O959" s="95"/>
      <c r="P959" s="95"/>
      <c r="Q959" s="95">
        <v>0</v>
      </c>
      <c r="R959" s="95">
        <v>0</v>
      </c>
      <c r="S959" s="95">
        <v>0</v>
      </c>
    </row>
    <row r="960" spans="1:19" ht="15" x14ac:dyDescent="0.25">
      <c r="A960" s="90" t="s">
        <v>2624</v>
      </c>
      <c r="B960" s="90" t="s">
        <v>31</v>
      </c>
      <c r="C960" s="98" t="s">
        <v>2523</v>
      </c>
      <c r="D960" s="92" t="s">
        <v>2524</v>
      </c>
      <c r="E960" s="90" t="s">
        <v>16</v>
      </c>
      <c r="F960" s="99">
        <v>1</v>
      </c>
      <c r="G960" s="94">
        <v>26.6</v>
      </c>
      <c r="H960" s="94">
        <v>20.92</v>
      </c>
      <c r="I960" s="95">
        <v>47.52</v>
      </c>
      <c r="J960" s="95">
        <v>26.6</v>
      </c>
      <c r="K960" s="95">
        <v>20.92</v>
      </c>
      <c r="L960" s="95">
        <v>47.52</v>
      </c>
      <c r="M960" s="96">
        <v>0.27529999999999999</v>
      </c>
      <c r="N960" s="95">
        <v>33.92</v>
      </c>
      <c r="O960" s="95">
        <v>26.68</v>
      </c>
      <c r="P960" s="95">
        <v>60.6</v>
      </c>
      <c r="Q960" s="95">
        <v>33.92</v>
      </c>
      <c r="R960" s="95">
        <v>26.68</v>
      </c>
      <c r="S960" s="95">
        <v>60.6</v>
      </c>
    </row>
    <row r="961" spans="1:19" ht="15" x14ac:dyDescent="0.25">
      <c r="A961" s="90" t="s">
        <v>2625</v>
      </c>
      <c r="B961" s="90" t="s">
        <v>31</v>
      </c>
      <c r="C961" s="98" t="s">
        <v>2535</v>
      </c>
      <c r="D961" s="92" t="s">
        <v>2536</v>
      </c>
      <c r="E961" s="90" t="s">
        <v>16</v>
      </c>
      <c r="F961" s="99">
        <v>8</v>
      </c>
      <c r="G961" s="94">
        <v>33.049999999999997</v>
      </c>
      <c r="H961" s="94">
        <v>21.68</v>
      </c>
      <c r="I961" s="95">
        <v>54.73</v>
      </c>
      <c r="J961" s="95">
        <v>264.39999999999998</v>
      </c>
      <c r="K961" s="95">
        <v>173.44</v>
      </c>
      <c r="L961" s="95">
        <v>437.84</v>
      </c>
      <c r="M961" s="96">
        <v>0.27529999999999999</v>
      </c>
      <c r="N961" s="95">
        <v>42.15</v>
      </c>
      <c r="O961" s="95">
        <v>27.65</v>
      </c>
      <c r="P961" s="95">
        <v>69.8</v>
      </c>
      <c r="Q961" s="95">
        <v>337.2</v>
      </c>
      <c r="R961" s="95">
        <v>221.2</v>
      </c>
      <c r="S961" s="95">
        <v>558.4</v>
      </c>
    </row>
    <row r="962" spans="1:19" ht="15" x14ac:dyDescent="0.25">
      <c r="A962" s="90" t="s">
        <v>2626</v>
      </c>
      <c r="B962" s="90" t="s">
        <v>31</v>
      </c>
      <c r="C962" s="98" t="s">
        <v>2627</v>
      </c>
      <c r="D962" s="92" t="s">
        <v>2533</v>
      </c>
      <c r="E962" s="90" t="s">
        <v>16</v>
      </c>
      <c r="F962" s="99">
        <v>8</v>
      </c>
      <c r="G962" s="94">
        <v>20.28</v>
      </c>
      <c r="H962" s="94">
        <v>14.61</v>
      </c>
      <c r="I962" s="95">
        <v>34.89</v>
      </c>
      <c r="J962" s="95">
        <v>162.24</v>
      </c>
      <c r="K962" s="95">
        <v>116.88</v>
      </c>
      <c r="L962" s="95">
        <v>279.12</v>
      </c>
      <c r="M962" s="96">
        <v>0.27529999999999999</v>
      </c>
      <c r="N962" s="95">
        <v>25.86</v>
      </c>
      <c r="O962" s="95">
        <v>18.63</v>
      </c>
      <c r="P962" s="95">
        <v>44.489999999999995</v>
      </c>
      <c r="Q962" s="95">
        <v>206.88</v>
      </c>
      <c r="R962" s="95">
        <v>149.04</v>
      </c>
      <c r="S962" s="95">
        <v>355.91999999999996</v>
      </c>
    </row>
    <row r="963" spans="1:19" ht="15" x14ac:dyDescent="0.25">
      <c r="A963" s="90" t="s">
        <v>2628</v>
      </c>
      <c r="B963" s="90"/>
      <c r="C963" s="98" t="s">
        <v>2541</v>
      </c>
      <c r="D963" s="92"/>
      <c r="E963" s="90"/>
      <c r="F963" s="99"/>
      <c r="G963" s="94"/>
      <c r="H963" s="94"/>
      <c r="I963" s="95"/>
      <c r="J963" s="95"/>
      <c r="K963" s="95"/>
      <c r="L963" s="95"/>
      <c r="M963" s="96">
        <v>0</v>
      </c>
      <c r="N963" s="95"/>
      <c r="O963" s="95"/>
      <c r="P963" s="95"/>
      <c r="Q963" s="95"/>
      <c r="R963" s="95"/>
      <c r="S963" s="95"/>
    </row>
    <row r="964" spans="1:19" ht="15" x14ac:dyDescent="0.25">
      <c r="A964" s="90" t="s">
        <v>2629</v>
      </c>
      <c r="B964" s="90" t="s">
        <v>184</v>
      </c>
      <c r="C964" s="98" t="s">
        <v>2546</v>
      </c>
      <c r="D964" s="92" t="s">
        <v>2547</v>
      </c>
      <c r="E964" s="90" t="s">
        <v>16</v>
      </c>
      <c r="F964" s="99">
        <v>8</v>
      </c>
      <c r="G964" s="94">
        <v>223.5</v>
      </c>
      <c r="H964" s="94">
        <v>18.97</v>
      </c>
      <c r="I964" s="95">
        <v>242.47</v>
      </c>
      <c r="J964" s="95">
        <v>1788</v>
      </c>
      <c r="K964" s="95">
        <v>151.76</v>
      </c>
      <c r="L964" s="95">
        <v>1939.76</v>
      </c>
      <c r="M964" s="96">
        <v>0.27529999999999999</v>
      </c>
      <c r="N964" s="95">
        <v>285.02999999999997</v>
      </c>
      <c r="O964" s="95">
        <v>24.19</v>
      </c>
      <c r="P964" s="95">
        <v>309.21999999999997</v>
      </c>
      <c r="Q964" s="95">
        <v>2280.2399999999998</v>
      </c>
      <c r="R964" s="95">
        <v>193.52</v>
      </c>
      <c r="S964" s="95">
        <v>2473.7599999999998</v>
      </c>
    </row>
    <row r="965" spans="1:19" ht="15" x14ac:dyDescent="0.25">
      <c r="A965" s="90" t="s">
        <v>2630</v>
      </c>
      <c r="B965" s="90" t="s">
        <v>100</v>
      </c>
      <c r="C965" s="98" t="s">
        <v>2552</v>
      </c>
      <c r="D965" s="92" t="s">
        <v>2553</v>
      </c>
      <c r="E965" s="90" t="s">
        <v>16</v>
      </c>
      <c r="F965" s="99">
        <v>20</v>
      </c>
      <c r="G965" s="94">
        <v>157.88999999999999</v>
      </c>
      <c r="H965" s="94">
        <v>58.79</v>
      </c>
      <c r="I965" s="95">
        <v>216.67999999999998</v>
      </c>
      <c r="J965" s="95">
        <v>3157.8</v>
      </c>
      <c r="K965" s="95">
        <v>1175.8000000000002</v>
      </c>
      <c r="L965" s="95">
        <v>4333.6000000000004</v>
      </c>
      <c r="M965" s="96">
        <v>0.27529999999999999</v>
      </c>
      <c r="N965" s="95">
        <v>201.36</v>
      </c>
      <c r="O965" s="95">
        <v>74.97</v>
      </c>
      <c r="P965" s="95">
        <v>276.33000000000004</v>
      </c>
      <c r="Q965" s="95">
        <v>4027.2</v>
      </c>
      <c r="R965" s="95">
        <v>1499.4</v>
      </c>
      <c r="S965" s="95">
        <v>5526.6</v>
      </c>
    </row>
    <row r="966" spans="1:19" ht="25.5" x14ac:dyDescent="0.25">
      <c r="A966" s="90" t="s">
        <v>2631</v>
      </c>
      <c r="B966" s="90"/>
      <c r="C966" s="98" t="s">
        <v>2555</v>
      </c>
      <c r="D966" s="92"/>
      <c r="E966" s="90"/>
      <c r="F966" s="99"/>
      <c r="G966" s="94"/>
      <c r="H966" s="94"/>
      <c r="I966" s="95"/>
      <c r="J966" s="95"/>
      <c r="K966" s="95"/>
      <c r="L966" s="95"/>
      <c r="M966" s="96">
        <v>0</v>
      </c>
      <c r="N966" s="95"/>
      <c r="O966" s="95"/>
      <c r="P966" s="95"/>
      <c r="Q966" s="95">
        <v>0</v>
      </c>
      <c r="R966" s="95">
        <v>0</v>
      </c>
      <c r="S966" s="95">
        <v>0</v>
      </c>
    </row>
    <row r="967" spans="1:19" ht="15" x14ac:dyDescent="0.25">
      <c r="A967" s="90" t="s">
        <v>2632</v>
      </c>
      <c r="B967" s="90" t="s">
        <v>31</v>
      </c>
      <c r="C967" s="98" t="s">
        <v>2560</v>
      </c>
      <c r="D967" s="92" t="s">
        <v>2561</v>
      </c>
      <c r="E967" s="90" t="s">
        <v>93</v>
      </c>
      <c r="F967" s="99">
        <v>515</v>
      </c>
      <c r="G967" s="94">
        <v>3.71</v>
      </c>
      <c r="H967" s="94">
        <v>1.1399999999999999</v>
      </c>
      <c r="I967" s="95">
        <v>4.8499999999999996</v>
      </c>
      <c r="J967" s="95">
        <v>1910.65</v>
      </c>
      <c r="K967" s="95">
        <v>587.09999999999991</v>
      </c>
      <c r="L967" s="95">
        <v>2497.75</v>
      </c>
      <c r="M967" s="96">
        <v>0.27529999999999999</v>
      </c>
      <c r="N967" s="95">
        <v>4.7300000000000004</v>
      </c>
      <c r="O967" s="95">
        <v>1.45</v>
      </c>
      <c r="P967" s="95">
        <v>6.1800000000000006</v>
      </c>
      <c r="Q967" s="95">
        <v>2435.9499999999998</v>
      </c>
      <c r="R967" s="95">
        <v>746.75</v>
      </c>
      <c r="S967" s="95">
        <v>3182.7</v>
      </c>
    </row>
    <row r="968" spans="1:19" ht="15" x14ac:dyDescent="0.25">
      <c r="A968" s="90" t="s">
        <v>2633</v>
      </c>
      <c r="B968" s="90"/>
      <c r="C968" s="98" t="s">
        <v>2563</v>
      </c>
      <c r="D968" s="92"/>
      <c r="E968" s="90"/>
      <c r="F968" s="99"/>
      <c r="G968" s="94"/>
      <c r="H968" s="94"/>
      <c r="I968" s="95"/>
      <c r="J968" s="95"/>
      <c r="K968" s="95"/>
      <c r="L968" s="95"/>
      <c r="M968" s="96">
        <v>0</v>
      </c>
      <c r="N968" s="95"/>
      <c r="O968" s="95"/>
      <c r="P968" s="95"/>
      <c r="Q968" s="95">
        <v>0</v>
      </c>
      <c r="R968" s="95">
        <v>0</v>
      </c>
      <c r="S968" s="95">
        <v>0</v>
      </c>
    </row>
    <row r="969" spans="1:19" ht="15" x14ac:dyDescent="0.25">
      <c r="A969" s="90" t="s">
        <v>2634</v>
      </c>
      <c r="B969" s="90" t="s">
        <v>1221</v>
      </c>
      <c r="C969" s="98" t="s">
        <v>2565</v>
      </c>
      <c r="D969" s="92" t="s">
        <v>2635</v>
      </c>
      <c r="E969" s="90" t="s">
        <v>93</v>
      </c>
      <c r="F969" s="99">
        <v>54</v>
      </c>
      <c r="G969" s="94">
        <v>46.79</v>
      </c>
      <c r="H969" s="94">
        <v>8</v>
      </c>
      <c r="I969" s="95">
        <v>54.79</v>
      </c>
      <c r="J969" s="95">
        <v>2526.66</v>
      </c>
      <c r="K969" s="95">
        <v>432</v>
      </c>
      <c r="L969" s="95">
        <v>2958.66</v>
      </c>
      <c r="M969" s="96">
        <v>0.27529999999999999</v>
      </c>
      <c r="N969" s="95">
        <v>59.67</v>
      </c>
      <c r="O969" s="95">
        <v>10.199999999999999</v>
      </c>
      <c r="P969" s="95">
        <v>69.87</v>
      </c>
      <c r="Q969" s="95">
        <v>3222.18</v>
      </c>
      <c r="R969" s="95">
        <v>550.79999999999995</v>
      </c>
      <c r="S969" s="95">
        <v>3772.9799999999996</v>
      </c>
    </row>
    <row r="970" spans="1:19" ht="15" x14ac:dyDescent="0.25">
      <c r="A970" s="90" t="s">
        <v>2636</v>
      </c>
      <c r="B970" s="90" t="s">
        <v>1802</v>
      </c>
      <c r="C970" s="98" t="s">
        <v>2568</v>
      </c>
      <c r="D970" s="92" t="s">
        <v>2637</v>
      </c>
      <c r="E970" s="90" t="s">
        <v>93</v>
      </c>
      <c r="F970" s="99">
        <v>20</v>
      </c>
      <c r="G970" s="94">
        <v>107.59</v>
      </c>
      <c r="H970" s="94">
        <v>13.66</v>
      </c>
      <c r="I970" s="95">
        <v>121.25</v>
      </c>
      <c r="J970" s="95">
        <v>2151.8000000000002</v>
      </c>
      <c r="K970" s="95">
        <v>273.19999999999982</v>
      </c>
      <c r="L970" s="95">
        <v>2425</v>
      </c>
      <c r="M970" s="96">
        <v>0.27529999999999999</v>
      </c>
      <c r="N970" s="95">
        <v>137.21</v>
      </c>
      <c r="O970" s="95">
        <v>17.420000000000002</v>
      </c>
      <c r="P970" s="95">
        <v>154.63</v>
      </c>
      <c r="Q970" s="95">
        <v>2744.2</v>
      </c>
      <c r="R970" s="95">
        <v>348.4</v>
      </c>
      <c r="S970" s="95">
        <v>3092.6</v>
      </c>
    </row>
    <row r="971" spans="1:19" ht="15" x14ac:dyDescent="0.25">
      <c r="A971" s="90" t="s">
        <v>2638</v>
      </c>
      <c r="B971" s="90" t="s">
        <v>622</v>
      </c>
      <c r="C971" s="98" t="s">
        <v>2571</v>
      </c>
      <c r="D971" s="92" t="s">
        <v>2572</v>
      </c>
      <c r="E971" s="90" t="s">
        <v>93</v>
      </c>
      <c r="F971" s="99">
        <v>8</v>
      </c>
      <c r="G971" s="94">
        <v>30.11</v>
      </c>
      <c r="H971" s="94">
        <v>6.71</v>
      </c>
      <c r="I971" s="95">
        <v>36.82</v>
      </c>
      <c r="J971" s="95">
        <v>240.88</v>
      </c>
      <c r="K971" s="95">
        <v>53.680000000000007</v>
      </c>
      <c r="L971" s="95">
        <v>294.56</v>
      </c>
      <c r="M971" s="96">
        <v>0.27529999999999999</v>
      </c>
      <c r="N971" s="95">
        <v>38.4</v>
      </c>
      <c r="O971" s="95">
        <v>8.56</v>
      </c>
      <c r="P971" s="95">
        <v>46.96</v>
      </c>
      <c r="Q971" s="95">
        <v>307.2</v>
      </c>
      <c r="R971" s="95">
        <v>68.48</v>
      </c>
      <c r="S971" s="95">
        <v>375.68</v>
      </c>
    </row>
    <row r="972" spans="1:19" ht="15" x14ac:dyDescent="0.25">
      <c r="A972" s="90" t="s">
        <v>2639</v>
      </c>
      <c r="B972" s="90"/>
      <c r="C972" s="91" t="s">
        <v>2574</v>
      </c>
      <c r="D972" s="92"/>
      <c r="E972" s="90"/>
      <c r="F972" s="99"/>
      <c r="G972" s="94"/>
      <c r="H972" s="94"/>
      <c r="I972" s="95"/>
      <c r="J972" s="95"/>
      <c r="K972" s="95"/>
      <c r="L972" s="95"/>
      <c r="M972" s="96">
        <v>0</v>
      </c>
      <c r="N972" s="95"/>
      <c r="O972" s="95"/>
      <c r="P972" s="95"/>
      <c r="Q972" s="95">
        <v>0</v>
      </c>
      <c r="R972" s="95">
        <v>0</v>
      </c>
      <c r="S972" s="95">
        <v>0</v>
      </c>
    </row>
    <row r="973" spans="1:19" ht="15" x14ac:dyDescent="0.25">
      <c r="A973" s="90" t="s">
        <v>2640</v>
      </c>
      <c r="B973" s="90" t="s">
        <v>75</v>
      </c>
      <c r="C973" s="98" t="s">
        <v>2576</v>
      </c>
      <c r="D973" s="92" t="s">
        <v>2641</v>
      </c>
      <c r="E973" s="90" t="s">
        <v>93</v>
      </c>
      <c r="F973" s="99">
        <v>27</v>
      </c>
      <c r="G973" s="94">
        <v>707.4</v>
      </c>
      <c r="H973" s="94">
        <v>11.66</v>
      </c>
      <c r="I973" s="95">
        <v>719.06</v>
      </c>
      <c r="J973" s="95">
        <v>19099.8</v>
      </c>
      <c r="K973" s="95">
        <v>314.81999999999971</v>
      </c>
      <c r="L973" s="95">
        <v>19414.62</v>
      </c>
      <c r="M973" s="96">
        <v>0.27529999999999999</v>
      </c>
      <c r="N973" s="95">
        <v>902.15</v>
      </c>
      <c r="O973" s="95">
        <v>14.87</v>
      </c>
      <c r="P973" s="95">
        <v>917.02</v>
      </c>
      <c r="Q973" s="95">
        <v>24358.05</v>
      </c>
      <c r="R973" s="95">
        <v>401.49</v>
      </c>
      <c r="S973" s="95">
        <v>24759.54</v>
      </c>
    </row>
    <row r="974" spans="1:19" ht="15" x14ac:dyDescent="0.25">
      <c r="A974" s="90" t="s">
        <v>2642</v>
      </c>
      <c r="B974" s="90" t="s">
        <v>75</v>
      </c>
      <c r="C974" s="98" t="s">
        <v>2576</v>
      </c>
      <c r="D974" s="92" t="s">
        <v>2643</v>
      </c>
      <c r="E974" s="90" t="s">
        <v>93</v>
      </c>
      <c r="F974" s="99">
        <v>14</v>
      </c>
      <c r="G974" s="94">
        <v>757.72</v>
      </c>
      <c r="H974" s="94">
        <v>11.66</v>
      </c>
      <c r="I974" s="95">
        <v>769.38</v>
      </c>
      <c r="J974" s="95">
        <v>10608.08</v>
      </c>
      <c r="K974" s="95">
        <v>163.23999999999978</v>
      </c>
      <c r="L974" s="95">
        <v>10771.32</v>
      </c>
      <c r="M974" s="96">
        <v>0.27529999999999999</v>
      </c>
      <c r="N974" s="95">
        <v>966.32</v>
      </c>
      <c r="O974" s="95">
        <v>14.87</v>
      </c>
      <c r="P974" s="95">
        <v>981.19</v>
      </c>
      <c r="Q974" s="95">
        <v>13528.48</v>
      </c>
      <c r="R974" s="95">
        <v>208.18</v>
      </c>
      <c r="S974" s="95">
        <v>13736.66</v>
      </c>
    </row>
    <row r="975" spans="1:19" ht="15" x14ac:dyDescent="0.25">
      <c r="A975" s="90" t="s">
        <v>2644</v>
      </c>
      <c r="B975" s="90" t="s">
        <v>45</v>
      </c>
      <c r="C975" s="98" t="s">
        <v>2576</v>
      </c>
      <c r="D975" s="92" t="s">
        <v>2579</v>
      </c>
      <c r="E975" s="90" t="s">
        <v>93</v>
      </c>
      <c r="F975" s="99">
        <v>1</v>
      </c>
      <c r="G975" s="94">
        <v>405.44</v>
      </c>
      <c r="H975" s="94">
        <v>11.66</v>
      </c>
      <c r="I975" s="95">
        <v>417.1</v>
      </c>
      <c r="J975" s="95">
        <v>405.44</v>
      </c>
      <c r="K975" s="95">
        <v>11.660000000000025</v>
      </c>
      <c r="L975" s="95">
        <v>417.1</v>
      </c>
      <c r="M975" s="96">
        <v>0.27529999999999999</v>
      </c>
      <c r="N975" s="95">
        <v>517.05999999999995</v>
      </c>
      <c r="O975" s="95">
        <v>14.87</v>
      </c>
      <c r="P975" s="95">
        <v>531.92999999999995</v>
      </c>
      <c r="Q975" s="95">
        <v>517.05999999999995</v>
      </c>
      <c r="R975" s="95">
        <v>14.87</v>
      </c>
      <c r="S975" s="95">
        <v>531.92999999999995</v>
      </c>
    </row>
    <row r="976" spans="1:19" ht="15" x14ac:dyDescent="0.25">
      <c r="A976" s="90" t="s">
        <v>2645</v>
      </c>
      <c r="B976" s="90" t="s">
        <v>45</v>
      </c>
      <c r="C976" s="98" t="s">
        <v>2646</v>
      </c>
      <c r="D976" s="92" t="s">
        <v>2647</v>
      </c>
      <c r="E976" s="90" t="s">
        <v>93</v>
      </c>
      <c r="F976" s="99">
        <v>1</v>
      </c>
      <c r="G976" s="94">
        <v>319.22000000000003</v>
      </c>
      <c r="H976" s="94">
        <v>11.66</v>
      </c>
      <c r="I976" s="95">
        <v>330.88000000000005</v>
      </c>
      <c r="J976" s="95">
        <v>319.22000000000003</v>
      </c>
      <c r="K976" s="95">
        <v>11.659999999999968</v>
      </c>
      <c r="L976" s="95">
        <v>330.88</v>
      </c>
      <c r="M976" s="96">
        <v>0.27529999999999999</v>
      </c>
      <c r="N976" s="95">
        <v>407.1</v>
      </c>
      <c r="O976" s="95">
        <v>14.87</v>
      </c>
      <c r="P976" s="95">
        <v>421.97</v>
      </c>
      <c r="Q976" s="95">
        <v>407.1</v>
      </c>
      <c r="R976" s="95">
        <v>14.87</v>
      </c>
      <c r="S976" s="95">
        <v>421.97</v>
      </c>
    </row>
    <row r="977" spans="1:19" ht="15" x14ac:dyDescent="0.25">
      <c r="A977" s="90" t="s">
        <v>2648</v>
      </c>
      <c r="B977" s="90" t="s">
        <v>45</v>
      </c>
      <c r="C977" s="98" t="s">
        <v>2649</v>
      </c>
      <c r="D977" s="92" t="s">
        <v>2650</v>
      </c>
      <c r="E977" s="90" t="s">
        <v>93</v>
      </c>
      <c r="F977" s="99">
        <v>6</v>
      </c>
      <c r="G977" s="94">
        <v>294.02</v>
      </c>
      <c r="H977" s="94">
        <v>11.66</v>
      </c>
      <c r="I977" s="95">
        <v>305.68</v>
      </c>
      <c r="J977" s="95">
        <v>1764.12</v>
      </c>
      <c r="K977" s="95">
        <v>69.960000000000036</v>
      </c>
      <c r="L977" s="95">
        <v>1834.08</v>
      </c>
      <c r="M977" s="96">
        <v>0.27529999999999999</v>
      </c>
      <c r="N977" s="95">
        <v>374.96</v>
      </c>
      <c r="O977" s="95">
        <v>14.87</v>
      </c>
      <c r="P977" s="95">
        <v>389.83</v>
      </c>
      <c r="Q977" s="95">
        <v>2249.7600000000002</v>
      </c>
      <c r="R977" s="95">
        <v>89.22</v>
      </c>
      <c r="S977" s="95">
        <v>2338.98</v>
      </c>
    </row>
    <row r="978" spans="1:19" ht="15" x14ac:dyDescent="0.25">
      <c r="A978" s="90" t="s">
        <v>2651</v>
      </c>
      <c r="B978" s="90" t="s">
        <v>75</v>
      </c>
      <c r="C978" s="98" t="s">
        <v>2581</v>
      </c>
      <c r="D978" s="92" t="s">
        <v>2652</v>
      </c>
      <c r="E978" s="90" t="s">
        <v>93</v>
      </c>
      <c r="F978" s="99">
        <v>3</v>
      </c>
      <c r="G978" s="94">
        <v>148.31</v>
      </c>
      <c r="H978" s="94">
        <v>11.66</v>
      </c>
      <c r="I978" s="95">
        <v>159.97</v>
      </c>
      <c r="J978" s="95">
        <v>444.93</v>
      </c>
      <c r="K978" s="95">
        <v>34.980000000000018</v>
      </c>
      <c r="L978" s="95">
        <v>479.91</v>
      </c>
      <c r="M978" s="96">
        <v>0.27529999999999999</v>
      </c>
      <c r="N978" s="95">
        <v>189.14</v>
      </c>
      <c r="O978" s="95">
        <v>14.87</v>
      </c>
      <c r="P978" s="95">
        <v>204.01</v>
      </c>
      <c r="Q978" s="95">
        <v>567.41999999999996</v>
      </c>
      <c r="R978" s="95">
        <v>44.61</v>
      </c>
      <c r="S978" s="95">
        <v>612.03</v>
      </c>
    </row>
    <row r="979" spans="1:19" ht="15" x14ac:dyDescent="0.25">
      <c r="A979" s="90" t="s">
        <v>2653</v>
      </c>
      <c r="B979" s="90" t="s">
        <v>86</v>
      </c>
      <c r="C979" s="98" t="s">
        <v>2584</v>
      </c>
      <c r="D979" s="92" t="s">
        <v>2654</v>
      </c>
      <c r="E979" s="90" t="s">
        <v>16</v>
      </c>
      <c r="F979" s="99">
        <v>1</v>
      </c>
      <c r="G979" s="94">
        <v>42.51</v>
      </c>
      <c r="H979" s="94">
        <v>16.66</v>
      </c>
      <c r="I979" s="95">
        <v>59.17</v>
      </c>
      <c r="J979" s="95">
        <v>42.51</v>
      </c>
      <c r="K979" s="95">
        <v>16.660000000000004</v>
      </c>
      <c r="L979" s="95">
        <v>59.17</v>
      </c>
      <c r="M979" s="96">
        <v>0.27529999999999999</v>
      </c>
      <c r="N979" s="95">
        <v>54.21</v>
      </c>
      <c r="O979" s="95">
        <v>21.25</v>
      </c>
      <c r="P979" s="95">
        <v>75.460000000000008</v>
      </c>
      <c r="Q979" s="95">
        <v>54.21</v>
      </c>
      <c r="R979" s="95">
        <v>21.25</v>
      </c>
      <c r="S979" s="95">
        <v>75.460000000000008</v>
      </c>
    </row>
    <row r="980" spans="1:19" ht="15" x14ac:dyDescent="0.25">
      <c r="A980" s="90" t="s">
        <v>2655</v>
      </c>
      <c r="B980" s="90" t="s">
        <v>184</v>
      </c>
      <c r="C980" s="98" t="s">
        <v>2656</v>
      </c>
      <c r="D980" s="92" t="s">
        <v>2585</v>
      </c>
      <c r="E980" s="90" t="s">
        <v>2657</v>
      </c>
      <c r="F980" s="99">
        <v>16</v>
      </c>
      <c r="G980" s="94">
        <v>677.5</v>
      </c>
      <c r="H980" s="94">
        <v>227.82</v>
      </c>
      <c r="I980" s="95">
        <v>905.31999999999994</v>
      </c>
      <c r="J980" s="95">
        <v>10840</v>
      </c>
      <c r="K980" s="95">
        <v>3645.1200000000008</v>
      </c>
      <c r="L980" s="95">
        <v>14485.12</v>
      </c>
      <c r="M980" s="96">
        <v>0.27529999999999999</v>
      </c>
      <c r="N980" s="95">
        <v>864.02</v>
      </c>
      <c r="O980" s="95">
        <v>290.54000000000002</v>
      </c>
      <c r="P980" s="95">
        <v>1154.56</v>
      </c>
      <c r="Q980" s="95">
        <v>13824.32</v>
      </c>
      <c r="R980" s="95">
        <v>4648.6400000000003</v>
      </c>
      <c r="S980" s="95">
        <v>18472.96</v>
      </c>
    </row>
    <row r="981" spans="1:19" ht="15" x14ac:dyDescent="0.25">
      <c r="A981" s="90" t="s">
        <v>2658</v>
      </c>
      <c r="B981" s="90"/>
      <c r="C981" s="98" t="s">
        <v>2659</v>
      </c>
      <c r="D981" s="92"/>
      <c r="E981" s="90"/>
      <c r="F981" s="99"/>
      <c r="G981" s="94"/>
      <c r="H981" s="94"/>
      <c r="I981" s="95"/>
      <c r="J981" s="95"/>
      <c r="K981" s="95"/>
      <c r="L981" s="95"/>
      <c r="M981" s="96">
        <v>0</v>
      </c>
      <c r="N981" s="95"/>
      <c r="O981" s="95"/>
      <c r="P981" s="95"/>
      <c r="Q981" s="95">
        <v>0</v>
      </c>
      <c r="R981" s="95">
        <v>0</v>
      </c>
      <c r="S981" s="95">
        <v>0</v>
      </c>
    </row>
    <row r="982" spans="1:19" ht="15" x14ac:dyDescent="0.25">
      <c r="A982" s="90" t="s">
        <v>2660</v>
      </c>
      <c r="B982" s="90"/>
      <c r="C982" s="91" t="s">
        <v>2589</v>
      </c>
      <c r="D982" s="92"/>
      <c r="E982" s="90"/>
      <c r="F982" s="99"/>
      <c r="G982" s="94"/>
      <c r="H982" s="94"/>
      <c r="I982" s="95"/>
      <c r="J982" s="95"/>
      <c r="K982" s="95"/>
      <c r="L982" s="95"/>
      <c r="M982" s="96">
        <v>0</v>
      </c>
      <c r="N982" s="95"/>
      <c r="O982" s="95"/>
      <c r="P982" s="95"/>
      <c r="Q982" s="95">
        <v>0</v>
      </c>
      <c r="R982" s="95">
        <v>0</v>
      </c>
      <c r="S982" s="95">
        <v>0</v>
      </c>
    </row>
    <row r="983" spans="1:19" ht="15" x14ac:dyDescent="0.25">
      <c r="A983" s="90" t="s">
        <v>2661</v>
      </c>
      <c r="B983" s="90" t="s">
        <v>86</v>
      </c>
      <c r="C983" s="98" t="s">
        <v>2460</v>
      </c>
      <c r="D983" s="92" t="s">
        <v>2591</v>
      </c>
      <c r="E983" s="90" t="s">
        <v>93</v>
      </c>
      <c r="F983" s="99">
        <v>2520</v>
      </c>
      <c r="G983" s="94">
        <v>101.63</v>
      </c>
      <c r="H983" s="94">
        <v>8.34</v>
      </c>
      <c r="I983" s="95">
        <v>109.97</v>
      </c>
      <c r="J983" s="95">
        <v>256107.6</v>
      </c>
      <c r="K983" s="95">
        <v>21016.800000000017</v>
      </c>
      <c r="L983" s="95">
        <v>277124.40000000002</v>
      </c>
      <c r="M983" s="96">
        <v>0.27529999999999999</v>
      </c>
      <c r="N983" s="95">
        <v>129.61000000000001</v>
      </c>
      <c r="O983" s="95">
        <v>10.64</v>
      </c>
      <c r="P983" s="95">
        <v>140.25</v>
      </c>
      <c r="Q983" s="95">
        <v>326617.2</v>
      </c>
      <c r="R983" s="95">
        <v>26812.799999999999</v>
      </c>
      <c r="S983" s="95">
        <v>353430</v>
      </c>
    </row>
    <row r="984" spans="1:19" ht="38.25" x14ac:dyDescent="0.25">
      <c r="A984" s="90" t="s">
        <v>2662</v>
      </c>
      <c r="B984" s="90" t="s">
        <v>1476</v>
      </c>
      <c r="C984" s="98" t="s">
        <v>2449</v>
      </c>
      <c r="D984" s="92" t="s">
        <v>2663</v>
      </c>
      <c r="E984" s="90" t="s">
        <v>16</v>
      </c>
      <c r="F984" s="99">
        <v>2</v>
      </c>
      <c r="G984" s="94">
        <v>1552.33</v>
      </c>
      <c r="H984" s="94">
        <v>2634.99</v>
      </c>
      <c r="I984" s="95">
        <v>4187.32</v>
      </c>
      <c r="J984" s="95">
        <v>3104.66</v>
      </c>
      <c r="K984" s="95">
        <v>5269.98</v>
      </c>
      <c r="L984" s="95">
        <v>8374.64</v>
      </c>
      <c r="M984" s="96">
        <v>0.27529999999999999</v>
      </c>
      <c r="N984" s="95">
        <v>1979.69</v>
      </c>
      <c r="O984" s="95">
        <v>3360.4</v>
      </c>
      <c r="P984" s="95">
        <v>5340.09</v>
      </c>
      <c r="Q984" s="95">
        <v>3959.38</v>
      </c>
      <c r="R984" s="95">
        <v>6720.8</v>
      </c>
      <c r="S984" s="95">
        <v>10680.18</v>
      </c>
    </row>
    <row r="985" spans="1:19" ht="38.25" x14ac:dyDescent="0.25">
      <c r="A985" s="90" t="s">
        <v>2664</v>
      </c>
      <c r="B985" s="90" t="s">
        <v>95</v>
      </c>
      <c r="C985" s="98" t="s">
        <v>2665</v>
      </c>
      <c r="D985" s="92" t="s">
        <v>2666</v>
      </c>
      <c r="E985" s="90" t="s">
        <v>16</v>
      </c>
      <c r="F985" s="99">
        <v>2</v>
      </c>
      <c r="G985" s="94">
        <v>189300</v>
      </c>
      <c r="H985" s="94">
        <v>0</v>
      </c>
      <c r="I985" s="95">
        <v>189300</v>
      </c>
      <c r="J985" s="95">
        <v>378600</v>
      </c>
      <c r="K985" s="95">
        <v>0</v>
      </c>
      <c r="L985" s="95">
        <v>378600</v>
      </c>
      <c r="M985" s="96">
        <v>0.1837</v>
      </c>
      <c r="N985" s="95">
        <v>224074.41</v>
      </c>
      <c r="O985" s="95">
        <v>0</v>
      </c>
      <c r="P985" s="95">
        <v>224074.41</v>
      </c>
      <c r="Q985" s="95">
        <v>448148.82</v>
      </c>
      <c r="R985" s="95">
        <v>0</v>
      </c>
      <c r="S985" s="95">
        <v>448148.82</v>
      </c>
    </row>
    <row r="986" spans="1:19" ht="15" x14ac:dyDescent="0.25">
      <c r="A986" s="90" t="s">
        <v>2667</v>
      </c>
      <c r="B986" s="90" t="s">
        <v>75</v>
      </c>
      <c r="C986" s="98" t="s">
        <v>2446</v>
      </c>
      <c r="D986" s="92" t="s">
        <v>2668</v>
      </c>
      <c r="E986" s="90" t="s">
        <v>2669</v>
      </c>
      <c r="F986" s="99">
        <v>20</v>
      </c>
      <c r="G986" s="94">
        <v>15414.46</v>
      </c>
      <c r="H986" s="94">
        <v>43.57</v>
      </c>
      <c r="I986" s="95">
        <v>15458.029999999999</v>
      </c>
      <c r="J986" s="95">
        <v>308289.2</v>
      </c>
      <c r="K986" s="95">
        <v>871.39999999996508</v>
      </c>
      <c r="L986" s="95">
        <v>309160.59999999998</v>
      </c>
      <c r="M986" s="96">
        <v>0.27529999999999999</v>
      </c>
      <c r="N986" s="95">
        <v>19658.060000000001</v>
      </c>
      <c r="O986" s="95">
        <v>55.56</v>
      </c>
      <c r="P986" s="95">
        <v>19713.620000000003</v>
      </c>
      <c r="Q986" s="95">
        <v>393161.2</v>
      </c>
      <c r="R986" s="95">
        <v>1111.2</v>
      </c>
      <c r="S986" s="95">
        <v>394272.4</v>
      </c>
    </row>
    <row r="987" spans="1:19" ht="15" x14ac:dyDescent="0.25">
      <c r="A987" s="90" t="s">
        <v>2670</v>
      </c>
      <c r="B987" s="90" t="s">
        <v>1802</v>
      </c>
      <c r="C987" s="98" t="s">
        <v>2464</v>
      </c>
      <c r="D987" s="92" t="s">
        <v>2600</v>
      </c>
      <c r="E987" s="90" t="s">
        <v>16</v>
      </c>
      <c r="F987" s="99">
        <v>1</v>
      </c>
      <c r="G987" s="94">
        <v>71231.48</v>
      </c>
      <c r="H987" s="94">
        <v>539.64</v>
      </c>
      <c r="I987" s="95">
        <v>71771.12</v>
      </c>
      <c r="J987" s="95">
        <v>71231.48</v>
      </c>
      <c r="K987" s="95">
        <v>539.63999999999942</v>
      </c>
      <c r="L987" s="95">
        <v>71771.12</v>
      </c>
      <c r="M987" s="96">
        <v>0.1837</v>
      </c>
      <c r="N987" s="95">
        <v>84316.7</v>
      </c>
      <c r="O987" s="95">
        <v>638.77</v>
      </c>
      <c r="P987" s="95">
        <v>84955.47</v>
      </c>
      <c r="Q987" s="95">
        <v>84316.7</v>
      </c>
      <c r="R987" s="95">
        <v>638.77</v>
      </c>
      <c r="S987" s="95">
        <v>84955.47</v>
      </c>
    </row>
    <row r="988" spans="1:19" ht="15" x14ac:dyDescent="0.25">
      <c r="A988" s="90" t="s">
        <v>2671</v>
      </c>
      <c r="B988" s="90"/>
      <c r="C988" s="98" t="s">
        <v>2467</v>
      </c>
      <c r="D988" s="92"/>
      <c r="E988" s="90"/>
      <c r="F988" s="99"/>
      <c r="G988" s="94"/>
      <c r="H988" s="94"/>
      <c r="I988" s="95"/>
      <c r="J988" s="95"/>
      <c r="K988" s="95"/>
      <c r="L988" s="95"/>
      <c r="M988" s="96">
        <v>0</v>
      </c>
      <c r="N988" s="95"/>
      <c r="O988" s="95"/>
      <c r="P988" s="95"/>
      <c r="Q988" s="95">
        <v>0</v>
      </c>
      <c r="R988" s="95">
        <v>0</v>
      </c>
      <c r="S988" s="95">
        <v>0</v>
      </c>
    </row>
    <row r="989" spans="1:19" ht="15" x14ac:dyDescent="0.25">
      <c r="A989" s="90" t="s">
        <v>2672</v>
      </c>
      <c r="B989" s="90" t="s">
        <v>31</v>
      </c>
      <c r="C989" s="98" t="s">
        <v>2469</v>
      </c>
      <c r="D989" s="92" t="s">
        <v>2470</v>
      </c>
      <c r="E989" s="90" t="s">
        <v>93</v>
      </c>
      <c r="F989" s="99">
        <v>7.14</v>
      </c>
      <c r="G989" s="94">
        <v>6.28</v>
      </c>
      <c r="H989" s="94">
        <v>5.28</v>
      </c>
      <c r="I989" s="95">
        <v>11.56</v>
      </c>
      <c r="J989" s="95">
        <v>44.83</v>
      </c>
      <c r="K989" s="95">
        <v>37.710000000000008</v>
      </c>
      <c r="L989" s="95">
        <v>82.54</v>
      </c>
      <c r="M989" s="96">
        <v>0.27529999999999999</v>
      </c>
      <c r="N989" s="95">
        <v>8.01</v>
      </c>
      <c r="O989" s="95">
        <v>6.73</v>
      </c>
      <c r="P989" s="95">
        <v>14.74</v>
      </c>
      <c r="Q989" s="95">
        <v>57.19</v>
      </c>
      <c r="R989" s="95">
        <v>48.05</v>
      </c>
      <c r="S989" s="95">
        <v>105.24</v>
      </c>
    </row>
    <row r="990" spans="1:19" ht="15" x14ac:dyDescent="0.25">
      <c r="A990" s="90" t="s">
        <v>2673</v>
      </c>
      <c r="B990" s="90" t="s">
        <v>31</v>
      </c>
      <c r="C990" s="98" t="s">
        <v>2475</v>
      </c>
      <c r="D990" s="92" t="s">
        <v>2476</v>
      </c>
      <c r="E990" s="90" t="s">
        <v>93</v>
      </c>
      <c r="F990" s="99">
        <v>7</v>
      </c>
      <c r="G990" s="94">
        <v>8.01</v>
      </c>
      <c r="H990" s="94">
        <v>6.98</v>
      </c>
      <c r="I990" s="95">
        <v>14.99</v>
      </c>
      <c r="J990" s="95">
        <v>56.07</v>
      </c>
      <c r="K990" s="95">
        <v>48.860000000000007</v>
      </c>
      <c r="L990" s="95">
        <v>104.93</v>
      </c>
      <c r="M990" s="96">
        <v>0.27529999999999999</v>
      </c>
      <c r="N990" s="95">
        <v>10.220000000000001</v>
      </c>
      <c r="O990" s="95">
        <v>8.9</v>
      </c>
      <c r="P990" s="95">
        <v>19.12</v>
      </c>
      <c r="Q990" s="95">
        <v>71.540000000000006</v>
      </c>
      <c r="R990" s="95">
        <v>62.3</v>
      </c>
      <c r="S990" s="95">
        <v>133.84</v>
      </c>
    </row>
    <row r="991" spans="1:19" ht="15" x14ac:dyDescent="0.25">
      <c r="A991" s="90" t="s">
        <v>2674</v>
      </c>
      <c r="B991" s="90" t="s">
        <v>31</v>
      </c>
      <c r="C991" s="98" t="s">
        <v>2484</v>
      </c>
      <c r="D991" s="92" t="s">
        <v>2485</v>
      </c>
      <c r="E991" s="90" t="s">
        <v>93</v>
      </c>
      <c r="F991" s="99">
        <v>7</v>
      </c>
      <c r="G991" s="94">
        <v>7.04</v>
      </c>
      <c r="H991" s="94">
        <v>4.7</v>
      </c>
      <c r="I991" s="95">
        <v>11.74</v>
      </c>
      <c r="J991" s="95">
        <v>49.28</v>
      </c>
      <c r="K991" s="95">
        <v>32.900000000000006</v>
      </c>
      <c r="L991" s="95">
        <v>82.18</v>
      </c>
      <c r="M991" s="96">
        <v>0.27529999999999999</v>
      </c>
      <c r="N991" s="95">
        <v>8.98</v>
      </c>
      <c r="O991" s="95">
        <v>5.99</v>
      </c>
      <c r="P991" s="95">
        <v>14.97</v>
      </c>
      <c r="Q991" s="95">
        <v>62.86</v>
      </c>
      <c r="R991" s="95">
        <v>41.93</v>
      </c>
      <c r="S991" s="95">
        <v>104.78999999999999</v>
      </c>
    </row>
    <row r="992" spans="1:19" ht="15" x14ac:dyDescent="0.25">
      <c r="A992" s="90" t="s">
        <v>2675</v>
      </c>
      <c r="B992" s="90" t="s">
        <v>31</v>
      </c>
      <c r="C992" s="98" t="s">
        <v>2607</v>
      </c>
      <c r="D992" s="92" t="s">
        <v>2494</v>
      </c>
      <c r="E992" s="90" t="s">
        <v>16</v>
      </c>
      <c r="F992" s="99">
        <v>16</v>
      </c>
      <c r="G992" s="94">
        <v>4.75</v>
      </c>
      <c r="H992" s="94">
        <v>6.4</v>
      </c>
      <c r="I992" s="95">
        <v>11.15</v>
      </c>
      <c r="J992" s="95">
        <v>76</v>
      </c>
      <c r="K992" s="95">
        <v>102.4</v>
      </c>
      <c r="L992" s="95">
        <v>178.4</v>
      </c>
      <c r="M992" s="96">
        <v>0.27529999999999999</v>
      </c>
      <c r="N992" s="95">
        <v>6.06</v>
      </c>
      <c r="O992" s="95">
        <v>8.16</v>
      </c>
      <c r="P992" s="95">
        <v>14.219999999999999</v>
      </c>
      <c r="Q992" s="95">
        <v>96.96</v>
      </c>
      <c r="R992" s="95">
        <v>130.56</v>
      </c>
      <c r="S992" s="95">
        <v>227.51999999999998</v>
      </c>
    </row>
    <row r="993" spans="1:19" ht="15" x14ac:dyDescent="0.25">
      <c r="A993" s="90" t="s">
        <v>2676</v>
      </c>
      <c r="B993" s="90" t="s">
        <v>31</v>
      </c>
      <c r="C993" s="98" t="s">
        <v>2609</v>
      </c>
      <c r="D993" s="92" t="s">
        <v>2498</v>
      </c>
      <c r="E993" s="90" t="s">
        <v>16</v>
      </c>
      <c r="F993" s="99">
        <v>32</v>
      </c>
      <c r="G993" s="94">
        <v>2.7</v>
      </c>
      <c r="H993" s="94">
        <v>4.25</v>
      </c>
      <c r="I993" s="95">
        <v>6.95</v>
      </c>
      <c r="J993" s="95">
        <v>86.4</v>
      </c>
      <c r="K993" s="95">
        <v>136</v>
      </c>
      <c r="L993" s="95">
        <v>222.4</v>
      </c>
      <c r="M993" s="96">
        <v>0.27529999999999999</v>
      </c>
      <c r="N993" s="95">
        <v>3.44</v>
      </c>
      <c r="O993" s="95">
        <v>5.42</v>
      </c>
      <c r="P993" s="95">
        <v>8.86</v>
      </c>
      <c r="Q993" s="95">
        <v>110.08</v>
      </c>
      <c r="R993" s="95">
        <v>173.44</v>
      </c>
      <c r="S993" s="95">
        <v>283.52</v>
      </c>
    </row>
    <row r="994" spans="1:19" ht="15" x14ac:dyDescent="0.25">
      <c r="A994" s="90" t="s">
        <v>2677</v>
      </c>
      <c r="B994" s="90"/>
      <c r="C994" s="98" t="s">
        <v>2500</v>
      </c>
      <c r="D994" s="92"/>
      <c r="E994" s="90"/>
      <c r="F994" s="99"/>
      <c r="G994" s="94"/>
      <c r="H994" s="94"/>
      <c r="I994" s="95"/>
      <c r="J994" s="95"/>
      <c r="K994" s="95"/>
      <c r="L994" s="95"/>
      <c r="M994" s="96">
        <v>0</v>
      </c>
      <c r="N994" s="95"/>
      <c r="O994" s="95"/>
      <c r="P994" s="95"/>
      <c r="Q994" s="95">
        <v>0</v>
      </c>
      <c r="R994" s="95">
        <v>0</v>
      </c>
      <c r="S994" s="95">
        <v>0</v>
      </c>
    </row>
    <row r="995" spans="1:19" ht="15" x14ac:dyDescent="0.25">
      <c r="A995" s="90" t="s">
        <v>2678</v>
      </c>
      <c r="B995" s="90" t="s">
        <v>706</v>
      </c>
      <c r="C995" s="98" t="s">
        <v>2502</v>
      </c>
      <c r="D995" s="92" t="s">
        <v>2612</v>
      </c>
      <c r="E995" s="90" t="s">
        <v>93</v>
      </c>
      <c r="F995" s="99">
        <v>75</v>
      </c>
      <c r="G995" s="94">
        <v>26.75</v>
      </c>
      <c r="H995" s="94">
        <v>35.549999999999997</v>
      </c>
      <c r="I995" s="95">
        <v>62.3</v>
      </c>
      <c r="J995" s="95">
        <v>2006.25</v>
      </c>
      <c r="K995" s="95">
        <v>2666.25</v>
      </c>
      <c r="L995" s="95">
        <v>4672.5</v>
      </c>
      <c r="M995" s="96">
        <v>0.27529999999999999</v>
      </c>
      <c r="N995" s="95">
        <v>34.11</v>
      </c>
      <c r="O995" s="95">
        <v>45.34</v>
      </c>
      <c r="P995" s="95">
        <v>79.45</v>
      </c>
      <c r="Q995" s="95">
        <v>2558.25</v>
      </c>
      <c r="R995" s="95">
        <v>3400.5</v>
      </c>
      <c r="S995" s="95">
        <v>5958.75</v>
      </c>
    </row>
    <row r="996" spans="1:19" ht="15" x14ac:dyDescent="0.25">
      <c r="A996" s="90" t="s">
        <v>2679</v>
      </c>
      <c r="B996" s="90" t="s">
        <v>1802</v>
      </c>
      <c r="C996" s="98" t="s">
        <v>2505</v>
      </c>
      <c r="D996" s="92" t="s">
        <v>2506</v>
      </c>
      <c r="E996" s="90" t="s">
        <v>16</v>
      </c>
      <c r="F996" s="99">
        <v>25</v>
      </c>
      <c r="G996" s="94">
        <v>3.62</v>
      </c>
      <c r="H996" s="94">
        <v>3.78</v>
      </c>
      <c r="I996" s="95">
        <v>7.4</v>
      </c>
      <c r="J996" s="95">
        <v>90.5</v>
      </c>
      <c r="K996" s="95">
        <v>94.5</v>
      </c>
      <c r="L996" s="95">
        <v>185</v>
      </c>
      <c r="M996" s="96">
        <v>0.27529999999999999</v>
      </c>
      <c r="N996" s="95">
        <v>4.62</v>
      </c>
      <c r="O996" s="95">
        <v>4.82</v>
      </c>
      <c r="P996" s="95">
        <v>9.4400000000000013</v>
      </c>
      <c r="Q996" s="95">
        <v>115.5</v>
      </c>
      <c r="R996" s="95">
        <v>120.5</v>
      </c>
      <c r="S996" s="95">
        <v>236</v>
      </c>
    </row>
    <row r="997" spans="1:19" ht="15" x14ac:dyDescent="0.25">
      <c r="A997" s="90" t="s">
        <v>2680</v>
      </c>
      <c r="B997" s="90" t="s">
        <v>1802</v>
      </c>
      <c r="C997" s="98" t="s">
        <v>2616</v>
      </c>
      <c r="D997" s="92" t="s">
        <v>2617</v>
      </c>
      <c r="E997" s="90" t="s">
        <v>16</v>
      </c>
      <c r="F997" s="99">
        <v>2</v>
      </c>
      <c r="G997" s="94">
        <v>17.600000000000001</v>
      </c>
      <c r="H997" s="94">
        <v>9.49</v>
      </c>
      <c r="I997" s="95">
        <v>27.090000000000003</v>
      </c>
      <c r="J997" s="95">
        <v>35.200000000000003</v>
      </c>
      <c r="K997" s="95">
        <v>18.979999999999997</v>
      </c>
      <c r="L997" s="95">
        <v>54.18</v>
      </c>
      <c r="M997" s="96">
        <v>0.27529999999999999</v>
      </c>
      <c r="N997" s="95">
        <v>22.45</v>
      </c>
      <c r="O997" s="95">
        <v>12.1</v>
      </c>
      <c r="P997" s="95">
        <v>34.549999999999997</v>
      </c>
      <c r="Q997" s="95">
        <v>44.9</v>
      </c>
      <c r="R997" s="95">
        <v>24.2</v>
      </c>
      <c r="S997" s="95">
        <v>69.099999999999994</v>
      </c>
    </row>
    <row r="998" spans="1:19" ht="15" x14ac:dyDescent="0.25">
      <c r="A998" s="90" t="s">
        <v>2681</v>
      </c>
      <c r="B998" s="90" t="s">
        <v>1802</v>
      </c>
      <c r="C998" s="98" t="s">
        <v>2619</v>
      </c>
      <c r="D998" s="92" t="s">
        <v>2620</v>
      </c>
      <c r="E998" s="90" t="s">
        <v>16</v>
      </c>
      <c r="F998" s="99">
        <v>3</v>
      </c>
      <c r="G998" s="94">
        <v>95.62</v>
      </c>
      <c r="H998" s="94">
        <v>15.19</v>
      </c>
      <c r="I998" s="95">
        <v>110.81</v>
      </c>
      <c r="J998" s="95">
        <v>286.86</v>
      </c>
      <c r="K998" s="95">
        <v>45.569999999999993</v>
      </c>
      <c r="L998" s="95">
        <v>332.43</v>
      </c>
      <c r="M998" s="96">
        <v>0.27529999999999999</v>
      </c>
      <c r="N998" s="95">
        <v>121.94</v>
      </c>
      <c r="O998" s="95">
        <v>19.37</v>
      </c>
      <c r="P998" s="95">
        <v>141.31</v>
      </c>
      <c r="Q998" s="95">
        <v>365.82</v>
      </c>
      <c r="R998" s="95">
        <v>58.11</v>
      </c>
      <c r="S998" s="95">
        <v>423.93</v>
      </c>
    </row>
    <row r="999" spans="1:19" ht="15" x14ac:dyDescent="0.25">
      <c r="A999" s="90" t="s">
        <v>2682</v>
      </c>
      <c r="B999" s="90"/>
      <c r="C999" s="91" t="s">
        <v>2508</v>
      </c>
      <c r="D999" s="92"/>
      <c r="E999" s="90"/>
      <c r="F999" s="99"/>
      <c r="G999" s="94"/>
      <c r="H999" s="94"/>
      <c r="I999" s="95"/>
      <c r="J999" s="95"/>
      <c r="K999" s="95"/>
      <c r="L999" s="95"/>
      <c r="M999" s="96">
        <v>0</v>
      </c>
      <c r="N999" s="95"/>
      <c r="O999" s="95"/>
      <c r="P999" s="95"/>
      <c r="Q999" s="95">
        <v>0</v>
      </c>
      <c r="R999" s="95">
        <v>0</v>
      </c>
      <c r="S999" s="95">
        <v>0</v>
      </c>
    </row>
    <row r="1000" spans="1:19" ht="15" x14ac:dyDescent="0.25">
      <c r="A1000" s="90" t="s">
        <v>2683</v>
      </c>
      <c r="B1000" s="90" t="s">
        <v>31</v>
      </c>
      <c r="C1000" s="98" t="s">
        <v>2510</v>
      </c>
      <c r="D1000" s="92" t="s">
        <v>2511</v>
      </c>
      <c r="E1000" s="90" t="s">
        <v>16</v>
      </c>
      <c r="F1000" s="99">
        <v>18</v>
      </c>
      <c r="G1000" s="94">
        <v>11.44</v>
      </c>
      <c r="H1000" s="94">
        <v>21.84</v>
      </c>
      <c r="I1000" s="95">
        <v>33.28</v>
      </c>
      <c r="J1000" s="95">
        <v>205.92</v>
      </c>
      <c r="K1000" s="95">
        <v>393.12</v>
      </c>
      <c r="L1000" s="95">
        <v>599.04</v>
      </c>
      <c r="M1000" s="96">
        <v>0.27529999999999999</v>
      </c>
      <c r="N1000" s="95">
        <v>14.59</v>
      </c>
      <c r="O1000" s="95">
        <v>27.85</v>
      </c>
      <c r="P1000" s="95">
        <v>42.44</v>
      </c>
      <c r="Q1000" s="95">
        <v>262.62</v>
      </c>
      <c r="R1000" s="95">
        <v>501.3</v>
      </c>
      <c r="S1000" s="95">
        <v>763.92000000000007</v>
      </c>
    </row>
    <row r="1001" spans="1:19" ht="15" x14ac:dyDescent="0.25">
      <c r="A1001" s="90" t="s">
        <v>2684</v>
      </c>
      <c r="B1001" s="90" t="s">
        <v>31</v>
      </c>
      <c r="C1001" s="98" t="s">
        <v>2523</v>
      </c>
      <c r="D1001" s="92" t="s">
        <v>2524</v>
      </c>
      <c r="E1001" s="90" t="s">
        <v>16</v>
      </c>
      <c r="F1001" s="99">
        <v>1</v>
      </c>
      <c r="G1001" s="94">
        <v>26.6</v>
      </c>
      <c r="H1001" s="94">
        <v>20.92</v>
      </c>
      <c r="I1001" s="95">
        <v>47.52</v>
      </c>
      <c r="J1001" s="95">
        <v>26.6</v>
      </c>
      <c r="K1001" s="95">
        <v>20.92</v>
      </c>
      <c r="L1001" s="95">
        <v>47.52</v>
      </c>
      <c r="M1001" s="96">
        <v>0.27529999999999999</v>
      </c>
      <c r="N1001" s="95">
        <v>33.92</v>
      </c>
      <c r="O1001" s="95">
        <v>26.68</v>
      </c>
      <c r="P1001" s="95">
        <v>60.6</v>
      </c>
      <c r="Q1001" s="95">
        <v>33.92</v>
      </c>
      <c r="R1001" s="95">
        <v>26.68</v>
      </c>
      <c r="S1001" s="95">
        <v>60.6</v>
      </c>
    </row>
    <row r="1002" spans="1:19" ht="15" x14ac:dyDescent="0.25">
      <c r="A1002" s="90" t="s">
        <v>2685</v>
      </c>
      <c r="B1002" s="90" t="s">
        <v>31</v>
      </c>
      <c r="C1002" s="98" t="s">
        <v>2627</v>
      </c>
      <c r="D1002" s="92" t="s">
        <v>2533</v>
      </c>
      <c r="E1002" s="90" t="s">
        <v>16</v>
      </c>
      <c r="F1002" s="99">
        <v>8</v>
      </c>
      <c r="G1002" s="94">
        <v>20.28</v>
      </c>
      <c r="H1002" s="94">
        <v>14.61</v>
      </c>
      <c r="I1002" s="95">
        <v>34.89</v>
      </c>
      <c r="J1002" s="95">
        <v>162.24</v>
      </c>
      <c r="K1002" s="95">
        <v>116.88</v>
      </c>
      <c r="L1002" s="95">
        <v>279.12</v>
      </c>
      <c r="M1002" s="96">
        <v>0.27529999999999999</v>
      </c>
      <c r="N1002" s="95">
        <v>25.86</v>
      </c>
      <c r="O1002" s="95">
        <v>18.63</v>
      </c>
      <c r="P1002" s="95">
        <v>44.489999999999995</v>
      </c>
      <c r="Q1002" s="95">
        <v>206.88</v>
      </c>
      <c r="R1002" s="95">
        <v>149.04</v>
      </c>
      <c r="S1002" s="95">
        <v>355.91999999999996</v>
      </c>
    </row>
    <row r="1003" spans="1:19" ht="15" x14ac:dyDescent="0.25">
      <c r="A1003" s="90" t="s">
        <v>2686</v>
      </c>
      <c r="B1003" s="90" t="s">
        <v>31</v>
      </c>
      <c r="C1003" s="98" t="s">
        <v>2535</v>
      </c>
      <c r="D1003" s="92" t="s">
        <v>2536</v>
      </c>
      <c r="E1003" s="90" t="s">
        <v>16</v>
      </c>
      <c r="F1003" s="99">
        <v>9</v>
      </c>
      <c r="G1003" s="94">
        <v>33.049999999999997</v>
      </c>
      <c r="H1003" s="94">
        <v>21.68</v>
      </c>
      <c r="I1003" s="95">
        <v>54.73</v>
      </c>
      <c r="J1003" s="95">
        <v>297.45</v>
      </c>
      <c r="K1003" s="95">
        <v>195.12</v>
      </c>
      <c r="L1003" s="95">
        <v>492.57</v>
      </c>
      <c r="M1003" s="96">
        <v>0.27529999999999999</v>
      </c>
      <c r="N1003" s="95">
        <v>42.15</v>
      </c>
      <c r="O1003" s="95">
        <v>27.65</v>
      </c>
      <c r="P1003" s="95">
        <v>69.8</v>
      </c>
      <c r="Q1003" s="95">
        <v>379.35</v>
      </c>
      <c r="R1003" s="95">
        <v>248.85</v>
      </c>
      <c r="S1003" s="95">
        <v>628.20000000000005</v>
      </c>
    </row>
    <row r="1004" spans="1:19" ht="15" x14ac:dyDescent="0.25">
      <c r="A1004" s="90" t="s">
        <v>2687</v>
      </c>
      <c r="B1004" s="90"/>
      <c r="C1004" s="98" t="s">
        <v>2541</v>
      </c>
      <c r="D1004" s="92"/>
      <c r="E1004" s="90"/>
      <c r="F1004" s="99"/>
      <c r="G1004" s="94"/>
      <c r="H1004" s="94"/>
      <c r="I1004" s="95"/>
      <c r="J1004" s="95"/>
      <c r="K1004" s="95"/>
      <c r="L1004" s="95"/>
      <c r="M1004" s="96">
        <v>0</v>
      </c>
      <c r="N1004" s="95"/>
      <c r="O1004" s="95"/>
      <c r="P1004" s="95"/>
      <c r="Q1004" s="95">
        <v>0</v>
      </c>
      <c r="R1004" s="95">
        <v>0</v>
      </c>
      <c r="S1004" s="95">
        <v>0</v>
      </c>
    </row>
    <row r="1005" spans="1:19" ht="15" x14ac:dyDescent="0.25">
      <c r="A1005" s="90" t="s">
        <v>2688</v>
      </c>
      <c r="B1005" s="90" t="s">
        <v>184</v>
      </c>
      <c r="C1005" s="98" t="s">
        <v>2546</v>
      </c>
      <c r="D1005" s="92" t="s">
        <v>2547</v>
      </c>
      <c r="E1005" s="90" t="s">
        <v>16</v>
      </c>
      <c r="F1005" s="99">
        <v>8</v>
      </c>
      <c r="G1005" s="94">
        <v>223.5</v>
      </c>
      <c r="H1005" s="94">
        <v>18.97</v>
      </c>
      <c r="I1005" s="95">
        <v>242.47</v>
      </c>
      <c r="J1005" s="95">
        <v>1788</v>
      </c>
      <c r="K1005" s="95">
        <v>151.76</v>
      </c>
      <c r="L1005" s="95">
        <v>1939.76</v>
      </c>
      <c r="M1005" s="96">
        <v>0.27529999999999999</v>
      </c>
      <c r="N1005" s="95">
        <v>285.02999999999997</v>
      </c>
      <c r="O1005" s="95">
        <v>24.19</v>
      </c>
      <c r="P1005" s="95">
        <v>309.21999999999997</v>
      </c>
      <c r="Q1005" s="95">
        <v>2280.2399999999998</v>
      </c>
      <c r="R1005" s="95">
        <v>193.52</v>
      </c>
      <c r="S1005" s="95">
        <v>2473.7599999999998</v>
      </c>
    </row>
    <row r="1006" spans="1:19" ht="15" x14ac:dyDescent="0.25">
      <c r="A1006" s="90" t="s">
        <v>2689</v>
      </c>
      <c r="B1006" s="90" t="s">
        <v>100</v>
      </c>
      <c r="C1006" s="98" t="s">
        <v>2552</v>
      </c>
      <c r="D1006" s="92" t="s">
        <v>2553</v>
      </c>
      <c r="E1006" s="90" t="s">
        <v>16</v>
      </c>
      <c r="F1006" s="99">
        <v>20</v>
      </c>
      <c r="G1006" s="94">
        <v>157.88999999999999</v>
      </c>
      <c r="H1006" s="94">
        <v>58.79</v>
      </c>
      <c r="I1006" s="95">
        <v>216.67999999999998</v>
      </c>
      <c r="J1006" s="95">
        <v>3157.8</v>
      </c>
      <c r="K1006" s="95">
        <v>1175.8000000000002</v>
      </c>
      <c r="L1006" s="95">
        <v>4333.6000000000004</v>
      </c>
      <c r="M1006" s="96">
        <v>0.27529999999999999</v>
      </c>
      <c r="N1006" s="95">
        <v>201.36</v>
      </c>
      <c r="O1006" s="95">
        <v>74.97</v>
      </c>
      <c r="P1006" s="95">
        <v>276.33000000000004</v>
      </c>
      <c r="Q1006" s="95">
        <v>4027.2</v>
      </c>
      <c r="R1006" s="95">
        <v>1499.4</v>
      </c>
      <c r="S1006" s="95">
        <v>5526.6</v>
      </c>
    </row>
    <row r="1007" spans="1:19" ht="15" x14ac:dyDescent="0.25">
      <c r="A1007" s="90" t="s">
        <v>2690</v>
      </c>
      <c r="B1007" s="90"/>
      <c r="C1007" s="91" t="s">
        <v>2555</v>
      </c>
      <c r="D1007" s="92"/>
      <c r="E1007" s="90"/>
      <c r="F1007" s="99"/>
      <c r="G1007" s="94"/>
      <c r="H1007" s="94"/>
      <c r="I1007" s="95"/>
      <c r="J1007" s="95"/>
      <c r="K1007" s="95"/>
      <c r="L1007" s="95"/>
      <c r="M1007" s="96">
        <v>0</v>
      </c>
      <c r="N1007" s="95"/>
      <c r="O1007" s="95"/>
      <c r="P1007" s="95"/>
      <c r="Q1007" s="95">
        <v>0</v>
      </c>
      <c r="R1007" s="95">
        <v>0</v>
      </c>
      <c r="S1007" s="95">
        <v>0</v>
      </c>
    </row>
    <row r="1008" spans="1:19" ht="15" x14ac:dyDescent="0.25">
      <c r="A1008" s="90" t="s">
        <v>2691</v>
      </c>
      <c r="B1008" s="90" t="s">
        <v>31</v>
      </c>
      <c r="C1008" s="98" t="s">
        <v>2560</v>
      </c>
      <c r="D1008" s="92" t="s">
        <v>2561</v>
      </c>
      <c r="E1008" s="90" t="s">
        <v>93</v>
      </c>
      <c r="F1008" s="99">
        <v>740</v>
      </c>
      <c r="G1008" s="94">
        <v>3.71</v>
      </c>
      <c r="H1008" s="94">
        <v>1.1399999999999999</v>
      </c>
      <c r="I1008" s="95">
        <v>4.8499999999999996</v>
      </c>
      <c r="J1008" s="95">
        <v>2745.4</v>
      </c>
      <c r="K1008" s="95">
        <v>843.59999999999991</v>
      </c>
      <c r="L1008" s="95">
        <v>3589</v>
      </c>
      <c r="M1008" s="96">
        <v>0.27529999999999999</v>
      </c>
      <c r="N1008" s="95">
        <v>4.7300000000000004</v>
      </c>
      <c r="O1008" s="95">
        <v>1.45</v>
      </c>
      <c r="P1008" s="95">
        <v>6.1800000000000006</v>
      </c>
      <c r="Q1008" s="95">
        <v>3500.2</v>
      </c>
      <c r="R1008" s="95">
        <v>1073</v>
      </c>
      <c r="S1008" s="95">
        <v>4573.2</v>
      </c>
    </row>
    <row r="1009" spans="1:19" ht="15" x14ac:dyDescent="0.25">
      <c r="A1009" s="90" t="s">
        <v>2692</v>
      </c>
      <c r="B1009" s="90"/>
      <c r="C1009" s="98" t="s">
        <v>2563</v>
      </c>
      <c r="D1009" s="92"/>
      <c r="E1009" s="90"/>
      <c r="F1009" s="99"/>
      <c r="G1009" s="94"/>
      <c r="H1009" s="94"/>
      <c r="I1009" s="95"/>
      <c r="J1009" s="95"/>
      <c r="K1009" s="95"/>
      <c r="L1009" s="95"/>
      <c r="M1009" s="96">
        <v>0</v>
      </c>
      <c r="N1009" s="95"/>
      <c r="O1009" s="95"/>
      <c r="P1009" s="95"/>
      <c r="Q1009" s="95">
        <v>0</v>
      </c>
      <c r="R1009" s="95">
        <v>0</v>
      </c>
      <c r="S1009" s="95">
        <v>0</v>
      </c>
    </row>
    <row r="1010" spans="1:19" ht="15" x14ac:dyDescent="0.25">
      <c r="A1010" s="90" t="s">
        <v>2693</v>
      </c>
      <c r="B1010" s="90" t="s">
        <v>1221</v>
      </c>
      <c r="C1010" s="98" t="s">
        <v>2565</v>
      </c>
      <c r="D1010" s="92" t="s">
        <v>2566</v>
      </c>
      <c r="E1010" s="90" t="s">
        <v>93</v>
      </c>
      <c r="F1010" s="99">
        <v>63</v>
      </c>
      <c r="G1010" s="94">
        <v>46.79</v>
      </c>
      <c r="H1010" s="94">
        <v>8</v>
      </c>
      <c r="I1010" s="95">
        <v>54.79</v>
      </c>
      <c r="J1010" s="95">
        <v>2947.77</v>
      </c>
      <c r="K1010" s="95">
        <v>504</v>
      </c>
      <c r="L1010" s="95">
        <v>3451.77</v>
      </c>
      <c r="M1010" s="96">
        <v>0.27529999999999999</v>
      </c>
      <c r="N1010" s="95">
        <v>59.67</v>
      </c>
      <c r="O1010" s="95">
        <v>10.199999999999999</v>
      </c>
      <c r="P1010" s="95">
        <v>69.87</v>
      </c>
      <c r="Q1010" s="95">
        <v>3759.21</v>
      </c>
      <c r="R1010" s="95">
        <v>642.6</v>
      </c>
      <c r="S1010" s="95">
        <v>4401.8100000000004</v>
      </c>
    </row>
    <row r="1011" spans="1:19" ht="15" x14ac:dyDescent="0.25">
      <c r="A1011" s="90" t="s">
        <v>2694</v>
      </c>
      <c r="B1011" s="90" t="s">
        <v>1802</v>
      </c>
      <c r="C1011" s="98" t="s">
        <v>2568</v>
      </c>
      <c r="D1011" s="92" t="s">
        <v>2569</v>
      </c>
      <c r="E1011" s="90" t="s">
        <v>93</v>
      </c>
      <c r="F1011" s="99">
        <v>21</v>
      </c>
      <c r="G1011" s="94">
        <v>107.59</v>
      </c>
      <c r="H1011" s="94">
        <v>13.66</v>
      </c>
      <c r="I1011" s="95">
        <v>121.25</v>
      </c>
      <c r="J1011" s="95">
        <v>2259.39</v>
      </c>
      <c r="K1011" s="95">
        <v>286.86000000000013</v>
      </c>
      <c r="L1011" s="95">
        <v>2546.25</v>
      </c>
      <c r="M1011" s="96">
        <v>0.27529999999999999</v>
      </c>
      <c r="N1011" s="95">
        <v>137.21</v>
      </c>
      <c r="O1011" s="95">
        <v>17.420000000000002</v>
      </c>
      <c r="P1011" s="95">
        <v>154.63</v>
      </c>
      <c r="Q1011" s="95">
        <v>2881.41</v>
      </c>
      <c r="R1011" s="95">
        <v>365.82</v>
      </c>
      <c r="S1011" s="95">
        <v>3247.23</v>
      </c>
    </row>
    <row r="1012" spans="1:19" ht="15" x14ac:dyDescent="0.25">
      <c r="A1012" s="90" t="s">
        <v>2695</v>
      </c>
      <c r="B1012" s="90" t="s">
        <v>622</v>
      </c>
      <c r="C1012" s="98" t="s">
        <v>2571</v>
      </c>
      <c r="D1012" s="92" t="s">
        <v>2572</v>
      </c>
      <c r="E1012" s="90" t="s">
        <v>93</v>
      </c>
      <c r="F1012" s="99">
        <v>2</v>
      </c>
      <c r="G1012" s="94">
        <v>30.11</v>
      </c>
      <c r="H1012" s="94">
        <v>6.71</v>
      </c>
      <c r="I1012" s="95">
        <v>36.82</v>
      </c>
      <c r="J1012" s="95">
        <v>60.22</v>
      </c>
      <c r="K1012" s="95">
        <v>13.420000000000002</v>
      </c>
      <c r="L1012" s="95">
        <v>73.64</v>
      </c>
      <c r="M1012" s="96">
        <v>0.27529999999999999</v>
      </c>
      <c r="N1012" s="95">
        <v>38.4</v>
      </c>
      <c r="O1012" s="95">
        <v>8.56</v>
      </c>
      <c r="P1012" s="95">
        <v>46.96</v>
      </c>
      <c r="Q1012" s="95">
        <v>76.8</v>
      </c>
      <c r="R1012" s="95">
        <v>17.12</v>
      </c>
      <c r="S1012" s="95">
        <v>93.92</v>
      </c>
    </row>
    <row r="1013" spans="1:19" ht="15" x14ac:dyDescent="0.25">
      <c r="A1013" s="90" t="s">
        <v>2696</v>
      </c>
      <c r="B1013" s="90"/>
      <c r="C1013" s="91" t="s">
        <v>2574</v>
      </c>
      <c r="D1013" s="92"/>
      <c r="E1013" s="90"/>
      <c r="F1013" s="99"/>
      <c r="G1013" s="94"/>
      <c r="H1013" s="94"/>
      <c r="I1013" s="95"/>
      <c r="J1013" s="95"/>
      <c r="K1013" s="95"/>
      <c r="L1013" s="95"/>
      <c r="M1013" s="96">
        <v>0</v>
      </c>
      <c r="N1013" s="95"/>
      <c r="O1013" s="95"/>
      <c r="P1013" s="95"/>
      <c r="Q1013" s="95">
        <v>0</v>
      </c>
      <c r="R1013" s="95">
        <v>0</v>
      </c>
      <c r="S1013" s="95">
        <v>0</v>
      </c>
    </row>
    <row r="1014" spans="1:19" ht="15" x14ac:dyDescent="0.25">
      <c r="A1014" s="90" t="s">
        <v>2697</v>
      </c>
      <c r="B1014" s="90" t="s">
        <v>75</v>
      </c>
      <c r="C1014" s="98" t="s">
        <v>2576</v>
      </c>
      <c r="D1014" s="92" t="s">
        <v>2698</v>
      </c>
      <c r="E1014" s="90" t="s">
        <v>93</v>
      </c>
      <c r="F1014" s="99">
        <v>15</v>
      </c>
      <c r="G1014" s="94">
        <v>506.08</v>
      </c>
      <c r="H1014" s="94">
        <v>11.66</v>
      </c>
      <c r="I1014" s="95">
        <v>517.74</v>
      </c>
      <c r="J1014" s="95">
        <v>7591.2</v>
      </c>
      <c r="K1014" s="95">
        <v>174.90000000000055</v>
      </c>
      <c r="L1014" s="95">
        <v>7766.1</v>
      </c>
      <c r="M1014" s="96">
        <v>0.27529999999999999</v>
      </c>
      <c r="N1014" s="95">
        <v>645.4</v>
      </c>
      <c r="O1014" s="95">
        <v>14.87</v>
      </c>
      <c r="P1014" s="95">
        <v>660.27</v>
      </c>
      <c r="Q1014" s="95">
        <v>9681</v>
      </c>
      <c r="R1014" s="95">
        <v>223.05</v>
      </c>
      <c r="S1014" s="95">
        <v>9904.0499999999993</v>
      </c>
    </row>
    <row r="1015" spans="1:19" ht="15" x14ac:dyDescent="0.25">
      <c r="A1015" s="90" t="s">
        <v>2699</v>
      </c>
      <c r="B1015" s="90" t="s">
        <v>75</v>
      </c>
      <c r="C1015" s="98" t="s">
        <v>2576</v>
      </c>
      <c r="D1015" s="92" t="s">
        <v>2643</v>
      </c>
      <c r="E1015" s="90" t="s">
        <v>93</v>
      </c>
      <c r="F1015" s="99">
        <v>15</v>
      </c>
      <c r="G1015" s="94">
        <v>757.72</v>
      </c>
      <c r="H1015" s="94">
        <v>11.66</v>
      </c>
      <c r="I1015" s="95">
        <v>769.38</v>
      </c>
      <c r="J1015" s="95">
        <v>11365.8</v>
      </c>
      <c r="K1015" s="95">
        <v>174.90000000000146</v>
      </c>
      <c r="L1015" s="95">
        <v>11540.7</v>
      </c>
      <c r="M1015" s="96">
        <v>0.27529999999999999</v>
      </c>
      <c r="N1015" s="95">
        <v>966.32</v>
      </c>
      <c r="O1015" s="95">
        <v>14.87</v>
      </c>
      <c r="P1015" s="95">
        <v>981.19</v>
      </c>
      <c r="Q1015" s="95">
        <v>14494.8</v>
      </c>
      <c r="R1015" s="95">
        <v>223.05</v>
      </c>
      <c r="S1015" s="95">
        <v>14717.849999999999</v>
      </c>
    </row>
    <row r="1016" spans="1:19" ht="15" x14ac:dyDescent="0.25">
      <c r="A1016" s="90" t="s">
        <v>2700</v>
      </c>
      <c r="B1016" s="90" t="s">
        <v>86</v>
      </c>
      <c r="C1016" s="98" t="s">
        <v>2460</v>
      </c>
      <c r="D1016" s="92" t="s">
        <v>2701</v>
      </c>
      <c r="E1016" s="90" t="s">
        <v>93</v>
      </c>
      <c r="F1016" s="99">
        <v>1</v>
      </c>
      <c r="G1016" s="94">
        <v>101.63</v>
      </c>
      <c r="H1016" s="94">
        <v>8.34</v>
      </c>
      <c r="I1016" s="95">
        <v>109.97</v>
      </c>
      <c r="J1016" s="95">
        <v>101.63</v>
      </c>
      <c r="K1016" s="95">
        <v>8.3400000000000034</v>
      </c>
      <c r="L1016" s="95">
        <v>109.97</v>
      </c>
      <c r="M1016" s="96">
        <v>0.27529999999999999</v>
      </c>
      <c r="N1016" s="95">
        <v>129.61000000000001</v>
      </c>
      <c r="O1016" s="95">
        <v>10.64</v>
      </c>
      <c r="P1016" s="95">
        <v>140.25</v>
      </c>
      <c r="Q1016" s="95">
        <v>129.61000000000001</v>
      </c>
      <c r="R1016" s="95">
        <v>10.64</v>
      </c>
      <c r="S1016" s="95">
        <v>140.25</v>
      </c>
    </row>
    <row r="1017" spans="1:19" ht="15" x14ac:dyDescent="0.25">
      <c r="A1017" s="90" t="s">
        <v>2702</v>
      </c>
      <c r="B1017" s="90" t="s">
        <v>86</v>
      </c>
      <c r="C1017" s="98" t="s">
        <v>2584</v>
      </c>
      <c r="D1017" s="92" t="s">
        <v>2585</v>
      </c>
      <c r="E1017" s="90" t="s">
        <v>16</v>
      </c>
      <c r="F1017" s="99">
        <v>18</v>
      </c>
      <c r="G1017" s="94">
        <v>42.51</v>
      </c>
      <c r="H1017" s="94">
        <v>16.66</v>
      </c>
      <c r="I1017" s="95">
        <v>59.17</v>
      </c>
      <c r="J1017" s="95">
        <v>765.18</v>
      </c>
      <c r="K1017" s="95">
        <v>299.88</v>
      </c>
      <c r="L1017" s="95">
        <v>1065.06</v>
      </c>
      <c r="M1017" s="96">
        <v>0.27529999999999999</v>
      </c>
      <c r="N1017" s="95">
        <v>54.21</v>
      </c>
      <c r="O1017" s="95">
        <v>21.25</v>
      </c>
      <c r="P1017" s="95">
        <v>75.460000000000008</v>
      </c>
      <c r="Q1017" s="95">
        <v>975.78</v>
      </c>
      <c r="R1017" s="95">
        <v>382.5</v>
      </c>
      <c r="S1017" s="95">
        <v>1358.28</v>
      </c>
    </row>
    <row r="1018" spans="1:19" ht="15" x14ac:dyDescent="0.25">
      <c r="A1018" s="90" t="s">
        <v>2703</v>
      </c>
      <c r="B1018" s="90"/>
      <c r="C1018" s="91" t="s">
        <v>2704</v>
      </c>
      <c r="D1018" s="92"/>
      <c r="E1018" s="90"/>
      <c r="F1018" s="99"/>
      <c r="G1018" s="94"/>
      <c r="H1018" s="94"/>
      <c r="I1018" s="95"/>
      <c r="J1018" s="95"/>
      <c r="K1018" s="95"/>
      <c r="L1018" s="95"/>
      <c r="M1018" s="96">
        <v>0</v>
      </c>
      <c r="N1018" s="95"/>
      <c r="O1018" s="95"/>
      <c r="P1018" s="95"/>
      <c r="Q1018" s="95">
        <v>0</v>
      </c>
      <c r="R1018" s="95">
        <v>0</v>
      </c>
      <c r="S1018" s="95">
        <v>0</v>
      </c>
    </row>
    <row r="1019" spans="1:19" ht="15" x14ac:dyDescent="0.25">
      <c r="A1019" s="90" t="s">
        <v>2705</v>
      </c>
      <c r="B1019" s="90"/>
      <c r="C1019" s="91" t="s">
        <v>2706</v>
      </c>
      <c r="D1019" s="92"/>
      <c r="E1019" s="90"/>
      <c r="F1019" s="99"/>
      <c r="G1019" s="94"/>
      <c r="H1019" s="94"/>
      <c r="I1019" s="95"/>
      <c r="J1019" s="95"/>
      <c r="K1019" s="95"/>
      <c r="L1019" s="95"/>
      <c r="M1019" s="96">
        <v>0</v>
      </c>
      <c r="N1019" s="95"/>
      <c r="O1019" s="95"/>
      <c r="P1019" s="95"/>
      <c r="Q1019" s="95">
        <v>0</v>
      </c>
      <c r="R1019" s="95">
        <v>0</v>
      </c>
      <c r="S1019" s="95">
        <v>0</v>
      </c>
    </row>
    <row r="1020" spans="1:19" ht="15" x14ac:dyDescent="0.25">
      <c r="A1020" s="90" t="s">
        <v>2707</v>
      </c>
      <c r="B1020" s="90" t="s">
        <v>45</v>
      </c>
      <c r="C1020" s="98" t="s">
        <v>2581</v>
      </c>
      <c r="D1020" s="92" t="s">
        <v>2708</v>
      </c>
      <c r="E1020" s="90" t="s">
        <v>93</v>
      </c>
      <c r="F1020" s="99">
        <v>19</v>
      </c>
      <c r="G1020" s="94">
        <v>221.01</v>
      </c>
      <c r="H1020" s="94">
        <v>11.66</v>
      </c>
      <c r="I1020" s="95">
        <v>232.67</v>
      </c>
      <c r="J1020" s="95">
        <v>4199.1899999999996</v>
      </c>
      <c r="K1020" s="95">
        <v>221.53999999999996</v>
      </c>
      <c r="L1020" s="95">
        <v>4420.7299999999996</v>
      </c>
      <c r="M1020" s="96">
        <v>0.27529999999999999</v>
      </c>
      <c r="N1020" s="95">
        <v>281.85000000000002</v>
      </c>
      <c r="O1020" s="95">
        <v>14.87</v>
      </c>
      <c r="P1020" s="95">
        <v>296.72000000000003</v>
      </c>
      <c r="Q1020" s="95">
        <v>5355.15</v>
      </c>
      <c r="R1020" s="95">
        <v>282.52999999999997</v>
      </c>
      <c r="S1020" s="95">
        <v>5637.6799999999994</v>
      </c>
    </row>
    <row r="1021" spans="1:19" ht="15" x14ac:dyDescent="0.25">
      <c r="A1021" s="90" t="s">
        <v>2709</v>
      </c>
      <c r="B1021" s="90" t="s">
        <v>75</v>
      </c>
      <c r="C1021" s="98" t="s">
        <v>2576</v>
      </c>
      <c r="D1021" s="92" t="s">
        <v>2710</v>
      </c>
      <c r="E1021" s="90" t="s">
        <v>93</v>
      </c>
      <c r="F1021" s="99">
        <v>86</v>
      </c>
      <c r="G1021" s="94">
        <v>707.4</v>
      </c>
      <c r="H1021" s="94">
        <v>11.66</v>
      </c>
      <c r="I1021" s="95">
        <v>719.06</v>
      </c>
      <c r="J1021" s="95">
        <v>60836.4</v>
      </c>
      <c r="K1021" s="95">
        <v>1002.760000000002</v>
      </c>
      <c r="L1021" s="95">
        <v>61839.16</v>
      </c>
      <c r="M1021" s="96">
        <v>0.27529999999999999</v>
      </c>
      <c r="N1021" s="95">
        <v>902.15</v>
      </c>
      <c r="O1021" s="95">
        <v>14.87</v>
      </c>
      <c r="P1021" s="95">
        <v>917.02</v>
      </c>
      <c r="Q1021" s="95">
        <v>77584.899999999994</v>
      </c>
      <c r="R1021" s="95">
        <v>1278.82</v>
      </c>
      <c r="S1021" s="95">
        <v>78863.72</v>
      </c>
    </row>
    <row r="1022" spans="1:19" ht="15" x14ac:dyDescent="0.25">
      <c r="A1022" s="90" t="s">
        <v>2711</v>
      </c>
      <c r="B1022" s="90" t="s">
        <v>75</v>
      </c>
      <c r="C1022" s="98" t="s">
        <v>2576</v>
      </c>
      <c r="D1022" s="92" t="s">
        <v>2712</v>
      </c>
      <c r="E1022" s="90" t="s">
        <v>93</v>
      </c>
      <c r="F1022" s="99">
        <v>95</v>
      </c>
      <c r="G1022" s="94">
        <v>757.72</v>
      </c>
      <c r="H1022" s="94">
        <v>11.66</v>
      </c>
      <c r="I1022" s="95">
        <v>769.38</v>
      </c>
      <c r="J1022" s="95">
        <v>71983.399999999994</v>
      </c>
      <c r="K1022" s="95">
        <v>1107.7000000000116</v>
      </c>
      <c r="L1022" s="95">
        <v>73091.100000000006</v>
      </c>
      <c r="M1022" s="96">
        <v>0.27529999999999999</v>
      </c>
      <c r="N1022" s="95">
        <v>966.32</v>
      </c>
      <c r="O1022" s="95">
        <v>14.87</v>
      </c>
      <c r="P1022" s="95">
        <v>981.19</v>
      </c>
      <c r="Q1022" s="95">
        <v>91800.4</v>
      </c>
      <c r="R1022" s="95">
        <v>1412.65</v>
      </c>
      <c r="S1022" s="95">
        <v>93213.049999999988</v>
      </c>
    </row>
    <row r="1023" spans="1:19" ht="15" x14ac:dyDescent="0.25">
      <c r="A1023" s="90" t="s">
        <v>2713</v>
      </c>
      <c r="B1023" s="90" t="s">
        <v>706</v>
      </c>
      <c r="C1023" s="98" t="s">
        <v>2502</v>
      </c>
      <c r="D1023" s="92" t="s">
        <v>2714</v>
      </c>
      <c r="E1023" s="90" t="s">
        <v>93</v>
      </c>
      <c r="F1023" s="99">
        <v>830</v>
      </c>
      <c r="G1023" s="94">
        <v>26.75</v>
      </c>
      <c r="H1023" s="94">
        <v>35.549999999999997</v>
      </c>
      <c r="I1023" s="95">
        <v>62.3</v>
      </c>
      <c r="J1023" s="95">
        <v>22202.5</v>
      </c>
      <c r="K1023" s="95">
        <v>29506.5</v>
      </c>
      <c r="L1023" s="95">
        <v>51709</v>
      </c>
      <c r="M1023" s="96">
        <v>0.27529999999999999</v>
      </c>
      <c r="N1023" s="95">
        <v>34.11</v>
      </c>
      <c r="O1023" s="95">
        <v>45.34</v>
      </c>
      <c r="P1023" s="95">
        <v>79.45</v>
      </c>
      <c r="Q1023" s="95">
        <v>28311.3</v>
      </c>
      <c r="R1023" s="95">
        <v>37632.199999999997</v>
      </c>
      <c r="S1023" s="95">
        <v>65943.5</v>
      </c>
    </row>
    <row r="1024" spans="1:19" ht="15" x14ac:dyDescent="0.25">
      <c r="A1024" s="90" t="s">
        <v>2715</v>
      </c>
      <c r="B1024" s="90" t="s">
        <v>45</v>
      </c>
      <c r="C1024" s="98" t="s">
        <v>2716</v>
      </c>
      <c r="D1024" s="92" t="s">
        <v>2717</v>
      </c>
      <c r="E1024" s="90" t="s">
        <v>93</v>
      </c>
      <c r="F1024" s="99">
        <v>89</v>
      </c>
      <c r="G1024" s="94">
        <v>56.18</v>
      </c>
      <c r="H1024" s="94">
        <v>9.7200000000000006</v>
      </c>
      <c r="I1024" s="95">
        <v>65.900000000000006</v>
      </c>
      <c r="J1024" s="95">
        <v>5000.0200000000004</v>
      </c>
      <c r="K1024" s="95">
        <v>865.07999999999993</v>
      </c>
      <c r="L1024" s="95">
        <v>5865.1</v>
      </c>
      <c r="M1024" s="96">
        <v>0.27529999999999999</v>
      </c>
      <c r="N1024" s="95">
        <v>71.650000000000006</v>
      </c>
      <c r="O1024" s="95">
        <v>12.4</v>
      </c>
      <c r="P1024" s="95">
        <v>84.050000000000011</v>
      </c>
      <c r="Q1024" s="95">
        <v>6376.85</v>
      </c>
      <c r="R1024" s="95">
        <v>1103.5999999999999</v>
      </c>
      <c r="S1024" s="95">
        <v>7480.4500000000007</v>
      </c>
    </row>
    <row r="1025" spans="1:19" ht="15" x14ac:dyDescent="0.25">
      <c r="A1025" s="90" t="s">
        <v>2718</v>
      </c>
      <c r="B1025" s="90" t="s">
        <v>45</v>
      </c>
      <c r="C1025" s="98" t="s">
        <v>2719</v>
      </c>
      <c r="D1025" s="92" t="s">
        <v>2720</v>
      </c>
      <c r="E1025" s="90" t="s">
        <v>93</v>
      </c>
      <c r="F1025" s="99">
        <v>41</v>
      </c>
      <c r="G1025" s="94">
        <v>176.35</v>
      </c>
      <c r="H1025" s="94">
        <v>38.9</v>
      </c>
      <c r="I1025" s="95">
        <v>215.25</v>
      </c>
      <c r="J1025" s="95">
        <v>7230.35</v>
      </c>
      <c r="K1025" s="95">
        <v>1594.8999999999996</v>
      </c>
      <c r="L1025" s="95">
        <v>8825.25</v>
      </c>
      <c r="M1025" s="96">
        <v>0.27529999999999999</v>
      </c>
      <c r="N1025" s="95">
        <v>224.9</v>
      </c>
      <c r="O1025" s="95">
        <v>49.61</v>
      </c>
      <c r="P1025" s="95">
        <v>274.51</v>
      </c>
      <c r="Q1025" s="95">
        <v>9220.9</v>
      </c>
      <c r="R1025" s="95">
        <v>2034.01</v>
      </c>
      <c r="S1025" s="95">
        <v>11254.91</v>
      </c>
    </row>
    <row r="1026" spans="1:19" ht="15" x14ac:dyDescent="0.25">
      <c r="A1026" s="90" t="s">
        <v>2721</v>
      </c>
      <c r="B1026" s="90" t="s">
        <v>75</v>
      </c>
      <c r="C1026" s="98" t="s">
        <v>2722</v>
      </c>
      <c r="D1026" s="92" t="s">
        <v>2723</v>
      </c>
      <c r="E1026" s="90" t="s">
        <v>93</v>
      </c>
      <c r="F1026" s="99">
        <v>199</v>
      </c>
      <c r="G1026" s="94">
        <v>86.96</v>
      </c>
      <c r="H1026" s="94">
        <v>29.17</v>
      </c>
      <c r="I1026" s="95">
        <v>116.13</v>
      </c>
      <c r="J1026" s="95">
        <v>17305.04</v>
      </c>
      <c r="K1026" s="95">
        <v>5804.8299999999981</v>
      </c>
      <c r="L1026" s="95">
        <v>23109.87</v>
      </c>
      <c r="M1026" s="96">
        <v>0.27529999999999999</v>
      </c>
      <c r="N1026" s="95">
        <v>110.9</v>
      </c>
      <c r="O1026" s="95">
        <v>37.200000000000003</v>
      </c>
      <c r="P1026" s="95">
        <v>148.10000000000002</v>
      </c>
      <c r="Q1026" s="95">
        <v>22069.1</v>
      </c>
      <c r="R1026" s="95">
        <v>7402.8</v>
      </c>
      <c r="S1026" s="95">
        <v>29471.899999999998</v>
      </c>
    </row>
    <row r="1027" spans="1:19" ht="15" x14ac:dyDescent="0.25">
      <c r="A1027" s="90" t="s">
        <v>2724</v>
      </c>
      <c r="B1027" s="90" t="s">
        <v>45</v>
      </c>
      <c r="C1027" s="98" t="s">
        <v>2722</v>
      </c>
      <c r="D1027" s="92" t="s">
        <v>2725</v>
      </c>
      <c r="E1027" s="90" t="s">
        <v>93</v>
      </c>
      <c r="F1027" s="99">
        <v>18</v>
      </c>
      <c r="G1027" s="94">
        <v>107.11</v>
      </c>
      <c r="H1027" s="94">
        <v>29.17</v>
      </c>
      <c r="I1027" s="95">
        <v>136.28</v>
      </c>
      <c r="J1027" s="95">
        <v>1927.98</v>
      </c>
      <c r="K1027" s="95">
        <v>525.05999999999995</v>
      </c>
      <c r="L1027" s="95">
        <v>2453.04</v>
      </c>
      <c r="M1027" s="96">
        <v>0.27529999999999999</v>
      </c>
      <c r="N1027" s="95">
        <v>136.6</v>
      </c>
      <c r="O1027" s="95">
        <v>37.200000000000003</v>
      </c>
      <c r="P1027" s="95">
        <v>173.8</v>
      </c>
      <c r="Q1027" s="95">
        <v>2458.8000000000002</v>
      </c>
      <c r="R1027" s="95">
        <v>669.6</v>
      </c>
      <c r="S1027" s="95">
        <v>3128.4</v>
      </c>
    </row>
    <row r="1028" spans="1:19" ht="15" x14ac:dyDescent="0.25">
      <c r="A1028" s="90" t="s">
        <v>2726</v>
      </c>
      <c r="B1028" s="90" t="s">
        <v>45</v>
      </c>
      <c r="C1028" s="98" t="s">
        <v>2727</v>
      </c>
      <c r="D1028" s="92" t="s">
        <v>2728</v>
      </c>
      <c r="E1028" s="90" t="s">
        <v>93</v>
      </c>
      <c r="F1028" s="99">
        <v>77</v>
      </c>
      <c r="G1028" s="94">
        <v>127.26</v>
      </c>
      <c r="H1028" s="94">
        <v>29.17</v>
      </c>
      <c r="I1028" s="95">
        <v>156.43</v>
      </c>
      <c r="J1028" s="95">
        <v>9799.02</v>
      </c>
      <c r="K1028" s="95">
        <v>2246.09</v>
      </c>
      <c r="L1028" s="95">
        <v>12045.11</v>
      </c>
      <c r="M1028" s="96">
        <v>0.27529999999999999</v>
      </c>
      <c r="N1028" s="95">
        <v>162.29</v>
      </c>
      <c r="O1028" s="95">
        <v>37.200000000000003</v>
      </c>
      <c r="P1028" s="95">
        <v>199.49</v>
      </c>
      <c r="Q1028" s="95">
        <v>12496.33</v>
      </c>
      <c r="R1028" s="95">
        <v>2864.4</v>
      </c>
      <c r="S1028" s="95">
        <v>15360.73</v>
      </c>
    </row>
    <row r="1029" spans="1:19" ht="15" x14ac:dyDescent="0.25">
      <c r="A1029" s="90" t="s">
        <v>2707</v>
      </c>
      <c r="B1029" s="90" t="s">
        <v>75</v>
      </c>
      <c r="C1029" s="98" t="s">
        <v>2729</v>
      </c>
      <c r="D1029" s="92" t="s">
        <v>2730</v>
      </c>
      <c r="E1029" s="90" t="s">
        <v>93</v>
      </c>
      <c r="F1029" s="99">
        <v>63</v>
      </c>
      <c r="G1029" s="94">
        <v>293.26</v>
      </c>
      <c r="H1029" s="94">
        <v>38.9</v>
      </c>
      <c r="I1029" s="95">
        <v>332.15999999999997</v>
      </c>
      <c r="J1029" s="95">
        <v>18475.38</v>
      </c>
      <c r="K1029" s="95">
        <v>2450.7000000000007</v>
      </c>
      <c r="L1029" s="95">
        <v>20926.080000000002</v>
      </c>
      <c r="M1029" s="96">
        <v>0.27529999999999999</v>
      </c>
      <c r="N1029" s="95">
        <v>373.99</v>
      </c>
      <c r="O1029" s="95">
        <v>49.61</v>
      </c>
      <c r="P1029" s="95">
        <v>423.6</v>
      </c>
      <c r="Q1029" s="95">
        <v>23561.37</v>
      </c>
      <c r="R1029" s="95">
        <v>3125.43</v>
      </c>
      <c r="S1029" s="95">
        <v>26686.799999999999</v>
      </c>
    </row>
    <row r="1030" spans="1:19" ht="15" x14ac:dyDescent="0.25">
      <c r="A1030" s="90" t="s">
        <v>2731</v>
      </c>
      <c r="B1030" s="90"/>
      <c r="C1030" s="91" t="s">
        <v>2732</v>
      </c>
      <c r="D1030" s="92"/>
      <c r="E1030" s="90"/>
      <c r="F1030" s="99"/>
      <c r="G1030" s="94"/>
      <c r="H1030" s="94"/>
      <c r="I1030" s="95"/>
      <c r="J1030" s="95"/>
      <c r="K1030" s="95"/>
      <c r="L1030" s="95"/>
      <c r="M1030" s="96">
        <v>0</v>
      </c>
      <c r="N1030" s="95"/>
      <c r="O1030" s="95"/>
      <c r="P1030" s="95"/>
      <c r="Q1030" s="95">
        <v>0</v>
      </c>
      <c r="R1030" s="95">
        <v>0</v>
      </c>
      <c r="S1030" s="95">
        <v>0</v>
      </c>
    </row>
    <row r="1031" spans="1:19" ht="15" x14ac:dyDescent="0.25">
      <c r="A1031" s="90" t="s">
        <v>2733</v>
      </c>
      <c r="B1031" s="90" t="s">
        <v>86</v>
      </c>
      <c r="C1031" s="98" t="s">
        <v>2734</v>
      </c>
      <c r="D1031" s="92" t="s">
        <v>2735</v>
      </c>
      <c r="E1031" s="90" t="s">
        <v>93</v>
      </c>
      <c r="F1031" s="99">
        <v>200</v>
      </c>
      <c r="G1031" s="94">
        <v>44.15</v>
      </c>
      <c r="H1031" s="94">
        <v>33.340000000000003</v>
      </c>
      <c r="I1031" s="95">
        <v>77.490000000000009</v>
      </c>
      <c r="J1031" s="95">
        <v>8830</v>
      </c>
      <c r="K1031" s="95">
        <v>6668</v>
      </c>
      <c r="L1031" s="95">
        <v>15498</v>
      </c>
      <c r="M1031" s="96">
        <v>0.27529999999999999</v>
      </c>
      <c r="N1031" s="95">
        <v>56.3</v>
      </c>
      <c r="O1031" s="95">
        <v>42.52</v>
      </c>
      <c r="P1031" s="95">
        <v>98.82</v>
      </c>
      <c r="Q1031" s="95">
        <v>11260</v>
      </c>
      <c r="R1031" s="95">
        <v>8504</v>
      </c>
      <c r="S1031" s="95">
        <v>19764</v>
      </c>
    </row>
    <row r="1032" spans="1:19" ht="15" x14ac:dyDescent="0.25">
      <c r="A1032" s="90" t="s">
        <v>2736</v>
      </c>
      <c r="B1032" s="90" t="s">
        <v>86</v>
      </c>
      <c r="C1032" s="98" t="s">
        <v>2737</v>
      </c>
      <c r="D1032" s="92" t="s">
        <v>2723</v>
      </c>
      <c r="E1032" s="90" t="s">
        <v>93</v>
      </c>
      <c r="F1032" s="99">
        <v>7122</v>
      </c>
      <c r="G1032" s="94">
        <v>40.76</v>
      </c>
      <c r="H1032" s="94">
        <v>33.340000000000003</v>
      </c>
      <c r="I1032" s="95">
        <v>74.099999999999994</v>
      </c>
      <c r="J1032" s="95">
        <v>290292.71999999997</v>
      </c>
      <c r="K1032" s="95">
        <v>237447.47999999998</v>
      </c>
      <c r="L1032" s="95">
        <v>527740.19999999995</v>
      </c>
      <c r="M1032" s="96">
        <v>0.27529999999999999</v>
      </c>
      <c r="N1032" s="95">
        <v>51.98</v>
      </c>
      <c r="O1032" s="95">
        <v>42.52</v>
      </c>
      <c r="P1032" s="95">
        <v>94.5</v>
      </c>
      <c r="Q1032" s="95">
        <v>370201.56</v>
      </c>
      <c r="R1032" s="95">
        <v>302827.44</v>
      </c>
      <c r="S1032" s="95">
        <v>673029</v>
      </c>
    </row>
    <row r="1033" spans="1:19" ht="15" x14ac:dyDescent="0.25">
      <c r="A1033" s="90" t="s">
        <v>2738</v>
      </c>
      <c r="B1033" s="90" t="s">
        <v>86</v>
      </c>
      <c r="C1033" s="98" t="s">
        <v>2739</v>
      </c>
      <c r="D1033" s="92" t="s">
        <v>2725</v>
      </c>
      <c r="E1033" s="90" t="s">
        <v>93</v>
      </c>
      <c r="F1033" s="99">
        <v>605</v>
      </c>
      <c r="G1033" s="94">
        <v>47.12</v>
      </c>
      <c r="H1033" s="94">
        <v>33.340000000000003</v>
      </c>
      <c r="I1033" s="95">
        <v>80.460000000000008</v>
      </c>
      <c r="J1033" s="95">
        <v>28507.599999999999</v>
      </c>
      <c r="K1033" s="95">
        <v>20170.700000000004</v>
      </c>
      <c r="L1033" s="95">
        <v>48678.3</v>
      </c>
      <c r="M1033" s="96">
        <v>0.27529999999999999</v>
      </c>
      <c r="N1033" s="95">
        <v>60.09</v>
      </c>
      <c r="O1033" s="95">
        <v>42.52</v>
      </c>
      <c r="P1033" s="95">
        <v>102.61000000000001</v>
      </c>
      <c r="Q1033" s="95">
        <v>36354.449999999997</v>
      </c>
      <c r="R1033" s="95">
        <v>25724.6</v>
      </c>
      <c r="S1033" s="95">
        <v>62079.049999999996</v>
      </c>
    </row>
    <row r="1034" spans="1:19" ht="15" x14ac:dyDescent="0.25">
      <c r="A1034" s="90" t="s">
        <v>2740</v>
      </c>
      <c r="B1034" s="90" t="s">
        <v>86</v>
      </c>
      <c r="C1034" s="98" t="s">
        <v>2741</v>
      </c>
      <c r="D1034" s="92" t="s">
        <v>2728</v>
      </c>
      <c r="E1034" s="90" t="s">
        <v>93</v>
      </c>
      <c r="F1034" s="99">
        <v>929</v>
      </c>
      <c r="G1034" s="94">
        <v>49.57</v>
      </c>
      <c r="H1034" s="94">
        <v>33.340000000000003</v>
      </c>
      <c r="I1034" s="95">
        <v>82.91</v>
      </c>
      <c r="J1034" s="95">
        <v>46050.53</v>
      </c>
      <c r="K1034" s="95">
        <v>30972.86</v>
      </c>
      <c r="L1034" s="95">
        <v>77023.39</v>
      </c>
      <c r="M1034" s="96">
        <v>0.27529999999999999</v>
      </c>
      <c r="N1034" s="95">
        <v>63.22</v>
      </c>
      <c r="O1034" s="95">
        <v>42.52</v>
      </c>
      <c r="P1034" s="95">
        <v>105.74000000000001</v>
      </c>
      <c r="Q1034" s="95">
        <v>58731.38</v>
      </c>
      <c r="R1034" s="95">
        <v>39501.08</v>
      </c>
      <c r="S1034" s="95">
        <v>98232.459999999992</v>
      </c>
    </row>
    <row r="1035" spans="1:19" ht="15" x14ac:dyDescent="0.25">
      <c r="A1035" s="90" t="s">
        <v>2742</v>
      </c>
      <c r="B1035" s="90" t="s">
        <v>86</v>
      </c>
      <c r="C1035" s="98" t="s">
        <v>2741</v>
      </c>
      <c r="D1035" s="92" t="s">
        <v>2743</v>
      </c>
      <c r="E1035" s="90" t="s">
        <v>93</v>
      </c>
      <c r="F1035" s="99">
        <v>82</v>
      </c>
      <c r="G1035" s="94">
        <v>56.48</v>
      </c>
      <c r="H1035" s="94">
        <v>33.340000000000003</v>
      </c>
      <c r="I1035" s="95">
        <v>89.82</v>
      </c>
      <c r="J1035" s="95">
        <v>4631.3599999999997</v>
      </c>
      <c r="K1035" s="95">
        <v>2733.88</v>
      </c>
      <c r="L1035" s="95">
        <v>7365.24</v>
      </c>
      <c r="M1035" s="96">
        <v>0.27529999999999999</v>
      </c>
      <c r="N1035" s="95">
        <v>72.03</v>
      </c>
      <c r="O1035" s="95">
        <v>42.52</v>
      </c>
      <c r="P1035" s="95">
        <v>114.55000000000001</v>
      </c>
      <c r="Q1035" s="95">
        <v>5906.46</v>
      </c>
      <c r="R1035" s="95">
        <v>3486.64</v>
      </c>
      <c r="S1035" s="95">
        <v>9393.1</v>
      </c>
    </row>
    <row r="1036" spans="1:19" ht="15" x14ac:dyDescent="0.25">
      <c r="A1036" s="90" t="s">
        <v>2744</v>
      </c>
      <c r="B1036" s="90" t="s">
        <v>86</v>
      </c>
      <c r="C1036" s="98" t="s">
        <v>2745</v>
      </c>
      <c r="D1036" s="92" t="s">
        <v>2746</v>
      </c>
      <c r="E1036" s="90" t="s">
        <v>93</v>
      </c>
      <c r="F1036" s="99">
        <v>534</v>
      </c>
      <c r="G1036" s="94">
        <v>90.14</v>
      </c>
      <c r="H1036" s="94">
        <v>33.340000000000003</v>
      </c>
      <c r="I1036" s="95">
        <v>123.48</v>
      </c>
      <c r="J1036" s="95">
        <v>48134.76</v>
      </c>
      <c r="K1036" s="95">
        <v>17803.560000000005</v>
      </c>
      <c r="L1036" s="95">
        <v>65938.320000000007</v>
      </c>
      <c r="M1036" s="96">
        <v>0.27529999999999999</v>
      </c>
      <c r="N1036" s="95">
        <v>114.96</v>
      </c>
      <c r="O1036" s="95">
        <v>42.52</v>
      </c>
      <c r="P1036" s="95">
        <v>157.47999999999999</v>
      </c>
      <c r="Q1036" s="95">
        <v>61388.639999999999</v>
      </c>
      <c r="R1036" s="95">
        <v>22705.68</v>
      </c>
      <c r="S1036" s="95">
        <v>84094.32</v>
      </c>
    </row>
    <row r="1037" spans="1:19" ht="15" x14ac:dyDescent="0.25">
      <c r="A1037" s="90" t="s">
        <v>2747</v>
      </c>
      <c r="B1037" s="90" t="s">
        <v>86</v>
      </c>
      <c r="C1037" s="98" t="s">
        <v>2748</v>
      </c>
      <c r="D1037" s="92" t="s">
        <v>2749</v>
      </c>
      <c r="E1037" s="90" t="s">
        <v>93</v>
      </c>
      <c r="F1037" s="99">
        <v>150</v>
      </c>
      <c r="G1037" s="94">
        <v>130.80000000000001</v>
      </c>
      <c r="H1037" s="94">
        <v>33.340000000000003</v>
      </c>
      <c r="I1037" s="95">
        <v>164.14000000000001</v>
      </c>
      <c r="J1037" s="95">
        <v>19620</v>
      </c>
      <c r="K1037" s="95">
        <v>5001</v>
      </c>
      <c r="L1037" s="95">
        <v>24621</v>
      </c>
      <c r="M1037" s="96">
        <v>0.27529999999999999</v>
      </c>
      <c r="N1037" s="95">
        <v>166.81</v>
      </c>
      <c r="O1037" s="95">
        <v>42.52</v>
      </c>
      <c r="P1037" s="95">
        <v>209.33</v>
      </c>
      <c r="Q1037" s="95">
        <v>25021.5</v>
      </c>
      <c r="R1037" s="95">
        <v>6378</v>
      </c>
      <c r="S1037" s="95">
        <v>31399.5</v>
      </c>
    </row>
    <row r="1038" spans="1:19" ht="15" x14ac:dyDescent="0.25">
      <c r="A1038" s="90" t="s">
        <v>2750</v>
      </c>
      <c r="B1038" s="90" t="s">
        <v>86</v>
      </c>
      <c r="C1038" s="98" t="s">
        <v>2748</v>
      </c>
      <c r="D1038" s="92" t="s">
        <v>2730</v>
      </c>
      <c r="E1038" s="90" t="s">
        <v>93</v>
      </c>
      <c r="F1038" s="99">
        <v>63</v>
      </c>
      <c r="G1038" s="94">
        <v>142.47</v>
      </c>
      <c r="H1038" s="94">
        <v>33.340000000000003</v>
      </c>
      <c r="I1038" s="95">
        <v>175.81</v>
      </c>
      <c r="J1038" s="95">
        <v>8975.61</v>
      </c>
      <c r="K1038" s="95">
        <v>2100.42</v>
      </c>
      <c r="L1038" s="95">
        <v>11076.03</v>
      </c>
      <c r="M1038" s="96">
        <v>0.27529999999999999</v>
      </c>
      <c r="N1038" s="95">
        <v>181.69</v>
      </c>
      <c r="O1038" s="95">
        <v>42.52</v>
      </c>
      <c r="P1038" s="95">
        <v>224.21</v>
      </c>
      <c r="Q1038" s="95">
        <v>11446.47</v>
      </c>
      <c r="R1038" s="95">
        <v>2678.76</v>
      </c>
      <c r="S1038" s="95">
        <v>14125.23</v>
      </c>
    </row>
    <row r="1039" spans="1:19" ht="15" x14ac:dyDescent="0.25">
      <c r="A1039" s="90" t="s">
        <v>2751</v>
      </c>
      <c r="B1039" s="90" t="s">
        <v>75</v>
      </c>
      <c r="C1039" s="98" t="s">
        <v>2581</v>
      </c>
      <c r="D1039" s="92" t="s">
        <v>2752</v>
      </c>
      <c r="E1039" s="90" t="s">
        <v>93</v>
      </c>
      <c r="F1039" s="99">
        <v>110</v>
      </c>
      <c r="G1039" s="94">
        <v>148.31</v>
      </c>
      <c r="H1039" s="94">
        <v>11.66</v>
      </c>
      <c r="I1039" s="95">
        <v>159.97</v>
      </c>
      <c r="J1039" s="95">
        <v>16314.1</v>
      </c>
      <c r="K1039" s="95">
        <v>1282.6000000000004</v>
      </c>
      <c r="L1039" s="95">
        <v>17596.7</v>
      </c>
      <c r="M1039" s="96">
        <v>0.27529999999999999</v>
      </c>
      <c r="N1039" s="95">
        <v>189.14</v>
      </c>
      <c r="O1039" s="95">
        <v>14.87</v>
      </c>
      <c r="P1039" s="95">
        <v>204.01</v>
      </c>
      <c r="Q1039" s="95">
        <v>20805.400000000001</v>
      </c>
      <c r="R1039" s="95">
        <v>1635.7</v>
      </c>
      <c r="S1039" s="95">
        <v>22441.100000000002</v>
      </c>
    </row>
    <row r="1040" spans="1:19" ht="15" x14ac:dyDescent="0.25">
      <c r="A1040" s="90" t="s">
        <v>2733</v>
      </c>
      <c r="B1040" s="90" t="s">
        <v>45</v>
      </c>
      <c r="C1040" s="98" t="s">
        <v>2581</v>
      </c>
      <c r="D1040" s="92" t="s">
        <v>2708</v>
      </c>
      <c r="E1040" s="90" t="s">
        <v>93</v>
      </c>
      <c r="F1040" s="99">
        <v>48</v>
      </c>
      <c r="G1040" s="94">
        <v>221.01</v>
      </c>
      <c r="H1040" s="94">
        <v>11.66</v>
      </c>
      <c r="I1040" s="95">
        <v>232.67</v>
      </c>
      <c r="J1040" s="95">
        <v>10608.48</v>
      </c>
      <c r="K1040" s="95">
        <v>559.68000000000029</v>
      </c>
      <c r="L1040" s="95">
        <v>11168.16</v>
      </c>
      <c r="M1040" s="96">
        <v>0.27529999999999999</v>
      </c>
      <c r="N1040" s="95">
        <v>281.85000000000002</v>
      </c>
      <c r="O1040" s="95">
        <v>14.87</v>
      </c>
      <c r="P1040" s="95">
        <v>296.72000000000003</v>
      </c>
      <c r="Q1040" s="95">
        <v>13528.8</v>
      </c>
      <c r="R1040" s="95">
        <v>713.76</v>
      </c>
      <c r="S1040" s="95">
        <v>14242.56</v>
      </c>
    </row>
    <row r="1041" spans="1:19" ht="15" x14ac:dyDescent="0.25">
      <c r="A1041" s="90" t="s">
        <v>2733</v>
      </c>
      <c r="B1041" s="90" t="s">
        <v>45</v>
      </c>
      <c r="C1041" s="98" t="s">
        <v>2646</v>
      </c>
      <c r="D1041" s="92" t="s">
        <v>2753</v>
      </c>
      <c r="E1041" s="90" t="s">
        <v>93</v>
      </c>
      <c r="F1041" s="99">
        <v>164</v>
      </c>
      <c r="G1041" s="94">
        <v>319.22000000000003</v>
      </c>
      <c r="H1041" s="94">
        <v>11.66</v>
      </c>
      <c r="I1041" s="95">
        <v>330.88000000000005</v>
      </c>
      <c r="J1041" s="95">
        <v>52352.08</v>
      </c>
      <c r="K1041" s="95">
        <v>1912.239999999998</v>
      </c>
      <c r="L1041" s="95">
        <v>54264.32</v>
      </c>
      <c r="M1041" s="96">
        <v>0.27529999999999999</v>
      </c>
      <c r="N1041" s="95">
        <v>407.1</v>
      </c>
      <c r="O1041" s="95">
        <v>14.87</v>
      </c>
      <c r="P1041" s="95">
        <v>421.97</v>
      </c>
      <c r="Q1041" s="95">
        <v>66764.399999999994</v>
      </c>
      <c r="R1041" s="95">
        <v>2438.6799999999998</v>
      </c>
      <c r="S1041" s="95">
        <v>69203.079999999987</v>
      </c>
    </row>
    <row r="1042" spans="1:19" ht="15" x14ac:dyDescent="0.25">
      <c r="A1042" s="90" t="s">
        <v>2733</v>
      </c>
      <c r="B1042" s="90" t="s">
        <v>45</v>
      </c>
      <c r="C1042" s="98" t="s">
        <v>2576</v>
      </c>
      <c r="D1042" s="92" t="s">
        <v>2754</v>
      </c>
      <c r="E1042" s="90" t="s">
        <v>93</v>
      </c>
      <c r="F1042" s="99">
        <v>94</v>
      </c>
      <c r="G1042" s="94">
        <v>405.44</v>
      </c>
      <c r="H1042" s="94">
        <v>11.66</v>
      </c>
      <c r="I1042" s="95">
        <v>417.1</v>
      </c>
      <c r="J1042" s="95">
        <v>38111.360000000001</v>
      </c>
      <c r="K1042" s="95">
        <v>1096.0400000000009</v>
      </c>
      <c r="L1042" s="95">
        <v>39207.4</v>
      </c>
      <c r="M1042" s="96">
        <v>0.27529999999999999</v>
      </c>
      <c r="N1042" s="95">
        <v>517.05999999999995</v>
      </c>
      <c r="O1042" s="95">
        <v>14.87</v>
      </c>
      <c r="P1042" s="95">
        <v>531.92999999999995</v>
      </c>
      <c r="Q1042" s="95">
        <v>48603.64</v>
      </c>
      <c r="R1042" s="95">
        <v>1397.78</v>
      </c>
      <c r="S1042" s="95">
        <v>50001.42</v>
      </c>
    </row>
    <row r="1043" spans="1:19" ht="15" x14ac:dyDescent="0.25">
      <c r="A1043" s="90" t="s">
        <v>2733</v>
      </c>
      <c r="B1043" s="90" t="s">
        <v>75</v>
      </c>
      <c r="C1043" s="98" t="s">
        <v>2576</v>
      </c>
      <c r="D1043" s="92" t="s">
        <v>2755</v>
      </c>
      <c r="E1043" s="90" t="s">
        <v>93</v>
      </c>
      <c r="F1043" s="99">
        <v>34</v>
      </c>
      <c r="G1043" s="94">
        <v>506.08</v>
      </c>
      <c r="H1043" s="94">
        <v>11.66</v>
      </c>
      <c r="I1043" s="95">
        <v>517.74</v>
      </c>
      <c r="J1043" s="95">
        <v>17206.72</v>
      </c>
      <c r="K1043" s="95">
        <v>396.43999999999869</v>
      </c>
      <c r="L1043" s="95">
        <v>17603.16</v>
      </c>
      <c r="M1043" s="96">
        <v>0.27529999999999999</v>
      </c>
      <c r="N1043" s="95">
        <v>645.4</v>
      </c>
      <c r="O1043" s="95">
        <v>14.87</v>
      </c>
      <c r="P1043" s="95">
        <v>660.27</v>
      </c>
      <c r="Q1043" s="95">
        <v>21943.599999999999</v>
      </c>
      <c r="R1043" s="95">
        <v>505.58</v>
      </c>
      <c r="S1043" s="95">
        <v>22449.18</v>
      </c>
    </row>
    <row r="1044" spans="1:19" ht="15" x14ac:dyDescent="0.25">
      <c r="A1044" s="90" t="s">
        <v>2733</v>
      </c>
      <c r="B1044" s="90" t="s">
        <v>75</v>
      </c>
      <c r="C1044" s="98" t="s">
        <v>2576</v>
      </c>
      <c r="D1044" s="92" t="s">
        <v>2710</v>
      </c>
      <c r="E1044" s="90" t="s">
        <v>93</v>
      </c>
      <c r="F1044" s="99">
        <v>60</v>
      </c>
      <c r="G1044" s="94">
        <v>707.4</v>
      </c>
      <c r="H1044" s="94">
        <v>11.66</v>
      </c>
      <c r="I1044" s="95">
        <v>719.06</v>
      </c>
      <c r="J1044" s="95">
        <v>42444</v>
      </c>
      <c r="K1044" s="95">
        <v>699.59999999999854</v>
      </c>
      <c r="L1044" s="95">
        <v>43143.6</v>
      </c>
      <c r="M1044" s="96">
        <v>0.27529999999999999</v>
      </c>
      <c r="N1044" s="95">
        <v>902.15</v>
      </c>
      <c r="O1044" s="95">
        <v>14.87</v>
      </c>
      <c r="P1044" s="95">
        <v>917.02</v>
      </c>
      <c r="Q1044" s="95">
        <v>54129</v>
      </c>
      <c r="R1044" s="95">
        <v>892.2</v>
      </c>
      <c r="S1044" s="95">
        <v>55021.2</v>
      </c>
    </row>
    <row r="1045" spans="1:19" ht="15" x14ac:dyDescent="0.25">
      <c r="A1045" s="90" t="s">
        <v>2733</v>
      </c>
      <c r="B1045" s="90" t="s">
        <v>75</v>
      </c>
      <c r="C1045" s="98" t="s">
        <v>2576</v>
      </c>
      <c r="D1045" s="92" t="s">
        <v>2712</v>
      </c>
      <c r="E1045" s="90" t="s">
        <v>93</v>
      </c>
      <c r="F1045" s="99">
        <v>51</v>
      </c>
      <c r="G1045" s="94">
        <v>757.72</v>
      </c>
      <c r="H1045" s="94">
        <v>11.66</v>
      </c>
      <c r="I1045" s="95">
        <v>769.38</v>
      </c>
      <c r="J1045" s="95">
        <v>38643.72</v>
      </c>
      <c r="K1045" s="95">
        <v>594.65999999999622</v>
      </c>
      <c r="L1045" s="95">
        <v>39238.379999999997</v>
      </c>
      <c r="M1045" s="96">
        <v>0.27529999999999999</v>
      </c>
      <c r="N1045" s="95">
        <v>966.32</v>
      </c>
      <c r="O1045" s="95">
        <v>14.87</v>
      </c>
      <c r="P1045" s="95">
        <v>981.19</v>
      </c>
      <c r="Q1045" s="95">
        <v>49282.32</v>
      </c>
      <c r="R1045" s="95">
        <v>758.37</v>
      </c>
      <c r="S1045" s="95">
        <v>50040.69</v>
      </c>
    </row>
    <row r="1046" spans="1:19" ht="15" x14ac:dyDescent="0.25">
      <c r="A1046" s="90" t="s">
        <v>2733</v>
      </c>
      <c r="B1046" s="90" t="s">
        <v>706</v>
      </c>
      <c r="C1046" s="98" t="s">
        <v>2502</v>
      </c>
      <c r="D1046" s="92" t="s">
        <v>2714</v>
      </c>
      <c r="E1046" s="90" t="s">
        <v>93</v>
      </c>
      <c r="F1046" s="99">
        <v>15161</v>
      </c>
      <c r="G1046" s="94">
        <v>26.75</v>
      </c>
      <c r="H1046" s="94">
        <v>35.549999999999997</v>
      </c>
      <c r="I1046" s="95">
        <v>62.3</v>
      </c>
      <c r="J1046" s="95">
        <v>405556.75</v>
      </c>
      <c r="K1046" s="95">
        <v>538973.55000000005</v>
      </c>
      <c r="L1046" s="95">
        <v>944530.3</v>
      </c>
      <c r="M1046" s="96">
        <v>0.27529999999999999</v>
      </c>
      <c r="N1046" s="95">
        <v>34.11</v>
      </c>
      <c r="O1046" s="95">
        <v>45.34</v>
      </c>
      <c r="P1046" s="95">
        <v>79.45</v>
      </c>
      <c r="Q1046" s="95">
        <v>517141.71</v>
      </c>
      <c r="R1046" s="95">
        <v>687399.74</v>
      </c>
      <c r="S1046" s="95">
        <v>1204541.45</v>
      </c>
    </row>
    <row r="1047" spans="1:19" ht="15" x14ac:dyDescent="0.25">
      <c r="A1047" s="90" t="s">
        <v>2733</v>
      </c>
      <c r="B1047" s="90" t="s">
        <v>45</v>
      </c>
      <c r="C1047" s="98" t="s">
        <v>2716</v>
      </c>
      <c r="D1047" s="92" t="s">
        <v>2717</v>
      </c>
      <c r="E1047" s="90" t="s">
        <v>93</v>
      </c>
      <c r="F1047" s="99">
        <v>833</v>
      </c>
      <c r="G1047" s="94">
        <v>56.18</v>
      </c>
      <c r="H1047" s="94">
        <v>9.7200000000000006</v>
      </c>
      <c r="I1047" s="95">
        <v>65.900000000000006</v>
      </c>
      <c r="J1047" s="95">
        <v>46797.94</v>
      </c>
      <c r="K1047" s="95">
        <v>8096.7599999999948</v>
      </c>
      <c r="L1047" s="95">
        <v>54894.7</v>
      </c>
      <c r="M1047" s="96">
        <v>0.27529999999999999</v>
      </c>
      <c r="N1047" s="95">
        <v>71.650000000000006</v>
      </c>
      <c r="O1047" s="95">
        <v>12.4</v>
      </c>
      <c r="P1047" s="95">
        <v>84.050000000000011</v>
      </c>
      <c r="Q1047" s="95">
        <v>59684.45</v>
      </c>
      <c r="R1047" s="95">
        <v>10329.200000000001</v>
      </c>
      <c r="S1047" s="95">
        <v>70013.649999999994</v>
      </c>
    </row>
    <row r="1048" spans="1:19" ht="15" x14ac:dyDescent="0.25">
      <c r="A1048" s="90" t="s">
        <v>2756</v>
      </c>
      <c r="B1048" s="90"/>
      <c r="C1048" s="91" t="s">
        <v>2757</v>
      </c>
      <c r="D1048" s="92"/>
      <c r="E1048" s="90"/>
      <c r="F1048" s="99"/>
      <c r="G1048" s="94"/>
      <c r="H1048" s="94"/>
      <c r="I1048" s="95"/>
      <c r="J1048" s="95"/>
      <c r="K1048" s="95"/>
      <c r="L1048" s="95"/>
      <c r="M1048" s="96">
        <v>0</v>
      </c>
      <c r="N1048" s="95"/>
      <c r="O1048" s="95"/>
      <c r="P1048" s="95"/>
      <c r="Q1048" s="95">
        <v>0</v>
      </c>
      <c r="R1048" s="95">
        <v>0</v>
      </c>
      <c r="S1048" s="95">
        <v>0</v>
      </c>
    </row>
    <row r="1049" spans="1:19" ht="15" x14ac:dyDescent="0.25">
      <c r="A1049" s="90" t="s">
        <v>2758</v>
      </c>
      <c r="B1049" s="90" t="s">
        <v>820</v>
      </c>
      <c r="C1049" s="98" t="s">
        <v>2759</v>
      </c>
      <c r="D1049" s="92" t="s">
        <v>2760</v>
      </c>
      <c r="E1049" s="90" t="s">
        <v>93</v>
      </c>
      <c r="F1049" s="99">
        <v>15358</v>
      </c>
      <c r="G1049" s="94">
        <v>15.05</v>
      </c>
      <c r="H1049" s="94">
        <v>8.2100000000000009</v>
      </c>
      <c r="I1049" s="95">
        <v>23.26</v>
      </c>
      <c r="J1049" s="95">
        <v>231137.9</v>
      </c>
      <c r="K1049" s="95">
        <v>126089.18000000002</v>
      </c>
      <c r="L1049" s="95">
        <v>357227.08</v>
      </c>
      <c r="M1049" s="96">
        <v>0.27529999999999999</v>
      </c>
      <c r="N1049" s="95">
        <v>19.190000000000001</v>
      </c>
      <c r="O1049" s="95">
        <v>10.47</v>
      </c>
      <c r="P1049" s="95">
        <v>29.660000000000004</v>
      </c>
      <c r="Q1049" s="95">
        <v>294720.02</v>
      </c>
      <c r="R1049" s="95">
        <v>160798.26</v>
      </c>
      <c r="S1049" s="95">
        <v>455518.28</v>
      </c>
    </row>
    <row r="1050" spans="1:19" ht="15" x14ac:dyDescent="0.25">
      <c r="A1050" s="90" t="s">
        <v>2761</v>
      </c>
      <c r="B1050" s="90" t="s">
        <v>184</v>
      </c>
      <c r="C1050" s="98" t="s">
        <v>2762</v>
      </c>
      <c r="D1050" s="92" t="s">
        <v>2763</v>
      </c>
      <c r="E1050" s="90" t="s">
        <v>93</v>
      </c>
      <c r="F1050" s="99">
        <v>1148</v>
      </c>
      <c r="G1050" s="94">
        <v>105.99</v>
      </c>
      <c r="H1050" s="94">
        <v>11.38</v>
      </c>
      <c r="I1050" s="95">
        <v>117.36999999999999</v>
      </c>
      <c r="J1050" s="95">
        <v>121676.52</v>
      </c>
      <c r="K1050" s="95">
        <v>13064.240000000005</v>
      </c>
      <c r="L1050" s="95">
        <v>134740.76</v>
      </c>
      <c r="M1050" s="96">
        <v>0.27529999999999999</v>
      </c>
      <c r="N1050" s="95">
        <v>135.16999999999999</v>
      </c>
      <c r="O1050" s="95">
        <v>14.51</v>
      </c>
      <c r="P1050" s="95">
        <v>149.67999999999998</v>
      </c>
      <c r="Q1050" s="95">
        <v>155175.16</v>
      </c>
      <c r="R1050" s="95">
        <v>16657.48</v>
      </c>
      <c r="S1050" s="95">
        <v>171832.64</v>
      </c>
    </row>
    <row r="1051" spans="1:19" ht="15" x14ac:dyDescent="0.25">
      <c r="A1051" s="90" t="s">
        <v>2764</v>
      </c>
      <c r="B1051" s="90" t="s">
        <v>622</v>
      </c>
      <c r="C1051" s="98" t="s">
        <v>2765</v>
      </c>
      <c r="D1051" s="92" t="s">
        <v>2766</v>
      </c>
      <c r="E1051" s="90" t="s">
        <v>93</v>
      </c>
      <c r="F1051" s="99">
        <v>1110</v>
      </c>
      <c r="G1051" s="94">
        <v>29.03</v>
      </c>
      <c r="H1051" s="94">
        <v>7.97</v>
      </c>
      <c r="I1051" s="95">
        <v>37</v>
      </c>
      <c r="J1051" s="95">
        <v>32223.3</v>
      </c>
      <c r="K1051" s="95">
        <v>8846.7000000000007</v>
      </c>
      <c r="L1051" s="95">
        <v>41070</v>
      </c>
      <c r="M1051" s="96">
        <v>0.27529999999999999</v>
      </c>
      <c r="N1051" s="95">
        <v>37.020000000000003</v>
      </c>
      <c r="O1051" s="95">
        <v>10.16</v>
      </c>
      <c r="P1051" s="95">
        <v>47.180000000000007</v>
      </c>
      <c r="Q1051" s="95">
        <v>41092.199999999997</v>
      </c>
      <c r="R1051" s="95">
        <v>11277.6</v>
      </c>
      <c r="S1051" s="95">
        <v>52369.799999999996</v>
      </c>
    </row>
    <row r="1052" spans="1:19" ht="15" x14ac:dyDescent="0.25">
      <c r="A1052" s="90" t="s">
        <v>2767</v>
      </c>
      <c r="B1052" s="90" t="s">
        <v>1802</v>
      </c>
      <c r="C1052" s="98" t="s">
        <v>2768</v>
      </c>
      <c r="D1052" s="92" t="s">
        <v>2769</v>
      </c>
      <c r="E1052" s="90" t="s">
        <v>93</v>
      </c>
      <c r="F1052" s="99">
        <v>4</v>
      </c>
      <c r="G1052" s="94">
        <v>45.11</v>
      </c>
      <c r="H1052" s="94">
        <v>28.46</v>
      </c>
      <c r="I1052" s="95">
        <v>73.569999999999993</v>
      </c>
      <c r="J1052" s="95">
        <v>180.44</v>
      </c>
      <c r="K1052" s="95">
        <v>113.83999999999997</v>
      </c>
      <c r="L1052" s="95">
        <v>294.27999999999997</v>
      </c>
      <c r="M1052" s="96">
        <v>0.27529999999999999</v>
      </c>
      <c r="N1052" s="95">
        <v>57.53</v>
      </c>
      <c r="O1052" s="95">
        <v>36.299999999999997</v>
      </c>
      <c r="P1052" s="95">
        <v>93.83</v>
      </c>
      <c r="Q1052" s="95">
        <v>230.12</v>
      </c>
      <c r="R1052" s="95">
        <v>145.19999999999999</v>
      </c>
      <c r="S1052" s="95">
        <v>375.32</v>
      </c>
    </row>
    <row r="1053" spans="1:19" ht="15" x14ac:dyDescent="0.25">
      <c r="A1053" s="90" t="s">
        <v>2770</v>
      </c>
      <c r="B1053" s="90" t="s">
        <v>1802</v>
      </c>
      <c r="C1053" s="98" t="s">
        <v>2768</v>
      </c>
      <c r="D1053" s="92" t="s">
        <v>2769</v>
      </c>
      <c r="E1053" s="90" t="s">
        <v>93</v>
      </c>
      <c r="F1053" s="99">
        <v>4</v>
      </c>
      <c r="G1053" s="94">
        <v>45.11</v>
      </c>
      <c r="H1053" s="94">
        <v>28.46</v>
      </c>
      <c r="I1053" s="95">
        <v>73.569999999999993</v>
      </c>
      <c r="J1053" s="95">
        <v>180.44</v>
      </c>
      <c r="K1053" s="95">
        <v>113.83999999999997</v>
      </c>
      <c r="L1053" s="95">
        <v>294.27999999999997</v>
      </c>
      <c r="M1053" s="96">
        <v>0.27529999999999999</v>
      </c>
      <c r="N1053" s="95">
        <v>57.53</v>
      </c>
      <c r="O1053" s="95">
        <v>36.299999999999997</v>
      </c>
      <c r="P1053" s="95">
        <v>93.83</v>
      </c>
      <c r="Q1053" s="95">
        <v>230.12</v>
      </c>
      <c r="R1053" s="95">
        <v>145.19999999999999</v>
      </c>
      <c r="S1053" s="95">
        <v>375.32</v>
      </c>
    </row>
    <row r="1054" spans="1:19" ht="15" x14ac:dyDescent="0.25">
      <c r="A1054" s="90" t="s">
        <v>2771</v>
      </c>
      <c r="B1054" s="90" t="s">
        <v>1802</v>
      </c>
      <c r="C1054" s="98" t="s">
        <v>2772</v>
      </c>
      <c r="D1054" s="92" t="s">
        <v>2773</v>
      </c>
      <c r="E1054" s="90" t="s">
        <v>93</v>
      </c>
      <c r="F1054" s="99">
        <v>875</v>
      </c>
      <c r="G1054" s="94">
        <v>110.22</v>
      </c>
      <c r="H1054" s="94">
        <v>37.96</v>
      </c>
      <c r="I1054" s="95">
        <v>148.18</v>
      </c>
      <c r="J1054" s="95">
        <v>96442.5</v>
      </c>
      <c r="K1054" s="95">
        <v>33215</v>
      </c>
      <c r="L1054" s="95">
        <v>129657.5</v>
      </c>
      <c r="M1054" s="96">
        <v>0.27529999999999999</v>
      </c>
      <c r="N1054" s="95">
        <v>140.56</v>
      </c>
      <c r="O1054" s="95">
        <v>48.41</v>
      </c>
      <c r="P1054" s="95">
        <v>188.97</v>
      </c>
      <c r="Q1054" s="95">
        <v>122990</v>
      </c>
      <c r="R1054" s="95">
        <v>42358.75</v>
      </c>
      <c r="S1054" s="95">
        <v>165348.75</v>
      </c>
    </row>
    <row r="1055" spans="1:19" ht="15" x14ac:dyDescent="0.25">
      <c r="A1055" s="90" t="s">
        <v>2774</v>
      </c>
      <c r="B1055" s="90" t="s">
        <v>31</v>
      </c>
      <c r="C1055" s="98" t="s">
        <v>2775</v>
      </c>
      <c r="D1055" s="92" t="s">
        <v>2776</v>
      </c>
      <c r="E1055" s="90" t="s">
        <v>16</v>
      </c>
      <c r="F1055" s="99">
        <v>328</v>
      </c>
      <c r="G1055" s="94">
        <v>46.54</v>
      </c>
      <c r="H1055" s="94">
        <v>13.68</v>
      </c>
      <c r="I1055" s="95">
        <v>60.22</v>
      </c>
      <c r="J1055" s="95">
        <v>15265.12</v>
      </c>
      <c r="K1055" s="95">
        <v>4487.0399999999991</v>
      </c>
      <c r="L1055" s="95">
        <v>19752.16</v>
      </c>
      <c r="M1055" s="96">
        <v>0.27529999999999999</v>
      </c>
      <c r="N1055" s="95">
        <v>59.35</v>
      </c>
      <c r="O1055" s="95">
        <v>17.45</v>
      </c>
      <c r="P1055" s="95">
        <v>76.8</v>
      </c>
      <c r="Q1055" s="95">
        <v>19466.8</v>
      </c>
      <c r="R1055" s="95">
        <v>5723.6</v>
      </c>
      <c r="S1055" s="95">
        <v>25190.400000000001</v>
      </c>
    </row>
    <row r="1056" spans="1:19" ht="15" x14ac:dyDescent="0.25">
      <c r="A1056" s="90" t="s">
        <v>2777</v>
      </c>
      <c r="B1056" s="90" t="s">
        <v>622</v>
      </c>
      <c r="C1056" s="98" t="s">
        <v>2778</v>
      </c>
      <c r="D1056" s="92" t="s">
        <v>2779</v>
      </c>
      <c r="E1056" s="90" t="s">
        <v>16</v>
      </c>
      <c r="F1056" s="99">
        <v>202</v>
      </c>
      <c r="G1056" s="94">
        <v>45.72</v>
      </c>
      <c r="H1056" s="94">
        <v>15.51</v>
      </c>
      <c r="I1056" s="95">
        <v>61.23</v>
      </c>
      <c r="J1056" s="95">
        <v>9235.44</v>
      </c>
      <c r="K1056" s="95">
        <v>3133.0199999999986</v>
      </c>
      <c r="L1056" s="95">
        <v>12368.46</v>
      </c>
      <c r="M1056" s="96">
        <v>0.27529999999999999</v>
      </c>
      <c r="N1056" s="95">
        <v>58.31</v>
      </c>
      <c r="O1056" s="95">
        <v>19.78</v>
      </c>
      <c r="P1056" s="95">
        <v>78.09</v>
      </c>
      <c r="Q1056" s="95">
        <v>11778.62</v>
      </c>
      <c r="R1056" s="95">
        <v>3995.56</v>
      </c>
      <c r="S1056" s="95">
        <v>15774.18</v>
      </c>
    </row>
    <row r="1057" spans="1:19" ht="15" x14ac:dyDescent="0.25">
      <c r="A1057" s="90" t="s">
        <v>2780</v>
      </c>
      <c r="B1057" s="90" t="s">
        <v>622</v>
      </c>
      <c r="C1057" s="98" t="s">
        <v>2781</v>
      </c>
      <c r="D1057" s="92" t="s">
        <v>2782</v>
      </c>
      <c r="E1057" s="90" t="s">
        <v>16</v>
      </c>
      <c r="F1057" s="99">
        <v>1</v>
      </c>
      <c r="G1057" s="94">
        <v>149.96</v>
      </c>
      <c r="H1057" s="94">
        <v>27.14</v>
      </c>
      <c r="I1057" s="95">
        <v>177.10000000000002</v>
      </c>
      <c r="J1057" s="95">
        <v>149.96</v>
      </c>
      <c r="K1057" s="95">
        <v>27.139999999999986</v>
      </c>
      <c r="L1057" s="95">
        <v>177.1</v>
      </c>
      <c r="M1057" s="96">
        <v>0.27529999999999999</v>
      </c>
      <c r="N1057" s="95">
        <v>191.24</v>
      </c>
      <c r="O1057" s="95">
        <v>34.61</v>
      </c>
      <c r="P1057" s="95">
        <v>225.85000000000002</v>
      </c>
      <c r="Q1057" s="95">
        <v>191.24</v>
      </c>
      <c r="R1057" s="95">
        <v>34.61</v>
      </c>
      <c r="S1057" s="95">
        <v>225.85000000000002</v>
      </c>
    </row>
    <row r="1058" spans="1:19" ht="15" x14ac:dyDescent="0.25">
      <c r="A1058" s="90" t="s">
        <v>2758</v>
      </c>
      <c r="B1058" s="90" t="s">
        <v>622</v>
      </c>
      <c r="C1058" s="98" t="s">
        <v>2783</v>
      </c>
      <c r="D1058" s="92" t="s">
        <v>2784</v>
      </c>
      <c r="E1058" s="90" t="s">
        <v>16</v>
      </c>
      <c r="F1058" s="99">
        <v>16</v>
      </c>
      <c r="G1058" s="94">
        <v>686.06</v>
      </c>
      <c r="H1058" s="94">
        <v>38.770000000000003</v>
      </c>
      <c r="I1058" s="95">
        <v>724.82999999999993</v>
      </c>
      <c r="J1058" s="95">
        <v>10976.96</v>
      </c>
      <c r="K1058" s="95">
        <v>620.32000000000153</v>
      </c>
      <c r="L1058" s="95">
        <v>11597.28</v>
      </c>
      <c r="M1058" s="96">
        <v>0.27529999999999999</v>
      </c>
      <c r="N1058" s="95">
        <v>874.93</v>
      </c>
      <c r="O1058" s="95">
        <v>49.44</v>
      </c>
      <c r="P1058" s="95">
        <v>924.36999999999989</v>
      </c>
      <c r="Q1058" s="95">
        <v>13998.88</v>
      </c>
      <c r="R1058" s="95">
        <v>791.04</v>
      </c>
      <c r="S1058" s="95">
        <v>14789.919999999998</v>
      </c>
    </row>
    <row r="1059" spans="1:19" ht="15" x14ac:dyDescent="0.25">
      <c r="A1059" s="90" t="s">
        <v>2758</v>
      </c>
      <c r="B1059" s="90" t="s">
        <v>31</v>
      </c>
      <c r="C1059" s="98" t="s">
        <v>2493</v>
      </c>
      <c r="D1059" s="92" t="s">
        <v>2785</v>
      </c>
      <c r="E1059" s="90" t="s">
        <v>16</v>
      </c>
      <c r="F1059" s="99">
        <v>7831</v>
      </c>
      <c r="G1059" s="94">
        <v>6.98</v>
      </c>
      <c r="H1059" s="94">
        <v>11.64</v>
      </c>
      <c r="I1059" s="95">
        <v>18.62</v>
      </c>
      <c r="J1059" s="95">
        <v>54660.38</v>
      </c>
      <c r="K1059" s="95">
        <v>91152.84</v>
      </c>
      <c r="L1059" s="95">
        <v>145813.22</v>
      </c>
      <c r="M1059" s="96">
        <v>0.27529999999999999</v>
      </c>
      <c r="N1059" s="95">
        <v>8.9</v>
      </c>
      <c r="O1059" s="95">
        <v>14.84</v>
      </c>
      <c r="P1059" s="95">
        <v>23.740000000000002</v>
      </c>
      <c r="Q1059" s="95">
        <v>69695.899999999994</v>
      </c>
      <c r="R1059" s="95">
        <v>116212.04</v>
      </c>
      <c r="S1059" s="95">
        <v>185907.94</v>
      </c>
    </row>
    <row r="1060" spans="1:19" ht="15" x14ac:dyDescent="0.25">
      <c r="A1060" s="90" t="s">
        <v>2786</v>
      </c>
      <c r="B1060" s="90"/>
      <c r="C1060" s="91" t="s">
        <v>2787</v>
      </c>
      <c r="D1060" s="92"/>
      <c r="E1060" s="90"/>
      <c r="F1060" s="99"/>
      <c r="G1060" s="94"/>
      <c r="H1060" s="94"/>
      <c r="I1060" s="95"/>
      <c r="J1060" s="95"/>
      <c r="K1060" s="95"/>
      <c r="L1060" s="95"/>
      <c r="M1060" s="96">
        <v>0</v>
      </c>
      <c r="N1060" s="95"/>
      <c r="O1060" s="95"/>
      <c r="P1060" s="95"/>
      <c r="Q1060" s="95">
        <v>0</v>
      </c>
      <c r="R1060" s="95">
        <v>0</v>
      </c>
      <c r="S1060" s="95">
        <v>0</v>
      </c>
    </row>
    <row r="1061" spans="1:19" ht="15" x14ac:dyDescent="0.25">
      <c r="A1061" s="90" t="s">
        <v>2788</v>
      </c>
      <c r="B1061" s="90" t="s">
        <v>31</v>
      </c>
      <c r="C1061" s="98" t="s">
        <v>2789</v>
      </c>
      <c r="D1061" s="92" t="s">
        <v>2790</v>
      </c>
      <c r="E1061" s="90" t="s">
        <v>16</v>
      </c>
      <c r="F1061" s="99">
        <v>120</v>
      </c>
      <c r="G1061" s="94">
        <v>35.56</v>
      </c>
      <c r="H1061" s="94">
        <v>27.65</v>
      </c>
      <c r="I1061" s="95">
        <v>63.21</v>
      </c>
      <c r="J1061" s="95">
        <v>4267.2</v>
      </c>
      <c r="K1061" s="95">
        <v>3318</v>
      </c>
      <c r="L1061" s="95">
        <v>7585.2</v>
      </c>
      <c r="M1061" s="96">
        <v>0.27529999999999999</v>
      </c>
      <c r="N1061" s="95">
        <v>45.35</v>
      </c>
      <c r="O1061" s="95">
        <v>35.26</v>
      </c>
      <c r="P1061" s="95">
        <v>80.61</v>
      </c>
      <c r="Q1061" s="95">
        <v>5442</v>
      </c>
      <c r="R1061" s="95">
        <v>4231.2</v>
      </c>
      <c r="S1061" s="95">
        <v>9673.2000000000007</v>
      </c>
    </row>
    <row r="1062" spans="1:19" ht="15" x14ac:dyDescent="0.25">
      <c r="A1062" s="90" t="s">
        <v>2791</v>
      </c>
      <c r="B1062" s="90" t="s">
        <v>31</v>
      </c>
      <c r="C1062" s="98" t="s">
        <v>2792</v>
      </c>
      <c r="D1062" s="92" t="s">
        <v>2793</v>
      </c>
      <c r="E1062" s="90" t="s">
        <v>16</v>
      </c>
      <c r="F1062" s="99">
        <v>2026</v>
      </c>
      <c r="G1062" s="94">
        <v>31.28</v>
      </c>
      <c r="H1062" s="94">
        <v>27.65</v>
      </c>
      <c r="I1062" s="95">
        <v>58.93</v>
      </c>
      <c r="J1062" s="95">
        <v>63373.279999999999</v>
      </c>
      <c r="K1062" s="95">
        <v>56018.899999999994</v>
      </c>
      <c r="L1062" s="95">
        <v>119392.18</v>
      </c>
      <c r="M1062" s="96">
        <v>0.27529999999999999</v>
      </c>
      <c r="N1062" s="95">
        <v>39.89</v>
      </c>
      <c r="O1062" s="95">
        <v>35.26</v>
      </c>
      <c r="P1062" s="95">
        <v>75.150000000000006</v>
      </c>
      <c r="Q1062" s="95">
        <v>80817.14</v>
      </c>
      <c r="R1062" s="95">
        <v>71436.759999999995</v>
      </c>
      <c r="S1062" s="95">
        <v>152253.9</v>
      </c>
    </row>
    <row r="1063" spans="1:19" ht="15" x14ac:dyDescent="0.25">
      <c r="A1063" s="90" t="s">
        <v>2794</v>
      </c>
      <c r="B1063" s="90" t="s">
        <v>100</v>
      </c>
      <c r="C1063" s="98" t="s">
        <v>2795</v>
      </c>
      <c r="D1063" s="92" t="s">
        <v>2796</v>
      </c>
      <c r="E1063" s="90" t="s">
        <v>16</v>
      </c>
      <c r="F1063" s="99">
        <v>480</v>
      </c>
      <c r="G1063" s="94">
        <v>27.8</v>
      </c>
      <c r="H1063" s="94">
        <v>12.65</v>
      </c>
      <c r="I1063" s="95">
        <v>40.450000000000003</v>
      </c>
      <c r="J1063" s="95">
        <v>13344</v>
      </c>
      <c r="K1063" s="95">
        <v>6072</v>
      </c>
      <c r="L1063" s="95">
        <v>19416</v>
      </c>
      <c r="M1063" s="96">
        <v>0.27529999999999999</v>
      </c>
      <c r="N1063" s="95">
        <v>35.450000000000003</v>
      </c>
      <c r="O1063" s="95">
        <v>16.13</v>
      </c>
      <c r="P1063" s="95">
        <v>51.58</v>
      </c>
      <c r="Q1063" s="95">
        <v>17016</v>
      </c>
      <c r="R1063" s="95">
        <v>7742.4</v>
      </c>
      <c r="S1063" s="95">
        <v>24758.400000000001</v>
      </c>
    </row>
    <row r="1064" spans="1:19" ht="15" x14ac:dyDescent="0.25">
      <c r="A1064" s="90" t="s">
        <v>2797</v>
      </c>
      <c r="B1064" s="90" t="s">
        <v>31</v>
      </c>
      <c r="C1064" s="98" t="s">
        <v>2798</v>
      </c>
      <c r="D1064" s="92" t="s">
        <v>2799</v>
      </c>
      <c r="E1064" s="90" t="s">
        <v>16</v>
      </c>
      <c r="F1064" s="99">
        <v>259</v>
      </c>
      <c r="G1064" s="94">
        <v>26.31</v>
      </c>
      <c r="H1064" s="94">
        <v>10.07</v>
      </c>
      <c r="I1064" s="95">
        <v>36.379999999999995</v>
      </c>
      <c r="J1064" s="95">
        <v>6814.29</v>
      </c>
      <c r="K1064" s="95">
        <v>2608.13</v>
      </c>
      <c r="L1064" s="95">
        <v>9422.42</v>
      </c>
      <c r="M1064" s="96">
        <v>0.27529999999999999</v>
      </c>
      <c r="N1064" s="95">
        <v>33.549999999999997</v>
      </c>
      <c r="O1064" s="95">
        <v>12.84</v>
      </c>
      <c r="P1064" s="95">
        <v>46.39</v>
      </c>
      <c r="Q1064" s="95">
        <v>8689.4500000000007</v>
      </c>
      <c r="R1064" s="95">
        <v>3325.56</v>
      </c>
      <c r="S1064" s="95">
        <v>12015.01</v>
      </c>
    </row>
    <row r="1065" spans="1:19" ht="15" x14ac:dyDescent="0.25">
      <c r="A1065" s="90" t="s">
        <v>2800</v>
      </c>
      <c r="B1065" s="90" t="s">
        <v>184</v>
      </c>
      <c r="C1065" s="98" t="s">
        <v>2801</v>
      </c>
      <c r="D1065" s="92" t="s">
        <v>2802</v>
      </c>
      <c r="E1065" s="90" t="s">
        <v>16</v>
      </c>
      <c r="F1065" s="99">
        <v>739</v>
      </c>
      <c r="G1065" s="94">
        <v>3.91</v>
      </c>
      <c r="H1065" s="94">
        <v>2.2599999999999998</v>
      </c>
      <c r="I1065" s="95">
        <v>6.17</v>
      </c>
      <c r="J1065" s="95">
        <v>2889.49</v>
      </c>
      <c r="K1065" s="95">
        <v>1670.1400000000003</v>
      </c>
      <c r="L1065" s="95">
        <v>4559.63</v>
      </c>
      <c r="M1065" s="96">
        <v>0.27529999999999999</v>
      </c>
      <c r="N1065" s="95">
        <v>4.99</v>
      </c>
      <c r="O1065" s="95">
        <v>2.88</v>
      </c>
      <c r="P1065" s="95">
        <v>7.87</v>
      </c>
      <c r="Q1065" s="95">
        <v>3687.61</v>
      </c>
      <c r="R1065" s="95">
        <v>2128.3200000000002</v>
      </c>
      <c r="S1065" s="95">
        <v>5815.93</v>
      </c>
    </row>
    <row r="1066" spans="1:19" ht="15" x14ac:dyDescent="0.25">
      <c r="A1066" s="90" t="s">
        <v>2803</v>
      </c>
      <c r="B1066" s="90" t="s">
        <v>382</v>
      </c>
      <c r="C1066" s="98" t="s">
        <v>2804</v>
      </c>
      <c r="D1066" s="92" t="s">
        <v>2805</v>
      </c>
      <c r="E1066" s="90" t="s">
        <v>16</v>
      </c>
      <c r="F1066" s="99">
        <v>976</v>
      </c>
      <c r="G1066" s="94">
        <v>79.31</v>
      </c>
      <c r="H1066" s="94">
        <v>87.45</v>
      </c>
      <c r="I1066" s="95">
        <v>166.76</v>
      </c>
      <c r="J1066" s="95">
        <v>77406.559999999998</v>
      </c>
      <c r="K1066" s="95">
        <v>85351.200000000012</v>
      </c>
      <c r="L1066" s="95">
        <v>162757.76000000001</v>
      </c>
      <c r="M1066" s="96">
        <v>0.27529999999999999</v>
      </c>
      <c r="N1066" s="95">
        <v>101.14</v>
      </c>
      <c r="O1066" s="95">
        <v>111.52</v>
      </c>
      <c r="P1066" s="95">
        <v>212.66</v>
      </c>
      <c r="Q1066" s="95">
        <v>98712.639999999999</v>
      </c>
      <c r="R1066" s="95">
        <v>108843.52</v>
      </c>
      <c r="S1066" s="95">
        <v>207556.16</v>
      </c>
    </row>
    <row r="1067" spans="1:19" ht="15" x14ac:dyDescent="0.25">
      <c r="A1067" s="90" t="s">
        <v>2806</v>
      </c>
      <c r="B1067" s="90" t="s">
        <v>1802</v>
      </c>
      <c r="C1067" s="98" t="s">
        <v>2807</v>
      </c>
      <c r="D1067" s="92" t="s">
        <v>2808</v>
      </c>
      <c r="E1067" s="90" t="s">
        <v>16</v>
      </c>
      <c r="F1067" s="99">
        <v>655</v>
      </c>
      <c r="G1067" s="94">
        <v>14.23</v>
      </c>
      <c r="H1067" s="94">
        <v>7.95</v>
      </c>
      <c r="I1067" s="95">
        <v>22.18</v>
      </c>
      <c r="J1067" s="95">
        <v>9320.65</v>
      </c>
      <c r="K1067" s="95">
        <v>5207.25</v>
      </c>
      <c r="L1067" s="95">
        <v>14527.9</v>
      </c>
      <c r="M1067" s="96">
        <v>0.27529999999999999</v>
      </c>
      <c r="N1067" s="95">
        <v>18.149999999999999</v>
      </c>
      <c r="O1067" s="95">
        <v>10.14</v>
      </c>
      <c r="P1067" s="95">
        <v>28.29</v>
      </c>
      <c r="Q1067" s="95">
        <v>11888.25</v>
      </c>
      <c r="R1067" s="95">
        <v>6641.7</v>
      </c>
      <c r="S1067" s="95">
        <v>18529.95</v>
      </c>
    </row>
    <row r="1068" spans="1:19" ht="15" x14ac:dyDescent="0.25">
      <c r="A1068" s="90" t="s">
        <v>2809</v>
      </c>
      <c r="B1068" s="90" t="s">
        <v>31</v>
      </c>
      <c r="C1068" s="98" t="s">
        <v>2789</v>
      </c>
      <c r="D1068" s="92" t="s">
        <v>2810</v>
      </c>
      <c r="E1068" s="90" t="s">
        <v>16</v>
      </c>
      <c r="F1068" s="99">
        <v>824</v>
      </c>
      <c r="G1068" s="94">
        <v>35.56</v>
      </c>
      <c r="H1068" s="94">
        <v>27.65</v>
      </c>
      <c r="I1068" s="95">
        <v>63.21</v>
      </c>
      <c r="J1068" s="95">
        <v>29301.439999999999</v>
      </c>
      <c r="K1068" s="95">
        <v>22783.600000000002</v>
      </c>
      <c r="L1068" s="95">
        <v>52085.04</v>
      </c>
      <c r="M1068" s="96">
        <v>0.27529999999999999</v>
      </c>
      <c r="N1068" s="95">
        <v>45.35</v>
      </c>
      <c r="O1068" s="95">
        <v>35.26</v>
      </c>
      <c r="P1068" s="95">
        <v>80.61</v>
      </c>
      <c r="Q1068" s="95">
        <v>37368.400000000001</v>
      </c>
      <c r="R1068" s="95">
        <v>29054.240000000002</v>
      </c>
      <c r="S1068" s="95">
        <v>66422.64</v>
      </c>
    </row>
    <row r="1069" spans="1:19" ht="15" x14ac:dyDescent="0.25">
      <c r="A1069" s="90" t="s">
        <v>2811</v>
      </c>
      <c r="B1069" s="90" t="s">
        <v>31</v>
      </c>
      <c r="C1069" s="98" t="s">
        <v>2812</v>
      </c>
      <c r="D1069" s="92" t="s">
        <v>2813</v>
      </c>
      <c r="E1069" s="90" t="s">
        <v>16</v>
      </c>
      <c r="F1069" s="99">
        <v>1049</v>
      </c>
      <c r="G1069" s="94">
        <v>12.94</v>
      </c>
      <c r="H1069" s="94">
        <v>12.51</v>
      </c>
      <c r="I1069" s="95">
        <v>25.45</v>
      </c>
      <c r="J1069" s="95">
        <v>13574.06</v>
      </c>
      <c r="K1069" s="95">
        <v>13122.99</v>
      </c>
      <c r="L1069" s="95">
        <v>26697.05</v>
      </c>
      <c r="M1069" s="96">
        <v>0.27529999999999999</v>
      </c>
      <c r="N1069" s="95">
        <v>16.5</v>
      </c>
      <c r="O1069" s="95">
        <v>15.95</v>
      </c>
      <c r="P1069" s="95">
        <v>32.450000000000003</v>
      </c>
      <c r="Q1069" s="95">
        <v>17308.5</v>
      </c>
      <c r="R1069" s="95">
        <v>16731.55</v>
      </c>
      <c r="S1069" s="95">
        <v>34040.050000000003</v>
      </c>
    </row>
    <row r="1070" spans="1:19" ht="15" x14ac:dyDescent="0.25">
      <c r="A1070" s="90" t="s">
        <v>2788</v>
      </c>
      <c r="B1070" s="90" t="s">
        <v>31</v>
      </c>
      <c r="C1070" s="98" t="s">
        <v>2814</v>
      </c>
      <c r="D1070" s="92" t="s">
        <v>2815</v>
      </c>
      <c r="E1070" s="90" t="s">
        <v>16</v>
      </c>
      <c r="F1070" s="99">
        <v>2649</v>
      </c>
      <c r="G1070" s="94">
        <v>21.53</v>
      </c>
      <c r="H1070" s="94">
        <v>17.57</v>
      </c>
      <c r="I1070" s="95">
        <v>39.1</v>
      </c>
      <c r="J1070" s="95">
        <v>57032.97</v>
      </c>
      <c r="K1070" s="95">
        <v>46542.929999999993</v>
      </c>
      <c r="L1070" s="95">
        <v>103575.9</v>
      </c>
      <c r="M1070" s="96">
        <v>0.27529999999999999</v>
      </c>
      <c r="N1070" s="95">
        <v>27.46</v>
      </c>
      <c r="O1070" s="95">
        <v>22.41</v>
      </c>
      <c r="P1070" s="95">
        <v>49.870000000000005</v>
      </c>
      <c r="Q1070" s="95">
        <v>72741.539999999994</v>
      </c>
      <c r="R1070" s="95">
        <v>59364.09</v>
      </c>
      <c r="S1070" s="95">
        <v>132105.63</v>
      </c>
    </row>
    <row r="1071" spans="1:19" ht="15" x14ac:dyDescent="0.25">
      <c r="A1071" s="90" t="s">
        <v>2788</v>
      </c>
      <c r="B1071" s="90" t="s">
        <v>86</v>
      </c>
      <c r="C1071" s="98" t="s">
        <v>2816</v>
      </c>
      <c r="D1071" s="92" t="s">
        <v>2817</v>
      </c>
      <c r="E1071" s="90" t="s">
        <v>16</v>
      </c>
      <c r="F1071" s="99">
        <v>29</v>
      </c>
      <c r="G1071" s="94">
        <v>49.82</v>
      </c>
      <c r="H1071" s="94">
        <v>9.89</v>
      </c>
      <c r="I1071" s="95">
        <v>59.71</v>
      </c>
      <c r="J1071" s="95">
        <v>1444.78</v>
      </c>
      <c r="K1071" s="95">
        <v>286.80999999999995</v>
      </c>
      <c r="L1071" s="95">
        <v>1731.59</v>
      </c>
      <c r="M1071" s="96">
        <v>0.27529999999999999</v>
      </c>
      <c r="N1071" s="95">
        <v>63.54</v>
      </c>
      <c r="O1071" s="95">
        <v>12.61</v>
      </c>
      <c r="P1071" s="95">
        <v>76.150000000000006</v>
      </c>
      <c r="Q1071" s="95">
        <v>1842.66</v>
      </c>
      <c r="R1071" s="95">
        <v>365.69</v>
      </c>
      <c r="S1071" s="95">
        <v>2208.35</v>
      </c>
    </row>
    <row r="1072" spans="1:19" ht="15" x14ac:dyDescent="0.25">
      <c r="A1072" s="90" t="s">
        <v>2788</v>
      </c>
      <c r="B1072" s="90" t="s">
        <v>706</v>
      </c>
      <c r="C1072" s="98" t="s">
        <v>2818</v>
      </c>
      <c r="D1072" s="92" t="s">
        <v>2819</v>
      </c>
      <c r="E1072" s="90" t="s">
        <v>16</v>
      </c>
      <c r="F1072" s="99">
        <v>38</v>
      </c>
      <c r="G1072" s="94">
        <v>40.08</v>
      </c>
      <c r="H1072" s="94">
        <v>29.63</v>
      </c>
      <c r="I1072" s="95">
        <v>69.709999999999994</v>
      </c>
      <c r="J1072" s="95">
        <v>1523.04</v>
      </c>
      <c r="K1072" s="95">
        <v>1125.94</v>
      </c>
      <c r="L1072" s="95">
        <v>2648.98</v>
      </c>
      <c r="M1072" s="96">
        <v>0.27529999999999999</v>
      </c>
      <c r="N1072" s="95">
        <v>51.11</v>
      </c>
      <c r="O1072" s="95">
        <v>37.79</v>
      </c>
      <c r="P1072" s="95">
        <v>88.9</v>
      </c>
      <c r="Q1072" s="95">
        <v>1942.18</v>
      </c>
      <c r="R1072" s="95">
        <v>1436.02</v>
      </c>
      <c r="S1072" s="95">
        <v>3378.2</v>
      </c>
    </row>
    <row r="1073" spans="1:19" ht="15" x14ac:dyDescent="0.25">
      <c r="A1073" s="90" t="s">
        <v>2788</v>
      </c>
      <c r="B1073" s="90" t="s">
        <v>45</v>
      </c>
      <c r="C1073" s="98" t="s">
        <v>2820</v>
      </c>
      <c r="D1073" s="92" t="s">
        <v>2821</v>
      </c>
      <c r="E1073" s="90" t="s">
        <v>16</v>
      </c>
      <c r="F1073" s="99">
        <v>19</v>
      </c>
      <c r="G1073" s="94">
        <v>41.54</v>
      </c>
      <c r="H1073" s="94">
        <v>31.12</v>
      </c>
      <c r="I1073" s="95">
        <v>72.66</v>
      </c>
      <c r="J1073" s="95">
        <v>789.26</v>
      </c>
      <c r="K1073" s="95">
        <v>591.28</v>
      </c>
      <c r="L1073" s="95">
        <v>1380.54</v>
      </c>
      <c r="M1073" s="96">
        <v>0.27529999999999999</v>
      </c>
      <c r="N1073" s="95">
        <v>52.98</v>
      </c>
      <c r="O1073" s="95">
        <v>39.69</v>
      </c>
      <c r="P1073" s="95">
        <v>92.669999999999987</v>
      </c>
      <c r="Q1073" s="95">
        <v>1006.62</v>
      </c>
      <c r="R1073" s="95">
        <v>754.11</v>
      </c>
      <c r="S1073" s="95">
        <v>1760.73</v>
      </c>
    </row>
    <row r="1074" spans="1:19" ht="15" x14ac:dyDescent="0.25">
      <c r="A1074" s="90" t="s">
        <v>2788</v>
      </c>
      <c r="B1074" s="90" t="s">
        <v>1802</v>
      </c>
      <c r="C1074" s="98" t="s">
        <v>2822</v>
      </c>
      <c r="D1074" s="92" t="s">
        <v>2823</v>
      </c>
      <c r="E1074" s="90" t="s">
        <v>16</v>
      </c>
      <c r="F1074" s="99">
        <v>625</v>
      </c>
      <c r="G1074" s="94">
        <v>9.69</v>
      </c>
      <c r="H1074" s="94">
        <v>5.31</v>
      </c>
      <c r="I1074" s="95">
        <v>15</v>
      </c>
      <c r="J1074" s="95">
        <v>6056.25</v>
      </c>
      <c r="K1074" s="95">
        <v>3318.75</v>
      </c>
      <c r="L1074" s="95">
        <v>9375</v>
      </c>
      <c r="M1074" s="96">
        <v>0.27529999999999999</v>
      </c>
      <c r="N1074" s="95">
        <v>12.36</v>
      </c>
      <c r="O1074" s="95">
        <v>6.77</v>
      </c>
      <c r="P1074" s="95">
        <v>19.13</v>
      </c>
      <c r="Q1074" s="95">
        <v>7725</v>
      </c>
      <c r="R1074" s="95">
        <v>4231.25</v>
      </c>
      <c r="S1074" s="95">
        <v>11956.25</v>
      </c>
    </row>
    <row r="1075" spans="1:19" ht="15" x14ac:dyDescent="0.25">
      <c r="A1075" s="90" t="s">
        <v>2788</v>
      </c>
      <c r="B1075" s="90" t="s">
        <v>706</v>
      </c>
      <c r="C1075" s="98" t="s">
        <v>2824</v>
      </c>
      <c r="D1075" s="92" t="s">
        <v>2825</v>
      </c>
      <c r="E1075" s="90" t="s">
        <v>16</v>
      </c>
      <c r="F1075" s="99">
        <v>78</v>
      </c>
      <c r="G1075" s="94">
        <v>31.46</v>
      </c>
      <c r="H1075" s="94">
        <v>17.78</v>
      </c>
      <c r="I1075" s="95">
        <v>49.24</v>
      </c>
      <c r="J1075" s="95">
        <v>2453.88</v>
      </c>
      <c r="K1075" s="95">
        <v>1386.8399999999997</v>
      </c>
      <c r="L1075" s="95">
        <v>3840.72</v>
      </c>
      <c r="M1075" s="96">
        <v>0.27529999999999999</v>
      </c>
      <c r="N1075" s="95">
        <v>40.119999999999997</v>
      </c>
      <c r="O1075" s="95">
        <v>22.67</v>
      </c>
      <c r="P1075" s="95">
        <v>62.79</v>
      </c>
      <c r="Q1075" s="95">
        <v>3129.36</v>
      </c>
      <c r="R1075" s="95">
        <v>1768.26</v>
      </c>
      <c r="S1075" s="95">
        <v>4897.62</v>
      </c>
    </row>
    <row r="1076" spans="1:19" ht="15" x14ac:dyDescent="0.25">
      <c r="A1076" s="90" t="s">
        <v>2788</v>
      </c>
      <c r="B1076" s="90" t="s">
        <v>622</v>
      </c>
      <c r="C1076" s="98" t="s">
        <v>2826</v>
      </c>
      <c r="D1076" s="92" t="s">
        <v>2827</v>
      </c>
      <c r="E1076" s="90" t="s">
        <v>16</v>
      </c>
      <c r="F1076" s="99">
        <v>78</v>
      </c>
      <c r="G1076" s="94">
        <v>7.13</v>
      </c>
      <c r="H1076" s="94">
        <v>2.37</v>
      </c>
      <c r="I1076" s="95">
        <v>9.5</v>
      </c>
      <c r="J1076" s="95">
        <v>556.14</v>
      </c>
      <c r="K1076" s="95">
        <v>184.86</v>
      </c>
      <c r="L1076" s="95">
        <v>741</v>
      </c>
      <c r="M1076" s="96">
        <v>0.27529999999999999</v>
      </c>
      <c r="N1076" s="95">
        <v>9.09</v>
      </c>
      <c r="O1076" s="95">
        <v>3.02</v>
      </c>
      <c r="P1076" s="95">
        <v>12.11</v>
      </c>
      <c r="Q1076" s="95">
        <v>709.02</v>
      </c>
      <c r="R1076" s="95">
        <v>235.56</v>
      </c>
      <c r="S1076" s="95">
        <v>944.57999999999993</v>
      </c>
    </row>
    <row r="1077" spans="1:19" ht="15" x14ac:dyDescent="0.25">
      <c r="A1077" s="90" t="s">
        <v>2788</v>
      </c>
      <c r="B1077" s="90" t="s">
        <v>31</v>
      </c>
      <c r="C1077" s="98" t="s">
        <v>2798</v>
      </c>
      <c r="D1077" s="92" t="s">
        <v>2828</v>
      </c>
      <c r="E1077" s="90" t="s">
        <v>16</v>
      </c>
      <c r="F1077" s="99">
        <v>42</v>
      </c>
      <c r="G1077" s="94">
        <v>26.31</v>
      </c>
      <c r="H1077" s="94">
        <v>10.07</v>
      </c>
      <c r="I1077" s="95">
        <v>36.379999999999995</v>
      </c>
      <c r="J1077" s="95">
        <v>1105.02</v>
      </c>
      <c r="K1077" s="95">
        <v>422.94000000000005</v>
      </c>
      <c r="L1077" s="95">
        <v>1527.96</v>
      </c>
      <c r="M1077" s="96">
        <v>0.27529999999999999</v>
      </c>
      <c r="N1077" s="95">
        <v>33.549999999999997</v>
      </c>
      <c r="O1077" s="95">
        <v>12.84</v>
      </c>
      <c r="P1077" s="95">
        <v>46.39</v>
      </c>
      <c r="Q1077" s="95">
        <v>1409.1</v>
      </c>
      <c r="R1077" s="95">
        <v>539.28</v>
      </c>
      <c r="S1077" s="95">
        <v>1948.3799999999999</v>
      </c>
    </row>
    <row r="1078" spans="1:19" ht="15" x14ac:dyDescent="0.25">
      <c r="A1078" s="90" t="s">
        <v>2788</v>
      </c>
      <c r="B1078" s="90" t="s">
        <v>184</v>
      </c>
      <c r="C1078" s="98" t="s">
        <v>2829</v>
      </c>
      <c r="D1078" s="92" t="s">
        <v>2830</v>
      </c>
      <c r="E1078" s="90" t="s">
        <v>16</v>
      </c>
      <c r="F1078" s="99">
        <v>76</v>
      </c>
      <c r="G1078" s="94">
        <v>4.97</v>
      </c>
      <c r="H1078" s="94">
        <v>2.2599999999999998</v>
      </c>
      <c r="I1078" s="95">
        <v>7.2299999999999995</v>
      </c>
      <c r="J1078" s="95">
        <v>377.72</v>
      </c>
      <c r="K1078" s="95">
        <v>171.76</v>
      </c>
      <c r="L1078" s="95">
        <v>549.48</v>
      </c>
      <c r="M1078" s="96">
        <v>0.27529999999999999</v>
      </c>
      <c r="N1078" s="95">
        <v>6.34</v>
      </c>
      <c r="O1078" s="95">
        <v>2.88</v>
      </c>
      <c r="P1078" s="95">
        <v>9.2199999999999989</v>
      </c>
      <c r="Q1078" s="95">
        <v>481.84</v>
      </c>
      <c r="R1078" s="95">
        <v>218.88</v>
      </c>
      <c r="S1078" s="95">
        <v>700.72</v>
      </c>
    </row>
    <row r="1079" spans="1:19" ht="15" x14ac:dyDescent="0.25">
      <c r="A1079" s="90" t="s">
        <v>2788</v>
      </c>
      <c r="B1079" s="90" t="s">
        <v>184</v>
      </c>
      <c r="C1079" s="98" t="s">
        <v>2831</v>
      </c>
      <c r="D1079" s="92" t="s">
        <v>2832</v>
      </c>
      <c r="E1079" s="90" t="s">
        <v>16</v>
      </c>
      <c r="F1079" s="99">
        <v>25</v>
      </c>
      <c r="G1079" s="94">
        <v>45.64</v>
      </c>
      <c r="H1079" s="94">
        <v>17.079999999999998</v>
      </c>
      <c r="I1079" s="95">
        <v>62.72</v>
      </c>
      <c r="J1079" s="95">
        <v>1141</v>
      </c>
      <c r="K1079" s="95">
        <v>427</v>
      </c>
      <c r="L1079" s="95">
        <v>1568</v>
      </c>
      <c r="M1079" s="96">
        <v>0.27529999999999999</v>
      </c>
      <c r="N1079" s="95">
        <v>58.2</v>
      </c>
      <c r="O1079" s="95">
        <v>21.78</v>
      </c>
      <c r="P1079" s="95">
        <v>79.98</v>
      </c>
      <c r="Q1079" s="95">
        <v>1455</v>
      </c>
      <c r="R1079" s="95">
        <v>544.5</v>
      </c>
      <c r="S1079" s="95">
        <v>1999.5</v>
      </c>
    </row>
    <row r="1080" spans="1:19" ht="15" x14ac:dyDescent="0.25">
      <c r="A1080" s="90" t="s">
        <v>2791</v>
      </c>
      <c r="B1080" s="90" t="s">
        <v>706</v>
      </c>
      <c r="C1080" s="98" t="s">
        <v>2833</v>
      </c>
      <c r="D1080" s="92" t="s">
        <v>2834</v>
      </c>
      <c r="E1080" s="90" t="s">
        <v>16</v>
      </c>
      <c r="F1080" s="99">
        <v>16</v>
      </c>
      <c r="G1080" s="94">
        <v>52.59</v>
      </c>
      <c r="H1080" s="94">
        <v>11.85</v>
      </c>
      <c r="I1080" s="95">
        <v>64.44</v>
      </c>
      <c r="J1080" s="95">
        <v>841.44</v>
      </c>
      <c r="K1080" s="95">
        <v>189.59999999999991</v>
      </c>
      <c r="L1080" s="95">
        <v>1031.04</v>
      </c>
      <c r="M1080" s="96">
        <v>0.27529999999999999</v>
      </c>
      <c r="N1080" s="95">
        <v>67.069999999999993</v>
      </c>
      <c r="O1080" s="95">
        <v>15.11</v>
      </c>
      <c r="P1080" s="95">
        <v>82.179999999999993</v>
      </c>
      <c r="Q1080" s="95">
        <v>1073.1199999999999</v>
      </c>
      <c r="R1080" s="95">
        <v>241.76</v>
      </c>
      <c r="S1080" s="95">
        <v>1314.8799999999999</v>
      </c>
    </row>
    <row r="1081" spans="1:19" ht="15" x14ac:dyDescent="0.25">
      <c r="A1081" s="90" t="s">
        <v>2791</v>
      </c>
      <c r="B1081" s="90" t="s">
        <v>184</v>
      </c>
      <c r="C1081" s="98" t="s">
        <v>2835</v>
      </c>
      <c r="D1081" s="92" t="s">
        <v>2836</v>
      </c>
      <c r="E1081" s="90" t="s">
        <v>16</v>
      </c>
      <c r="F1081" s="99">
        <v>7414</v>
      </c>
      <c r="G1081" s="94">
        <v>9.89</v>
      </c>
      <c r="H1081" s="94">
        <v>11.38</v>
      </c>
      <c r="I1081" s="95">
        <v>21.270000000000003</v>
      </c>
      <c r="J1081" s="95">
        <v>73324.460000000006</v>
      </c>
      <c r="K1081" s="95">
        <v>84371.319999999992</v>
      </c>
      <c r="L1081" s="95">
        <v>157695.78</v>
      </c>
      <c r="M1081" s="96">
        <v>0.27529999999999999</v>
      </c>
      <c r="N1081" s="95">
        <v>12.61</v>
      </c>
      <c r="O1081" s="95">
        <v>14.51</v>
      </c>
      <c r="P1081" s="95">
        <v>27.119999999999997</v>
      </c>
      <c r="Q1081" s="95">
        <v>93490.54</v>
      </c>
      <c r="R1081" s="95">
        <v>107577.14</v>
      </c>
      <c r="S1081" s="95">
        <v>201067.68</v>
      </c>
    </row>
    <row r="1082" spans="1:19" ht="15" x14ac:dyDescent="0.25">
      <c r="A1082" s="90" t="s">
        <v>2791</v>
      </c>
      <c r="B1082" s="90" t="s">
        <v>184</v>
      </c>
      <c r="C1082" s="98" t="s">
        <v>2837</v>
      </c>
      <c r="D1082" s="92" t="s">
        <v>2838</v>
      </c>
      <c r="E1082" s="90" t="s">
        <v>1224</v>
      </c>
      <c r="F1082" s="99">
        <v>7414</v>
      </c>
      <c r="G1082" s="94">
        <v>10.64</v>
      </c>
      <c r="H1082" s="94">
        <v>5.65</v>
      </c>
      <c r="I1082" s="95">
        <v>16.29</v>
      </c>
      <c r="J1082" s="95">
        <v>78884.960000000006</v>
      </c>
      <c r="K1082" s="95">
        <v>41889.099999999991</v>
      </c>
      <c r="L1082" s="95">
        <v>120774.06</v>
      </c>
      <c r="M1082" s="96">
        <v>0.27529999999999999</v>
      </c>
      <c r="N1082" s="95">
        <v>13.57</v>
      </c>
      <c r="O1082" s="95">
        <v>7.21</v>
      </c>
      <c r="P1082" s="95">
        <v>20.78</v>
      </c>
      <c r="Q1082" s="95">
        <v>100607.98</v>
      </c>
      <c r="R1082" s="95">
        <v>53454.94</v>
      </c>
      <c r="S1082" s="95">
        <v>154062.91999999998</v>
      </c>
    </row>
    <row r="1083" spans="1:19" ht="15" x14ac:dyDescent="0.25">
      <c r="A1083" s="90" t="s">
        <v>2839</v>
      </c>
      <c r="B1083" s="90"/>
      <c r="C1083" s="91" t="s">
        <v>2840</v>
      </c>
      <c r="D1083" s="92"/>
      <c r="E1083" s="90"/>
      <c r="F1083" s="99"/>
      <c r="G1083" s="94"/>
      <c r="H1083" s="94"/>
      <c r="I1083" s="95"/>
      <c r="J1083" s="95"/>
      <c r="K1083" s="95"/>
      <c r="L1083" s="95"/>
      <c r="M1083" s="96">
        <v>0</v>
      </c>
      <c r="N1083" s="95"/>
      <c r="O1083" s="95"/>
      <c r="P1083" s="95"/>
      <c r="Q1083" s="95">
        <v>0</v>
      </c>
      <c r="R1083" s="95">
        <v>0</v>
      </c>
      <c r="S1083" s="95">
        <v>0</v>
      </c>
    </row>
    <row r="1084" spans="1:19" ht="15" x14ac:dyDescent="0.25">
      <c r="A1084" s="90" t="s">
        <v>2841</v>
      </c>
      <c r="B1084" s="90" t="s">
        <v>184</v>
      </c>
      <c r="C1084" s="98" t="s">
        <v>2842</v>
      </c>
      <c r="D1084" s="92" t="s">
        <v>2843</v>
      </c>
      <c r="E1084" s="90" t="s">
        <v>16</v>
      </c>
      <c r="F1084" s="99">
        <v>423</v>
      </c>
      <c r="G1084" s="94">
        <v>62.52</v>
      </c>
      <c r="H1084" s="94">
        <v>24.22</v>
      </c>
      <c r="I1084" s="95">
        <v>86.740000000000009</v>
      </c>
      <c r="J1084" s="95">
        <v>26445.96</v>
      </c>
      <c r="K1084" s="95">
        <v>10245.059999999998</v>
      </c>
      <c r="L1084" s="95">
        <v>36691.019999999997</v>
      </c>
      <c r="M1084" s="96">
        <v>0.27529999999999999</v>
      </c>
      <c r="N1084" s="95">
        <v>79.73</v>
      </c>
      <c r="O1084" s="95">
        <v>30.89</v>
      </c>
      <c r="P1084" s="95">
        <v>110.62</v>
      </c>
      <c r="Q1084" s="95">
        <v>33725.79</v>
      </c>
      <c r="R1084" s="95">
        <v>13066.47</v>
      </c>
      <c r="S1084" s="95">
        <v>46792.26</v>
      </c>
    </row>
    <row r="1085" spans="1:19" ht="15" x14ac:dyDescent="0.25">
      <c r="A1085" s="90" t="s">
        <v>2844</v>
      </c>
      <c r="B1085" s="90" t="s">
        <v>184</v>
      </c>
      <c r="C1085" s="98" t="s">
        <v>2845</v>
      </c>
      <c r="D1085" s="92" t="s">
        <v>2846</v>
      </c>
      <c r="E1085" s="90" t="s">
        <v>16</v>
      </c>
      <c r="F1085" s="99">
        <v>348</v>
      </c>
      <c r="G1085" s="94">
        <v>32.32</v>
      </c>
      <c r="H1085" s="94">
        <v>8.4499999999999993</v>
      </c>
      <c r="I1085" s="95">
        <v>40.769999999999996</v>
      </c>
      <c r="J1085" s="95">
        <v>11247.36</v>
      </c>
      <c r="K1085" s="95">
        <v>2940.5999999999985</v>
      </c>
      <c r="L1085" s="95">
        <v>14187.96</v>
      </c>
      <c r="M1085" s="96">
        <v>0.27529999999999999</v>
      </c>
      <c r="N1085" s="95">
        <v>41.22</v>
      </c>
      <c r="O1085" s="95">
        <v>10.78</v>
      </c>
      <c r="P1085" s="95">
        <v>52</v>
      </c>
      <c r="Q1085" s="95">
        <v>14344.56</v>
      </c>
      <c r="R1085" s="95">
        <v>3751.44</v>
      </c>
      <c r="S1085" s="95">
        <v>18096</v>
      </c>
    </row>
    <row r="1086" spans="1:19" ht="15" x14ac:dyDescent="0.25">
      <c r="A1086" s="90" t="s">
        <v>2847</v>
      </c>
      <c r="B1086" s="90" t="s">
        <v>184</v>
      </c>
      <c r="C1086" s="98" t="s">
        <v>2845</v>
      </c>
      <c r="D1086" s="92" t="s">
        <v>2846</v>
      </c>
      <c r="E1086" s="90" t="s">
        <v>16</v>
      </c>
      <c r="F1086" s="99">
        <v>362</v>
      </c>
      <c r="G1086" s="94">
        <v>32.32</v>
      </c>
      <c r="H1086" s="94">
        <v>8.4499999999999993</v>
      </c>
      <c r="I1086" s="95">
        <v>40.769999999999996</v>
      </c>
      <c r="J1086" s="95">
        <v>11699.84</v>
      </c>
      <c r="K1086" s="95">
        <v>3058.8999999999996</v>
      </c>
      <c r="L1086" s="95">
        <v>14758.74</v>
      </c>
      <c r="M1086" s="96">
        <v>0.27529999999999999</v>
      </c>
      <c r="N1086" s="95">
        <v>41.22</v>
      </c>
      <c r="O1086" s="95">
        <v>10.78</v>
      </c>
      <c r="P1086" s="95">
        <v>52</v>
      </c>
      <c r="Q1086" s="95">
        <v>14921.64</v>
      </c>
      <c r="R1086" s="95">
        <v>3902.36</v>
      </c>
      <c r="S1086" s="95">
        <v>18824</v>
      </c>
    </row>
    <row r="1087" spans="1:19" ht="15" x14ac:dyDescent="0.25">
      <c r="A1087" s="90" t="s">
        <v>2848</v>
      </c>
      <c r="B1087" s="90" t="s">
        <v>184</v>
      </c>
      <c r="C1087" s="98" t="s">
        <v>2845</v>
      </c>
      <c r="D1087" s="92" t="s">
        <v>2846</v>
      </c>
      <c r="E1087" s="90" t="s">
        <v>16</v>
      </c>
      <c r="F1087" s="99">
        <v>458</v>
      </c>
      <c r="G1087" s="94">
        <v>32.32</v>
      </c>
      <c r="H1087" s="94">
        <v>8.4499999999999993</v>
      </c>
      <c r="I1087" s="95">
        <v>40.769999999999996</v>
      </c>
      <c r="J1087" s="95">
        <v>14802.56</v>
      </c>
      <c r="K1087" s="95">
        <v>3870.1000000000004</v>
      </c>
      <c r="L1087" s="95">
        <v>18672.66</v>
      </c>
      <c r="M1087" s="96">
        <v>0.27529999999999999</v>
      </c>
      <c r="N1087" s="95">
        <v>41.22</v>
      </c>
      <c r="O1087" s="95">
        <v>10.78</v>
      </c>
      <c r="P1087" s="95">
        <v>52</v>
      </c>
      <c r="Q1087" s="95">
        <v>18878.759999999998</v>
      </c>
      <c r="R1087" s="95">
        <v>4937.24</v>
      </c>
      <c r="S1087" s="95">
        <v>23816</v>
      </c>
    </row>
    <row r="1088" spans="1:19" ht="15" x14ac:dyDescent="0.25">
      <c r="A1088" s="90" t="s">
        <v>2849</v>
      </c>
      <c r="B1088" s="90" t="s">
        <v>184</v>
      </c>
      <c r="C1088" s="98" t="s">
        <v>2842</v>
      </c>
      <c r="D1088" s="92" t="s">
        <v>2843</v>
      </c>
      <c r="E1088" s="90" t="s">
        <v>16</v>
      </c>
      <c r="F1088" s="99">
        <v>38</v>
      </c>
      <c r="G1088" s="94">
        <v>62.52</v>
      </c>
      <c r="H1088" s="94">
        <v>24.22</v>
      </c>
      <c r="I1088" s="95">
        <v>86.740000000000009</v>
      </c>
      <c r="J1088" s="95">
        <v>2375.7600000000002</v>
      </c>
      <c r="K1088" s="95">
        <v>920.35999999999967</v>
      </c>
      <c r="L1088" s="95">
        <v>3296.12</v>
      </c>
      <c r="M1088" s="96">
        <v>0.27529999999999999</v>
      </c>
      <c r="N1088" s="95">
        <v>79.73</v>
      </c>
      <c r="O1088" s="95">
        <v>30.89</v>
      </c>
      <c r="P1088" s="95">
        <v>110.62</v>
      </c>
      <c r="Q1088" s="95">
        <v>3029.74</v>
      </c>
      <c r="R1088" s="95">
        <v>1173.82</v>
      </c>
      <c r="S1088" s="95">
        <v>4203.5599999999995</v>
      </c>
    </row>
    <row r="1089" spans="1:19" ht="15" x14ac:dyDescent="0.25">
      <c r="A1089" s="90" t="s">
        <v>2850</v>
      </c>
      <c r="B1089" s="90" t="s">
        <v>184</v>
      </c>
      <c r="C1089" s="98" t="s">
        <v>2842</v>
      </c>
      <c r="D1089" s="92" t="s">
        <v>2843</v>
      </c>
      <c r="E1089" s="90" t="s">
        <v>16</v>
      </c>
      <c r="F1089" s="99">
        <v>3</v>
      </c>
      <c r="G1089" s="94">
        <v>62.52</v>
      </c>
      <c r="H1089" s="94">
        <v>24.22</v>
      </c>
      <c r="I1089" s="95">
        <v>86.740000000000009</v>
      </c>
      <c r="J1089" s="95">
        <v>187.56</v>
      </c>
      <c r="K1089" s="95">
        <v>72.660000000000025</v>
      </c>
      <c r="L1089" s="95">
        <v>260.22000000000003</v>
      </c>
      <c r="M1089" s="96">
        <v>0.27529999999999999</v>
      </c>
      <c r="N1089" s="95">
        <v>79.73</v>
      </c>
      <c r="O1089" s="95">
        <v>30.89</v>
      </c>
      <c r="P1089" s="95">
        <v>110.62</v>
      </c>
      <c r="Q1089" s="95">
        <v>239.19</v>
      </c>
      <c r="R1089" s="95">
        <v>92.67</v>
      </c>
      <c r="S1089" s="95">
        <v>331.86</v>
      </c>
    </row>
    <row r="1090" spans="1:19" ht="15" x14ac:dyDescent="0.25">
      <c r="A1090" s="90" t="s">
        <v>2851</v>
      </c>
      <c r="B1090" s="90" t="s">
        <v>184</v>
      </c>
      <c r="C1090" s="98" t="s">
        <v>2845</v>
      </c>
      <c r="D1090" s="92" t="s">
        <v>2846</v>
      </c>
      <c r="E1090" s="90" t="s">
        <v>16</v>
      </c>
      <c r="F1090" s="99">
        <v>120</v>
      </c>
      <c r="G1090" s="94">
        <v>32.32</v>
      </c>
      <c r="H1090" s="94">
        <v>8.4499999999999993</v>
      </c>
      <c r="I1090" s="95">
        <v>40.769999999999996</v>
      </c>
      <c r="J1090" s="95">
        <v>3878.4</v>
      </c>
      <c r="K1090" s="95">
        <v>1013.9999999999995</v>
      </c>
      <c r="L1090" s="95">
        <v>4892.3999999999996</v>
      </c>
      <c r="M1090" s="96">
        <v>0.27529999999999999</v>
      </c>
      <c r="N1090" s="95">
        <v>41.22</v>
      </c>
      <c r="O1090" s="95">
        <v>10.78</v>
      </c>
      <c r="P1090" s="95">
        <v>52</v>
      </c>
      <c r="Q1090" s="95">
        <v>4946.3999999999996</v>
      </c>
      <c r="R1090" s="95">
        <v>1293.5999999999999</v>
      </c>
      <c r="S1090" s="95">
        <v>6240</v>
      </c>
    </row>
    <row r="1091" spans="1:19" ht="15" x14ac:dyDescent="0.25">
      <c r="A1091" s="90" t="s">
        <v>2852</v>
      </c>
      <c r="B1091" s="90" t="s">
        <v>184</v>
      </c>
      <c r="C1091" s="98" t="s">
        <v>2845</v>
      </c>
      <c r="D1091" s="92" t="s">
        <v>2846</v>
      </c>
      <c r="E1091" s="90" t="s">
        <v>16</v>
      </c>
      <c r="F1091" s="99">
        <v>70</v>
      </c>
      <c r="G1091" s="94">
        <v>32.32</v>
      </c>
      <c r="H1091" s="94">
        <v>8.4499999999999993</v>
      </c>
      <c r="I1091" s="95">
        <v>40.769999999999996</v>
      </c>
      <c r="J1091" s="95">
        <v>2262.4</v>
      </c>
      <c r="K1091" s="95">
        <v>591.5</v>
      </c>
      <c r="L1091" s="95">
        <v>2853.9</v>
      </c>
      <c r="M1091" s="96">
        <v>0.27529999999999999</v>
      </c>
      <c r="N1091" s="95">
        <v>41.22</v>
      </c>
      <c r="O1091" s="95">
        <v>10.78</v>
      </c>
      <c r="P1091" s="95">
        <v>52</v>
      </c>
      <c r="Q1091" s="95">
        <v>2885.4</v>
      </c>
      <c r="R1091" s="95">
        <v>754.6</v>
      </c>
      <c r="S1091" s="95">
        <v>3640</v>
      </c>
    </row>
    <row r="1092" spans="1:19" ht="15" x14ac:dyDescent="0.25">
      <c r="A1092" s="90" t="s">
        <v>2853</v>
      </c>
      <c r="B1092" s="90" t="s">
        <v>184</v>
      </c>
      <c r="C1092" s="98" t="s">
        <v>2845</v>
      </c>
      <c r="D1092" s="92" t="s">
        <v>2854</v>
      </c>
      <c r="E1092" s="90" t="s">
        <v>16</v>
      </c>
      <c r="F1092" s="99">
        <v>2</v>
      </c>
      <c r="G1092" s="94">
        <v>32.32</v>
      </c>
      <c r="H1092" s="94">
        <v>8.4499999999999993</v>
      </c>
      <c r="I1092" s="95">
        <v>40.769999999999996</v>
      </c>
      <c r="J1092" s="95">
        <v>64.64</v>
      </c>
      <c r="K1092" s="95">
        <v>16.900000000000006</v>
      </c>
      <c r="L1092" s="95">
        <v>81.540000000000006</v>
      </c>
      <c r="M1092" s="96">
        <v>0.27529999999999999</v>
      </c>
      <c r="N1092" s="95">
        <v>41.22</v>
      </c>
      <c r="O1092" s="95">
        <v>10.78</v>
      </c>
      <c r="P1092" s="95">
        <v>52</v>
      </c>
      <c r="Q1092" s="95">
        <v>82.44</v>
      </c>
      <c r="R1092" s="95">
        <v>21.56</v>
      </c>
      <c r="S1092" s="95">
        <v>104</v>
      </c>
    </row>
    <row r="1093" spans="1:19" ht="15" x14ac:dyDescent="0.25">
      <c r="A1093" s="90" t="s">
        <v>2841</v>
      </c>
      <c r="B1093" s="90" t="s">
        <v>184</v>
      </c>
      <c r="C1093" s="98" t="s">
        <v>2845</v>
      </c>
      <c r="D1093" s="92" t="s">
        <v>2854</v>
      </c>
      <c r="E1093" s="90" t="s">
        <v>16</v>
      </c>
      <c r="F1093" s="99">
        <v>54</v>
      </c>
      <c r="G1093" s="94">
        <v>32.32</v>
      </c>
      <c r="H1093" s="94">
        <v>8.4499999999999993</v>
      </c>
      <c r="I1093" s="95">
        <v>40.769999999999996</v>
      </c>
      <c r="J1093" s="95">
        <v>1745.28</v>
      </c>
      <c r="K1093" s="95">
        <v>456.29999999999995</v>
      </c>
      <c r="L1093" s="95">
        <v>2201.58</v>
      </c>
      <c r="M1093" s="96">
        <v>0.27529999999999999</v>
      </c>
      <c r="N1093" s="95">
        <v>41.22</v>
      </c>
      <c r="O1093" s="95">
        <v>10.78</v>
      </c>
      <c r="P1093" s="95">
        <v>52</v>
      </c>
      <c r="Q1093" s="95">
        <v>2225.88</v>
      </c>
      <c r="R1093" s="95">
        <v>582.12</v>
      </c>
      <c r="S1093" s="95">
        <v>2808</v>
      </c>
    </row>
    <row r="1094" spans="1:19" ht="15" x14ac:dyDescent="0.25">
      <c r="A1094" s="90" t="s">
        <v>2855</v>
      </c>
      <c r="B1094" s="90"/>
      <c r="C1094" s="98" t="s">
        <v>2856</v>
      </c>
      <c r="D1094" s="92"/>
      <c r="E1094" s="90"/>
      <c r="F1094" s="99"/>
      <c r="G1094" s="94"/>
      <c r="H1094" s="94"/>
      <c r="I1094" s="95"/>
      <c r="J1094" s="95"/>
      <c r="K1094" s="95"/>
      <c r="L1094" s="95"/>
      <c r="M1094" s="96">
        <v>0</v>
      </c>
      <c r="N1094" s="95"/>
      <c r="O1094" s="95"/>
      <c r="P1094" s="95"/>
      <c r="Q1094" s="95">
        <v>0</v>
      </c>
      <c r="R1094" s="95">
        <v>0</v>
      </c>
      <c r="S1094" s="95">
        <v>0</v>
      </c>
    </row>
    <row r="1095" spans="1:19" ht="15" x14ac:dyDescent="0.25">
      <c r="A1095" s="90" t="s">
        <v>2857</v>
      </c>
      <c r="B1095" s="90" t="s">
        <v>31</v>
      </c>
      <c r="C1095" s="98" t="s">
        <v>2529</v>
      </c>
      <c r="D1095" s="92" t="s">
        <v>2858</v>
      </c>
      <c r="E1095" s="90" t="s">
        <v>16</v>
      </c>
      <c r="F1095" s="99">
        <v>55</v>
      </c>
      <c r="G1095" s="94">
        <v>17.05</v>
      </c>
      <c r="H1095" s="94">
        <v>14.21</v>
      </c>
      <c r="I1095" s="95">
        <v>31.26</v>
      </c>
      <c r="J1095" s="95">
        <v>937.75</v>
      </c>
      <c r="K1095" s="95">
        <v>781.55</v>
      </c>
      <c r="L1095" s="95">
        <v>1719.3</v>
      </c>
      <c r="M1095" s="96">
        <v>0.27529999999999999</v>
      </c>
      <c r="N1095" s="95">
        <v>21.74</v>
      </c>
      <c r="O1095" s="95">
        <v>18.12</v>
      </c>
      <c r="P1095" s="95">
        <v>39.86</v>
      </c>
      <c r="Q1095" s="95">
        <v>1195.7</v>
      </c>
      <c r="R1095" s="95">
        <v>996.6</v>
      </c>
      <c r="S1095" s="95">
        <v>2192.3000000000002</v>
      </c>
    </row>
    <row r="1096" spans="1:19" ht="15" x14ac:dyDescent="0.25">
      <c r="A1096" s="90" t="s">
        <v>2859</v>
      </c>
      <c r="B1096" s="90" t="s">
        <v>31</v>
      </c>
      <c r="C1096" s="98" t="s">
        <v>2529</v>
      </c>
      <c r="D1096" s="92" t="s">
        <v>2860</v>
      </c>
      <c r="E1096" s="90" t="s">
        <v>16</v>
      </c>
      <c r="F1096" s="99">
        <v>716</v>
      </c>
      <c r="G1096" s="94">
        <v>17.05</v>
      </c>
      <c r="H1096" s="94">
        <v>14.21</v>
      </c>
      <c r="I1096" s="95">
        <v>31.26</v>
      </c>
      <c r="J1096" s="95">
        <v>12207.8</v>
      </c>
      <c r="K1096" s="95">
        <v>10174.36</v>
      </c>
      <c r="L1096" s="95">
        <v>22382.16</v>
      </c>
      <c r="M1096" s="96">
        <v>0.27529999999999999</v>
      </c>
      <c r="N1096" s="95">
        <v>21.74</v>
      </c>
      <c r="O1096" s="95">
        <v>18.12</v>
      </c>
      <c r="P1096" s="95">
        <v>39.86</v>
      </c>
      <c r="Q1096" s="95">
        <v>15565.84</v>
      </c>
      <c r="R1096" s="95">
        <v>12973.92</v>
      </c>
      <c r="S1096" s="95">
        <v>28539.760000000002</v>
      </c>
    </row>
    <row r="1097" spans="1:19" ht="15" x14ac:dyDescent="0.25">
      <c r="A1097" s="90" t="s">
        <v>2861</v>
      </c>
      <c r="B1097" s="90" t="s">
        <v>31</v>
      </c>
      <c r="C1097" s="98" t="s">
        <v>2523</v>
      </c>
      <c r="D1097" s="92" t="s">
        <v>2862</v>
      </c>
      <c r="E1097" s="90" t="s">
        <v>16</v>
      </c>
      <c r="F1097" s="99">
        <v>1</v>
      </c>
      <c r="G1097" s="94">
        <v>26.6</v>
      </c>
      <c r="H1097" s="94">
        <v>20.92</v>
      </c>
      <c r="I1097" s="95">
        <v>47.52</v>
      </c>
      <c r="J1097" s="95">
        <v>26.6</v>
      </c>
      <c r="K1097" s="95">
        <v>20.92</v>
      </c>
      <c r="L1097" s="95">
        <v>47.52</v>
      </c>
      <c r="M1097" s="96">
        <v>0.27529999999999999</v>
      </c>
      <c r="N1097" s="95">
        <v>33.92</v>
      </c>
      <c r="O1097" s="95">
        <v>26.68</v>
      </c>
      <c r="P1097" s="95">
        <v>60.6</v>
      </c>
      <c r="Q1097" s="95">
        <v>33.92</v>
      </c>
      <c r="R1097" s="95">
        <v>26.68</v>
      </c>
      <c r="S1097" s="95">
        <v>60.6</v>
      </c>
    </row>
    <row r="1098" spans="1:19" ht="15" x14ac:dyDescent="0.25">
      <c r="A1098" s="90" t="s">
        <v>2863</v>
      </c>
      <c r="B1098" s="90" t="s">
        <v>31</v>
      </c>
      <c r="C1098" s="98" t="s">
        <v>2523</v>
      </c>
      <c r="D1098" s="92" t="s">
        <v>2864</v>
      </c>
      <c r="E1098" s="90" t="s">
        <v>16</v>
      </c>
      <c r="F1098" s="99">
        <v>487</v>
      </c>
      <c r="G1098" s="94">
        <v>26.6</v>
      </c>
      <c r="H1098" s="94">
        <v>20.92</v>
      </c>
      <c r="I1098" s="95">
        <v>47.52</v>
      </c>
      <c r="J1098" s="95">
        <v>12954.2</v>
      </c>
      <c r="K1098" s="95">
        <v>10188.040000000001</v>
      </c>
      <c r="L1098" s="95">
        <v>23142.240000000002</v>
      </c>
      <c r="M1098" s="96">
        <v>0.27529999999999999</v>
      </c>
      <c r="N1098" s="95">
        <v>33.92</v>
      </c>
      <c r="O1098" s="95">
        <v>26.68</v>
      </c>
      <c r="P1098" s="95">
        <v>60.6</v>
      </c>
      <c r="Q1098" s="95">
        <v>16519.04</v>
      </c>
      <c r="R1098" s="95">
        <v>12993.16</v>
      </c>
      <c r="S1098" s="95">
        <v>29512.2</v>
      </c>
    </row>
    <row r="1099" spans="1:19" ht="15" x14ac:dyDescent="0.25">
      <c r="A1099" s="90" t="s">
        <v>2865</v>
      </c>
      <c r="B1099" s="90" t="s">
        <v>31</v>
      </c>
      <c r="C1099" s="98" t="s">
        <v>2526</v>
      </c>
      <c r="D1099" s="92" t="s">
        <v>2866</v>
      </c>
      <c r="E1099" s="90" t="s">
        <v>16</v>
      </c>
      <c r="F1099" s="99">
        <v>161</v>
      </c>
      <c r="G1099" s="94">
        <v>46.51</v>
      </c>
      <c r="H1099" s="94">
        <v>37.68</v>
      </c>
      <c r="I1099" s="95">
        <v>84.19</v>
      </c>
      <c r="J1099" s="95">
        <v>7488.11</v>
      </c>
      <c r="K1099" s="95">
        <v>6066.4800000000005</v>
      </c>
      <c r="L1099" s="95">
        <v>13554.59</v>
      </c>
      <c r="M1099" s="96">
        <v>0.27529999999999999</v>
      </c>
      <c r="N1099" s="95">
        <v>59.31</v>
      </c>
      <c r="O1099" s="95">
        <v>48.05</v>
      </c>
      <c r="P1099" s="95">
        <v>107.36</v>
      </c>
      <c r="Q1099" s="95">
        <v>9548.91</v>
      </c>
      <c r="R1099" s="95">
        <v>7736.05</v>
      </c>
      <c r="S1099" s="95">
        <v>17284.96</v>
      </c>
    </row>
    <row r="1100" spans="1:19" ht="15" x14ac:dyDescent="0.25">
      <c r="A1100" s="90" t="s">
        <v>2867</v>
      </c>
      <c r="B1100" s="90" t="s">
        <v>184</v>
      </c>
      <c r="C1100" s="98" t="s">
        <v>2868</v>
      </c>
      <c r="D1100" s="92" t="s">
        <v>2869</v>
      </c>
      <c r="E1100" s="90" t="s">
        <v>16</v>
      </c>
      <c r="F1100" s="99">
        <v>44</v>
      </c>
      <c r="G1100" s="94">
        <v>39.78</v>
      </c>
      <c r="H1100" s="94">
        <v>7.97</v>
      </c>
      <c r="I1100" s="95">
        <v>47.75</v>
      </c>
      <c r="J1100" s="95">
        <v>1750.32</v>
      </c>
      <c r="K1100" s="95">
        <v>350.68000000000006</v>
      </c>
      <c r="L1100" s="95">
        <v>2101</v>
      </c>
      <c r="M1100" s="96">
        <v>0.27529999999999999</v>
      </c>
      <c r="N1100" s="95">
        <v>50.73</v>
      </c>
      <c r="O1100" s="95">
        <v>10.16</v>
      </c>
      <c r="P1100" s="95">
        <v>60.89</v>
      </c>
      <c r="Q1100" s="95">
        <v>2232.12</v>
      </c>
      <c r="R1100" s="95">
        <v>447.04</v>
      </c>
      <c r="S1100" s="95">
        <v>2679.16</v>
      </c>
    </row>
    <row r="1101" spans="1:19" ht="15" x14ac:dyDescent="0.25">
      <c r="A1101" s="90" t="s">
        <v>2870</v>
      </c>
      <c r="B1101" s="90" t="s">
        <v>31</v>
      </c>
      <c r="C1101" s="98" t="s">
        <v>2871</v>
      </c>
      <c r="D1101" s="92" t="s">
        <v>2872</v>
      </c>
      <c r="E1101" s="90" t="s">
        <v>16</v>
      </c>
      <c r="F1101" s="99">
        <v>2</v>
      </c>
      <c r="G1101" s="94">
        <v>20.5</v>
      </c>
      <c r="H1101" s="94">
        <v>17.57</v>
      </c>
      <c r="I1101" s="95">
        <v>38.07</v>
      </c>
      <c r="J1101" s="95">
        <v>41</v>
      </c>
      <c r="K1101" s="95">
        <v>35.14</v>
      </c>
      <c r="L1101" s="95">
        <v>76.14</v>
      </c>
      <c r="M1101" s="96">
        <v>0.27529999999999999</v>
      </c>
      <c r="N1101" s="95">
        <v>26.14</v>
      </c>
      <c r="O1101" s="95">
        <v>22.41</v>
      </c>
      <c r="P1101" s="95">
        <v>48.55</v>
      </c>
      <c r="Q1101" s="95">
        <v>52.28</v>
      </c>
      <c r="R1101" s="95">
        <v>44.82</v>
      </c>
      <c r="S1101" s="95">
        <v>97.1</v>
      </c>
    </row>
    <row r="1102" spans="1:19" ht="15" x14ac:dyDescent="0.25">
      <c r="A1102" s="90" t="s">
        <v>2873</v>
      </c>
      <c r="B1102" s="90" t="s">
        <v>31</v>
      </c>
      <c r="C1102" s="98" t="s">
        <v>2874</v>
      </c>
      <c r="D1102" s="92" t="s">
        <v>2875</v>
      </c>
      <c r="E1102" s="90" t="s">
        <v>16</v>
      </c>
      <c r="F1102" s="99">
        <v>2</v>
      </c>
      <c r="G1102" s="94">
        <v>33.5</v>
      </c>
      <c r="H1102" s="94">
        <v>27.65</v>
      </c>
      <c r="I1102" s="95">
        <v>61.15</v>
      </c>
      <c r="J1102" s="95">
        <v>67</v>
      </c>
      <c r="K1102" s="95">
        <v>55.3</v>
      </c>
      <c r="L1102" s="95">
        <v>122.3</v>
      </c>
      <c r="M1102" s="96">
        <v>0.27529999999999999</v>
      </c>
      <c r="N1102" s="95">
        <v>42.72</v>
      </c>
      <c r="O1102" s="95">
        <v>35.26</v>
      </c>
      <c r="P1102" s="95">
        <v>77.97999999999999</v>
      </c>
      <c r="Q1102" s="95">
        <v>85.44</v>
      </c>
      <c r="R1102" s="95">
        <v>70.52</v>
      </c>
      <c r="S1102" s="95">
        <v>155.95999999999998</v>
      </c>
    </row>
    <row r="1103" spans="1:19" ht="15" x14ac:dyDescent="0.25">
      <c r="A1103" s="90" t="s">
        <v>2876</v>
      </c>
      <c r="B1103" s="90" t="s">
        <v>31</v>
      </c>
      <c r="C1103" s="98" t="s">
        <v>2871</v>
      </c>
      <c r="D1103" s="92" t="s">
        <v>2877</v>
      </c>
      <c r="E1103" s="90" t="s">
        <v>16</v>
      </c>
      <c r="F1103" s="99">
        <v>152</v>
      </c>
      <c r="G1103" s="94">
        <v>20.5</v>
      </c>
      <c r="H1103" s="94">
        <v>17.57</v>
      </c>
      <c r="I1103" s="95">
        <v>38.07</v>
      </c>
      <c r="J1103" s="95">
        <v>3116</v>
      </c>
      <c r="K1103" s="95">
        <v>2670.6400000000003</v>
      </c>
      <c r="L1103" s="95">
        <v>5786.64</v>
      </c>
      <c r="M1103" s="96">
        <v>0.27529999999999999</v>
      </c>
      <c r="N1103" s="95">
        <v>26.14</v>
      </c>
      <c r="O1103" s="95">
        <v>22.41</v>
      </c>
      <c r="P1103" s="95">
        <v>48.55</v>
      </c>
      <c r="Q1103" s="95">
        <v>3973.28</v>
      </c>
      <c r="R1103" s="95">
        <v>3406.32</v>
      </c>
      <c r="S1103" s="95">
        <v>7379.6</v>
      </c>
    </row>
    <row r="1104" spans="1:19" ht="15" x14ac:dyDescent="0.25">
      <c r="A1104" s="90" t="s">
        <v>2857</v>
      </c>
      <c r="B1104" s="90" t="s">
        <v>31</v>
      </c>
      <c r="C1104" s="98" t="s">
        <v>2878</v>
      </c>
      <c r="D1104" s="92" t="s">
        <v>2879</v>
      </c>
      <c r="E1104" s="90" t="s">
        <v>16</v>
      </c>
      <c r="F1104" s="99">
        <v>97</v>
      </c>
      <c r="G1104" s="94">
        <v>59.57</v>
      </c>
      <c r="H1104" s="94">
        <v>12.85</v>
      </c>
      <c r="I1104" s="95">
        <v>72.42</v>
      </c>
      <c r="J1104" s="95">
        <v>5778.29</v>
      </c>
      <c r="K1104" s="95">
        <v>1246.4499999999998</v>
      </c>
      <c r="L1104" s="95">
        <v>7024.74</v>
      </c>
      <c r="M1104" s="96">
        <v>0.27529999999999999</v>
      </c>
      <c r="N1104" s="95">
        <v>75.97</v>
      </c>
      <c r="O1104" s="95">
        <v>16.39</v>
      </c>
      <c r="P1104" s="95">
        <v>92.36</v>
      </c>
      <c r="Q1104" s="95">
        <v>7369.09</v>
      </c>
      <c r="R1104" s="95">
        <v>1589.83</v>
      </c>
      <c r="S1104" s="95">
        <v>8958.92</v>
      </c>
    </row>
    <row r="1105" spans="1:19" ht="15" x14ac:dyDescent="0.25">
      <c r="A1105" s="90" t="s">
        <v>2857</v>
      </c>
      <c r="B1105" s="90" t="s">
        <v>31</v>
      </c>
      <c r="C1105" s="98" t="s">
        <v>2880</v>
      </c>
      <c r="D1105" s="92" t="s">
        <v>2881</v>
      </c>
      <c r="E1105" s="90" t="s">
        <v>16</v>
      </c>
      <c r="F1105" s="99">
        <v>8</v>
      </c>
      <c r="G1105" s="94">
        <v>35.46</v>
      </c>
      <c r="H1105" s="94">
        <v>0</v>
      </c>
      <c r="I1105" s="95">
        <v>35.46</v>
      </c>
      <c r="J1105" s="95">
        <v>283.68</v>
      </c>
      <c r="K1105" s="95">
        <v>0</v>
      </c>
      <c r="L1105" s="95">
        <v>283.68</v>
      </c>
      <c r="M1105" s="96">
        <v>0.27529999999999999</v>
      </c>
      <c r="N1105" s="95">
        <v>45.22</v>
      </c>
      <c r="O1105" s="95">
        <v>0</v>
      </c>
      <c r="P1105" s="95">
        <v>45.22</v>
      </c>
      <c r="Q1105" s="95">
        <v>361.76</v>
      </c>
      <c r="R1105" s="95">
        <v>0</v>
      </c>
      <c r="S1105" s="95">
        <v>361.76</v>
      </c>
    </row>
    <row r="1106" spans="1:19" ht="15" x14ac:dyDescent="0.25">
      <c r="A1106" s="90" t="s">
        <v>2882</v>
      </c>
      <c r="B1106" s="90"/>
      <c r="C1106" s="98" t="s">
        <v>2883</v>
      </c>
      <c r="D1106" s="92"/>
      <c r="E1106" s="90"/>
      <c r="F1106" s="99"/>
      <c r="G1106" s="94"/>
      <c r="H1106" s="94"/>
      <c r="I1106" s="95"/>
      <c r="J1106" s="95"/>
      <c r="K1106" s="95"/>
      <c r="L1106" s="95"/>
      <c r="M1106" s="96">
        <v>0</v>
      </c>
      <c r="N1106" s="95"/>
      <c r="O1106" s="95"/>
      <c r="P1106" s="95"/>
      <c r="Q1106" s="95">
        <v>0</v>
      </c>
      <c r="R1106" s="95">
        <v>0</v>
      </c>
      <c r="S1106" s="95">
        <v>0</v>
      </c>
    </row>
    <row r="1107" spans="1:19" ht="15" x14ac:dyDescent="0.25">
      <c r="A1107" s="90" t="s">
        <v>2884</v>
      </c>
      <c r="B1107" s="90" t="s">
        <v>382</v>
      </c>
      <c r="C1107" s="98" t="s">
        <v>2885</v>
      </c>
      <c r="D1107" s="92" t="s">
        <v>2886</v>
      </c>
      <c r="E1107" s="90" t="s">
        <v>16</v>
      </c>
      <c r="F1107" s="99">
        <v>12</v>
      </c>
      <c r="G1107" s="94">
        <v>225.84</v>
      </c>
      <c r="H1107" s="94">
        <v>43.46</v>
      </c>
      <c r="I1107" s="95">
        <v>269.3</v>
      </c>
      <c r="J1107" s="95">
        <v>2710.08</v>
      </c>
      <c r="K1107" s="95">
        <v>521.52</v>
      </c>
      <c r="L1107" s="95">
        <v>3231.6</v>
      </c>
      <c r="M1107" s="96">
        <v>0.27529999999999999</v>
      </c>
      <c r="N1107" s="95">
        <v>288.01</v>
      </c>
      <c r="O1107" s="95">
        <v>55.42</v>
      </c>
      <c r="P1107" s="95">
        <v>343.43</v>
      </c>
      <c r="Q1107" s="95">
        <v>3456.12</v>
      </c>
      <c r="R1107" s="95">
        <v>665.04</v>
      </c>
      <c r="S1107" s="95">
        <v>4121.16</v>
      </c>
    </row>
    <row r="1108" spans="1:19" ht="15" x14ac:dyDescent="0.25">
      <c r="A1108" s="90" t="s">
        <v>2887</v>
      </c>
      <c r="B1108" s="90" t="s">
        <v>382</v>
      </c>
      <c r="C1108" s="98" t="s">
        <v>2888</v>
      </c>
      <c r="D1108" s="92" t="s">
        <v>2889</v>
      </c>
      <c r="E1108" s="90" t="s">
        <v>16</v>
      </c>
      <c r="F1108" s="99">
        <v>301</v>
      </c>
      <c r="G1108" s="94">
        <v>142.93</v>
      </c>
      <c r="H1108" s="94">
        <v>43.46</v>
      </c>
      <c r="I1108" s="95">
        <v>186.39000000000001</v>
      </c>
      <c r="J1108" s="95">
        <v>43021.93</v>
      </c>
      <c r="K1108" s="95">
        <v>13081.46</v>
      </c>
      <c r="L1108" s="95">
        <v>56103.39</v>
      </c>
      <c r="M1108" s="96">
        <v>0.27529999999999999</v>
      </c>
      <c r="N1108" s="95">
        <v>182.28</v>
      </c>
      <c r="O1108" s="95">
        <v>55.42</v>
      </c>
      <c r="P1108" s="95">
        <v>237.7</v>
      </c>
      <c r="Q1108" s="95">
        <v>54866.28</v>
      </c>
      <c r="R1108" s="95">
        <v>16681.419999999998</v>
      </c>
      <c r="S1108" s="95">
        <v>71547.7</v>
      </c>
    </row>
    <row r="1109" spans="1:19" ht="15" x14ac:dyDescent="0.25">
      <c r="A1109" s="90" t="s">
        <v>2890</v>
      </c>
      <c r="B1109" s="90" t="s">
        <v>31</v>
      </c>
      <c r="C1109" s="98" t="s">
        <v>2549</v>
      </c>
      <c r="D1109" s="92" t="s">
        <v>2891</v>
      </c>
      <c r="E1109" s="90" t="s">
        <v>16</v>
      </c>
      <c r="F1109" s="99">
        <v>435</v>
      </c>
      <c r="G1109" s="94">
        <v>91.01</v>
      </c>
      <c r="H1109" s="94">
        <v>16.079999999999998</v>
      </c>
      <c r="I1109" s="95">
        <v>107.09</v>
      </c>
      <c r="J1109" s="95">
        <v>39589.35</v>
      </c>
      <c r="K1109" s="95">
        <v>6994.8000000000029</v>
      </c>
      <c r="L1109" s="95">
        <v>46584.15</v>
      </c>
      <c r="M1109" s="96">
        <v>0.27529999999999999</v>
      </c>
      <c r="N1109" s="95">
        <v>116.07</v>
      </c>
      <c r="O1109" s="95">
        <v>20.51</v>
      </c>
      <c r="P1109" s="95">
        <v>136.57999999999998</v>
      </c>
      <c r="Q1109" s="95">
        <v>50490.45</v>
      </c>
      <c r="R1109" s="95">
        <v>8921.85</v>
      </c>
      <c r="S1109" s="95">
        <v>59412.299999999996</v>
      </c>
    </row>
    <row r="1110" spans="1:19" ht="15" x14ac:dyDescent="0.25">
      <c r="A1110" s="90" t="s">
        <v>2892</v>
      </c>
      <c r="B1110" s="90" t="s">
        <v>382</v>
      </c>
      <c r="C1110" s="98" t="s">
        <v>2893</v>
      </c>
      <c r="D1110" s="92" t="s">
        <v>2894</v>
      </c>
      <c r="E1110" s="90" t="s">
        <v>16</v>
      </c>
      <c r="F1110" s="99">
        <v>237</v>
      </c>
      <c r="G1110" s="94">
        <v>15.62</v>
      </c>
      <c r="H1110" s="94">
        <v>3.37</v>
      </c>
      <c r="I1110" s="95">
        <v>18.989999999999998</v>
      </c>
      <c r="J1110" s="95">
        <v>3701.94</v>
      </c>
      <c r="K1110" s="95">
        <v>798.69</v>
      </c>
      <c r="L1110" s="95">
        <v>4500.63</v>
      </c>
      <c r="M1110" s="96">
        <v>0.27529999999999999</v>
      </c>
      <c r="N1110" s="95">
        <v>19.920000000000002</v>
      </c>
      <c r="O1110" s="95">
        <v>4.3</v>
      </c>
      <c r="P1110" s="95">
        <v>24.220000000000002</v>
      </c>
      <c r="Q1110" s="95">
        <v>4721.04</v>
      </c>
      <c r="R1110" s="95">
        <v>1019.1</v>
      </c>
      <c r="S1110" s="95">
        <v>5740.14</v>
      </c>
    </row>
    <row r="1111" spans="1:19" ht="15" x14ac:dyDescent="0.25">
      <c r="A1111" s="90" t="s">
        <v>2895</v>
      </c>
      <c r="B1111" s="90" t="s">
        <v>100</v>
      </c>
      <c r="C1111" s="98" t="s">
        <v>2896</v>
      </c>
      <c r="D1111" s="92" t="s">
        <v>2897</v>
      </c>
      <c r="E1111" s="90" t="s">
        <v>16</v>
      </c>
      <c r="F1111" s="99">
        <v>198</v>
      </c>
      <c r="G1111" s="94">
        <v>12.56</v>
      </c>
      <c r="H1111" s="94">
        <v>6.26</v>
      </c>
      <c r="I1111" s="95">
        <v>18.82</v>
      </c>
      <c r="J1111" s="95">
        <v>2486.88</v>
      </c>
      <c r="K1111" s="95">
        <v>1239.48</v>
      </c>
      <c r="L1111" s="95">
        <v>3726.36</v>
      </c>
      <c r="M1111" s="96">
        <v>0.27529999999999999</v>
      </c>
      <c r="N1111" s="95">
        <v>16.02</v>
      </c>
      <c r="O1111" s="95">
        <v>7.98</v>
      </c>
      <c r="P1111" s="95">
        <v>24</v>
      </c>
      <c r="Q1111" s="95">
        <v>3171.96</v>
      </c>
      <c r="R1111" s="95">
        <v>1580.04</v>
      </c>
      <c r="S1111" s="95">
        <v>4752</v>
      </c>
    </row>
    <row r="1112" spans="1:19" ht="15" x14ac:dyDescent="0.25">
      <c r="A1112" s="90" t="s">
        <v>2898</v>
      </c>
      <c r="B1112" s="90" t="s">
        <v>184</v>
      </c>
      <c r="C1112" s="98" t="s">
        <v>2899</v>
      </c>
      <c r="D1112" s="92" t="s">
        <v>2900</v>
      </c>
      <c r="E1112" s="90" t="s">
        <v>16</v>
      </c>
      <c r="F1112" s="99">
        <v>246</v>
      </c>
      <c r="G1112" s="94">
        <v>122.89</v>
      </c>
      <c r="H1112" s="94">
        <v>26.57</v>
      </c>
      <c r="I1112" s="95">
        <v>149.46</v>
      </c>
      <c r="J1112" s="95">
        <v>30230.94</v>
      </c>
      <c r="K1112" s="95">
        <v>6536.2200000000048</v>
      </c>
      <c r="L1112" s="95">
        <v>36767.160000000003</v>
      </c>
      <c r="M1112" s="96">
        <v>0.27529999999999999</v>
      </c>
      <c r="N1112" s="95">
        <v>156.72</v>
      </c>
      <c r="O1112" s="95">
        <v>33.880000000000003</v>
      </c>
      <c r="P1112" s="95">
        <v>190.6</v>
      </c>
      <c r="Q1112" s="95">
        <v>38553.120000000003</v>
      </c>
      <c r="R1112" s="95">
        <v>8334.48</v>
      </c>
      <c r="S1112" s="95">
        <v>46887.600000000006</v>
      </c>
    </row>
    <row r="1113" spans="1:19" ht="15" x14ac:dyDescent="0.25">
      <c r="A1113" s="90" t="s">
        <v>2901</v>
      </c>
      <c r="B1113" s="90" t="s">
        <v>2902</v>
      </c>
      <c r="C1113" s="98" t="s">
        <v>2903</v>
      </c>
      <c r="D1113" s="92" t="s">
        <v>2904</v>
      </c>
      <c r="E1113" s="90" t="s">
        <v>16</v>
      </c>
      <c r="F1113" s="99">
        <v>5734</v>
      </c>
      <c r="G1113" s="94">
        <v>120.68</v>
      </c>
      <c r="H1113" s="94">
        <v>18.25</v>
      </c>
      <c r="I1113" s="95">
        <v>138.93</v>
      </c>
      <c r="J1113" s="95">
        <v>691979.12</v>
      </c>
      <c r="K1113" s="95">
        <v>104645.5</v>
      </c>
      <c r="L1113" s="95">
        <v>796624.62</v>
      </c>
      <c r="M1113" s="96">
        <v>0.27529999999999999</v>
      </c>
      <c r="N1113" s="95">
        <v>153.9</v>
      </c>
      <c r="O1113" s="95">
        <v>23.27</v>
      </c>
      <c r="P1113" s="95">
        <v>177.17000000000002</v>
      </c>
      <c r="Q1113" s="95">
        <v>882462.6</v>
      </c>
      <c r="R1113" s="95">
        <v>133430.18</v>
      </c>
      <c r="S1113" s="95">
        <v>1015892.78</v>
      </c>
    </row>
    <row r="1114" spans="1:19" ht="15" x14ac:dyDescent="0.25">
      <c r="A1114" s="90" t="s">
        <v>2905</v>
      </c>
      <c r="B1114" s="90" t="s">
        <v>488</v>
      </c>
      <c r="C1114" s="98" t="s">
        <v>2906</v>
      </c>
      <c r="D1114" s="92" t="s">
        <v>2907</v>
      </c>
      <c r="E1114" s="90" t="s">
        <v>16</v>
      </c>
      <c r="F1114" s="99">
        <v>180</v>
      </c>
      <c r="G1114" s="94">
        <v>200.67</v>
      </c>
      <c r="H1114" s="94">
        <v>0</v>
      </c>
      <c r="I1114" s="95">
        <v>200.67</v>
      </c>
      <c r="J1114" s="95">
        <v>36120.6</v>
      </c>
      <c r="K1114" s="95">
        <v>0</v>
      </c>
      <c r="L1114" s="95">
        <v>36120.6</v>
      </c>
      <c r="M1114" s="96">
        <v>0.27529999999999999</v>
      </c>
      <c r="N1114" s="95">
        <v>255.91</v>
      </c>
      <c r="O1114" s="95">
        <v>0</v>
      </c>
      <c r="P1114" s="95">
        <v>255.91</v>
      </c>
      <c r="Q1114" s="95">
        <v>46063.8</v>
      </c>
      <c r="R1114" s="95">
        <v>0</v>
      </c>
      <c r="S1114" s="95">
        <v>46063.8</v>
      </c>
    </row>
    <row r="1115" spans="1:19" ht="15" x14ac:dyDescent="0.25">
      <c r="A1115" s="90" t="s">
        <v>2908</v>
      </c>
      <c r="B1115" s="90" t="s">
        <v>622</v>
      </c>
      <c r="C1115" s="98" t="s">
        <v>2909</v>
      </c>
      <c r="D1115" s="92" t="s">
        <v>2910</v>
      </c>
      <c r="E1115" s="90" t="s">
        <v>16</v>
      </c>
      <c r="F1115" s="99">
        <v>183</v>
      </c>
      <c r="G1115" s="94">
        <v>236.58</v>
      </c>
      <c r="H1115" s="94">
        <v>39.5</v>
      </c>
      <c r="I1115" s="95">
        <v>276.08000000000004</v>
      </c>
      <c r="J1115" s="95">
        <v>43294.14</v>
      </c>
      <c r="K1115" s="95">
        <v>7228.5</v>
      </c>
      <c r="L1115" s="95">
        <v>50522.64</v>
      </c>
      <c r="M1115" s="96">
        <v>0.27529999999999999</v>
      </c>
      <c r="N1115" s="95">
        <v>301.70999999999998</v>
      </c>
      <c r="O1115" s="95">
        <v>50.37</v>
      </c>
      <c r="P1115" s="95">
        <v>352.08</v>
      </c>
      <c r="Q1115" s="95">
        <v>55212.93</v>
      </c>
      <c r="R1115" s="95">
        <v>9217.7099999999991</v>
      </c>
      <c r="S1115" s="95">
        <v>64430.64</v>
      </c>
    </row>
    <row r="1116" spans="1:19" ht="15" x14ac:dyDescent="0.25">
      <c r="A1116" s="90" t="s">
        <v>2884</v>
      </c>
      <c r="B1116" s="90" t="s">
        <v>1802</v>
      </c>
      <c r="C1116" s="98" t="s">
        <v>2911</v>
      </c>
      <c r="D1116" s="92" t="s">
        <v>2912</v>
      </c>
      <c r="E1116" s="90" t="s">
        <v>16</v>
      </c>
      <c r="F1116" s="99">
        <v>80</v>
      </c>
      <c r="G1116" s="94">
        <v>34.369999999999997</v>
      </c>
      <c r="H1116" s="94">
        <v>17.84</v>
      </c>
      <c r="I1116" s="95">
        <v>52.209999999999994</v>
      </c>
      <c r="J1116" s="95">
        <v>2749.6</v>
      </c>
      <c r="K1116" s="95">
        <v>1427.2000000000003</v>
      </c>
      <c r="L1116" s="95">
        <v>4176.8</v>
      </c>
      <c r="M1116" s="96">
        <v>0.27529999999999999</v>
      </c>
      <c r="N1116" s="95">
        <v>43.83</v>
      </c>
      <c r="O1116" s="95">
        <v>22.75</v>
      </c>
      <c r="P1116" s="95">
        <v>66.58</v>
      </c>
      <c r="Q1116" s="95">
        <v>3506.4</v>
      </c>
      <c r="R1116" s="95">
        <v>1820</v>
      </c>
      <c r="S1116" s="95">
        <v>5326.4</v>
      </c>
    </row>
    <row r="1117" spans="1:19" ht="15" x14ac:dyDescent="0.25">
      <c r="A1117" s="90" t="s">
        <v>2884</v>
      </c>
      <c r="B1117" s="90" t="s">
        <v>1802</v>
      </c>
      <c r="C1117" s="98" t="s">
        <v>2911</v>
      </c>
      <c r="D1117" s="92" t="s">
        <v>2913</v>
      </c>
      <c r="E1117" s="90" t="s">
        <v>16</v>
      </c>
      <c r="F1117" s="99">
        <v>1485</v>
      </c>
      <c r="G1117" s="94">
        <v>34.369999999999997</v>
      </c>
      <c r="H1117" s="94">
        <v>17.84</v>
      </c>
      <c r="I1117" s="95">
        <v>52.209999999999994</v>
      </c>
      <c r="J1117" s="95">
        <v>51039.45</v>
      </c>
      <c r="K1117" s="95">
        <v>26492.400000000009</v>
      </c>
      <c r="L1117" s="95">
        <v>77531.850000000006</v>
      </c>
      <c r="M1117" s="96">
        <v>0.27529999999999999</v>
      </c>
      <c r="N1117" s="95">
        <v>43.83</v>
      </c>
      <c r="O1117" s="95">
        <v>22.75</v>
      </c>
      <c r="P1117" s="95">
        <v>66.58</v>
      </c>
      <c r="Q1117" s="95">
        <v>65087.55</v>
      </c>
      <c r="R1117" s="95">
        <v>33783.75</v>
      </c>
      <c r="S1117" s="95">
        <v>98871.3</v>
      </c>
    </row>
    <row r="1118" spans="1:19" ht="15" x14ac:dyDescent="0.25">
      <c r="A1118" s="90" t="s">
        <v>2884</v>
      </c>
      <c r="B1118" s="90" t="s">
        <v>45</v>
      </c>
      <c r="C1118" s="98" t="s">
        <v>2914</v>
      </c>
      <c r="D1118" s="92" t="s">
        <v>2915</v>
      </c>
      <c r="E1118" s="90" t="s">
        <v>16</v>
      </c>
      <c r="F1118" s="99">
        <v>700</v>
      </c>
      <c r="G1118" s="94">
        <v>157.18</v>
      </c>
      <c r="H1118" s="94">
        <v>1.94</v>
      </c>
      <c r="I1118" s="95">
        <v>159.12</v>
      </c>
      <c r="J1118" s="95">
        <v>110026</v>
      </c>
      <c r="K1118" s="95">
        <v>1358</v>
      </c>
      <c r="L1118" s="95">
        <v>111384</v>
      </c>
      <c r="M1118" s="96">
        <v>0.27529999999999999</v>
      </c>
      <c r="N1118" s="95">
        <v>200.45</v>
      </c>
      <c r="O1118" s="95">
        <v>2.4700000000000002</v>
      </c>
      <c r="P1118" s="95">
        <v>202.92</v>
      </c>
      <c r="Q1118" s="95">
        <v>140315</v>
      </c>
      <c r="R1118" s="95">
        <v>1729</v>
      </c>
      <c r="S1118" s="95">
        <v>142044</v>
      </c>
    </row>
    <row r="1119" spans="1:19" ht="15" x14ac:dyDescent="0.25">
      <c r="A1119" s="90" t="s">
        <v>2884</v>
      </c>
      <c r="B1119" s="90" t="s">
        <v>31</v>
      </c>
      <c r="C1119" s="98" t="s">
        <v>2549</v>
      </c>
      <c r="D1119" s="92" t="s">
        <v>2916</v>
      </c>
      <c r="E1119" s="90" t="s">
        <v>16</v>
      </c>
      <c r="F1119" s="99">
        <v>150</v>
      </c>
      <c r="G1119" s="94">
        <v>91.01</v>
      </c>
      <c r="H1119" s="94">
        <v>16.079999999999998</v>
      </c>
      <c r="I1119" s="95">
        <v>107.09</v>
      </c>
      <c r="J1119" s="95">
        <v>13651.5</v>
      </c>
      <c r="K1119" s="95">
        <v>2412</v>
      </c>
      <c r="L1119" s="95">
        <v>16063.5</v>
      </c>
      <c r="M1119" s="96">
        <v>0.27529999999999999</v>
      </c>
      <c r="N1119" s="95">
        <v>116.07</v>
      </c>
      <c r="O1119" s="95">
        <v>20.51</v>
      </c>
      <c r="P1119" s="95">
        <v>136.57999999999998</v>
      </c>
      <c r="Q1119" s="95">
        <v>17410.5</v>
      </c>
      <c r="R1119" s="95">
        <v>3076.5</v>
      </c>
      <c r="S1119" s="95">
        <v>20487</v>
      </c>
    </row>
    <row r="1120" spans="1:19" ht="15" x14ac:dyDescent="0.25">
      <c r="A1120" s="90" t="s">
        <v>2884</v>
      </c>
      <c r="B1120" s="90" t="s">
        <v>31</v>
      </c>
      <c r="C1120" s="98" t="s">
        <v>2917</v>
      </c>
      <c r="D1120" s="92" t="s">
        <v>2918</v>
      </c>
      <c r="E1120" s="90" t="s">
        <v>16</v>
      </c>
      <c r="F1120" s="99">
        <v>150</v>
      </c>
      <c r="G1120" s="94">
        <v>8.6</v>
      </c>
      <c r="H1120" s="94">
        <v>4.54</v>
      </c>
      <c r="I1120" s="95">
        <v>13.14</v>
      </c>
      <c r="J1120" s="95">
        <v>1290</v>
      </c>
      <c r="K1120" s="95">
        <v>681</v>
      </c>
      <c r="L1120" s="95">
        <v>1971</v>
      </c>
      <c r="M1120" s="96">
        <v>0.27529999999999999</v>
      </c>
      <c r="N1120" s="95">
        <v>10.97</v>
      </c>
      <c r="O1120" s="95">
        <v>5.79</v>
      </c>
      <c r="P1120" s="95">
        <v>16.760000000000002</v>
      </c>
      <c r="Q1120" s="95">
        <v>1645.5</v>
      </c>
      <c r="R1120" s="95">
        <v>868.5</v>
      </c>
      <c r="S1120" s="95">
        <v>2514</v>
      </c>
    </row>
    <row r="1121" spans="1:19" ht="25.5" x14ac:dyDescent="0.25">
      <c r="A1121" s="90" t="s">
        <v>2884</v>
      </c>
      <c r="B1121" s="90" t="s">
        <v>184</v>
      </c>
      <c r="C1121" s="98" t="s">
        <v>2919</v>
      </c>
      <c r="D1121" s="92" t="s">
        <v>2920</v>
      </c>
      <c r="E1121" s="90" t="s">
        <v>16</v>
      </c>
      <c r="F1121" s="99">
        <v>304</v>
      </c>
      <c r="G1121" s="94">
        <v>117.47</v>
      </c>
      <c r="H1121" s="94">
        <v>22.77</v>
      </c>
      <c r="I1121" s="95">
        <v>140.24</v>
      </c>
      <c r="J1121" s="95">
        <v>35710.879999999997</v>
      </c>
      <c r="K1121" s="95">
        <v>6922.0800000000017</v>
      </c>
      <c r="L1121" s="95">
        <v>42632.959999999999</v>
      </c>
      <c r="M1121" s="96">
        <v>0.27529999999999999</v>
      </c>
      <c r="N1121" s="95">
        <v>149.81</v>
      </c>
      <c r="O1121" s="95">
        <v>29.04</v>
      </c>
      <c r="P1121" s="95">
        <v>178.85</v>
      </c>
      <c r="Q1121" s="95">
        <v>45542.239999999998</v>
      </c>
      <c r="R1121" s="95">
        <v>8828.16</v>
      </c>
      <c r="S1121" s="95">
        <v>54370.399999999994</v>
      </c>
    </row>
    <row r="1122" spans="1:19" ht="15" x14ac:dyDescent="0.25">
      <c r="A1122" s="90" t="s">
        <v>2884</v>
      </c>
      <c r="B1122" s="90" t="s">
        <v>45</v>
      </c>
      <c r="C1122" s="98" t="s">
        <v>2921</v>
      </c>
      <c r="D1122" s="92" t="s">
        <v>2922</v>
      </c>
      <c r="E1122" s="90" t="s">
        <v>16</v>
      </c>
      <c r="F1122" s="99">
        <v>608</v>
      </c>
      <c r="G1122" s="94">
        <v>21.55</v>
      </c>
      <c r="H1122" s="94">
        <v>0</v>
      </c>
      <c r="I1122" s="95">
        <v>21.55</v>
      </c>
      <c r="J1122" s="95">
        <v>13102.4</v>
      </c>
      <c r="K1122" s="95">
        <v>0</v>
      </c>
      <c r="L1122" s="95">
        <v>13102.4</v>
      </c>
      <c r="M1122" s="96">
        <v>0.27529999999999999</v>
      </c>
      <c r="N1122" s="95">
        <v>27.48</v>
      </c>
      <c r="O1122" s="95">
        <v>0</v>
      </c>
      <c r="P1122" s="95">
        <v>27.48</v>
      </c>
      <c r="Q1122" s="95">
        <v>16707.84</v>
      </c>
      <c r="R1122" s="95">
        <v>0</v>
      </c>
      <c r="S1122" s="95">
        <v>16707.84</v>
      </c>
    </row>
    <row r="1123" spans="1:19" ht="15" x14ac:dyDescent="0.25">
      <c r="A1123" s="90" t="s">
        <v>2923</v>
      </c>
      <c r="B1123" s="90"/>
      <c r="C1123" s="91" t="s">
        <v>2924</v>
      </c>
      <c r="D1123" s="92"/>
      <c r="E1123" s="90"/>
      <c r="F1123" s="99"/>
      <c r="G1123" s="94"/>
      <c r="H1123" s="94"/>
      <c r="I1123" s="95"/>
      <c r="J1123" s="95"/>
      <c r="K1123" s="95"/>
      <c r="L1123" s="95"/>
      <c r="M1123" s="96">
        <v>0</v>
      </c>
      <c r="N1123" s="95"/>
      <c r="O1123" s="95"/>
      <c r="P1123" s="95"/>
      <c r="Q1123" s="95">
        <v>0</v>
      </c>
      <c r="R1123" s="95">
        <v>0</v>
      </c>
      <c r="S1123" s="95">
        <v>0</v>
      </c>
    </row>
    <row r="1124" spans="1:19" ht="15" x14ac:dyDescent="0.25">
      <c r="A1124" s="90" t="s">
        <v>2925</v>
      </c>
      <c r="B1124" s="90" t="s">
        <v>31</v>
      </c>
      <c r="C1124" s="98" t="s">
        <v>2926</v>
      </c>
      <c r="D1124" s="92" t="s">
        <v>2927</v>
      </c>
      <c r="E1124" s="90" t="s">
        <v>93</v>
      </c>
      <c r="F1124" s="99">
        <v>800</v>
      </c>
      <c r="G1124" s="94">
        <v>4.3099999999999996</v>
      </c>
      <c r="H1124" s="94">
        <v>1.1399999999999999</v>
      </c>
      <c r="I1124" s="95">
        <v>5.4499999999999993</v>
      </c>
      <c r="J1124" s="95">
        <v>3448</v>
      </c>
      <c r="K1124" s="95">
        <v>912</v>
      </c>
      <c r="L1124" s="95">
        <v>4360</v>
      </c>
      <c r="M1124" s="96">
        <v>0.27529999999999999</v>
      </c>
      <c r="N1124" s="95">
        <v>5.5</v>
      </c>
      <c r="O1124" s="95">
        <v>1.45</v>
      </c>
      <c r="P1124" s="95">
        <v>6.95</v>
      </c>
      <c r="Q1124" s="95">
        <v>4400</v>
      </c>
      <c r="R1124" s="95">
        <v>1160</v>
      </c>
      <c r="S1124" s="95">
        <v>5560</v>
      </c>
    </row>
    <row r="1125" spans="1:19" ht="15" x14ac:dyDescent="0.25">
      <c r="A1125" s="90" t="s">
        <v>2928</v>
      </c>
      <c r="B1125" s="90" t="s">
        <v>31</v>
      </c>
      <c r="C1125" s="98" t="s">
        <v>2929</v>
      </c>
      <c r="D1125" s="92" t="s">
        <v>2930</v>
      </c>
      <c r="E1125" s="90" t="s">
        <v>93</v>
      </c>
      <c r="F1125" s="99">
        <v>0</v>
      </c>
      <c r="G1125" s="94">
        <v>6.52</v>
      </c>
      <c r="H1125" s="94">
        <v>1.53</v>
      </c>
      <c r="I1125" s="95">
        <v>8.0499999999999989</v>
      </c>
      <c r="J1125" s="95">
        <v>0</v>
      </c>
      <c r="K1125" s="95">
        <v>0</v>
      </c>
      <c r="L1125" s="95">
        <v>0</v>
      </c>
      <c r="M1125" s="96">
        <v>0.27529999999999999</v>
      </c>
      <c r="N1125" s="95">
        <v>8.31</v>
      </c>
      <c r="O1125" s="95">
        <v>1.95</v>
      </c>
      <c r="P1125" s="95">
        <v>10.26</v>
      </c>
      <c r="Q1125" s="95">
        <v>0</v>
      </c>
      <c r="R1125" s="95">
        <v>0</v>
      </c>
      <c r="S1125" s="95">
        <v>0</v>
      </c>
    </row>
    <row r="1126" spans="1:19" ht="15" x14ac:dyDescent="0.25">
      <c r="A1126" s="90" t="s">
        <v>2931</v>
      </c>
      <c r="B1126" s="90" t="s">
        <v>31</v>
      </c>
      <c r="C1126" s="98" t="s">
        <v>2932</v>
      </c>
      <c r="D1126" s="92" t="s">
        <v>2933</v>
      </c>
      <c r="E1126" s="90" t="s">
        <v>93</v>
      </c>
      <c r="F1126" s="99">
        <v>125</v>
      </c>
      <c r="G1126" s="94">
        <v>9.3800000000000008</v>
      </c>
      <c r="H1126" s="94">
        <v>2</v>
      </c>
      <c r="I1126" s="95">
        <v>11.38</v>
      </c>
      <c r="J1126" s="95">
        <v>1172.5</v>
      </c>
      <c r="K1126" s="95">
        <v>250</v>
      </c>
      <c r="L1126" s="95">
        <v>1422.5</v>
      </c>
      <c r="M1126" s="96">
        <v>0.27529999999999999</v>
      </c>
      <c r="N1126" s="95">
        <v>11.96</v>
      </c>
      <c r="O1126" s="95">
        <v>2.5499999999999998</v>
      </c>
      <c r="P1126" s="95">
        <v>14.510000000000002</v>
      </c>
      <c r="Q1126" s="95">
        <v>1495</v>
      </c>
      <c r="R1126" s="95">
        <v>318.75</v>
      </c>
      <c r="S1126" s="95">
        <v>1813.75</v>
      </c>
    </row>
    <row r="1127" spans="1:19" ht="15" x14ac:dyDescent="0.25">
      <c r="A1127" s="90" t="s">
        <v>2934</v>
      </c>
      <c r="B1127" s="90" t="s">
        <v>31</v>
      </c>
      <c r="C1127" s="98" t="s">
        <v>2935</v>
      </c>
      <c r="D1127" s="92" t="s">
        <v>2936</v>
      </c>
      <c r="E1127" s="90" t="s">
        <v>93</v>
      </c>
      <c r="F1127" s="99">
        <v>3840</v>
      </c>
      <c r="G1127" s="94">
        <v>15.23</v>
      </c>
      <c r="H1127" s="94">
        <v>2.99</v>
      </c>
      <c r="I1127" s="95">
        <v>18.22</v>
      </c>
      <c r="J1127" s="95">
        <v>58483.199999999997</v>
      </c>
      <c r="K1127" s="95">
        <v>11481.600000000006</v>
      </c>
      <c r="L1127" s="95">
        <v>69964.800000000003</v>
      </c>
      <c r="M1127" s="96">
        <v>0.27529999999999999</v>
      </c>
      <c r="N1127" s="95">
        <v>19.420000000000002</v>
      </c>
      <c r="O1127" s="95">
        <v>3.81</v>
      </c>
      <c r="P1127" s="95">
        <v>23.23</v>
      </c>
      <c r="Q1127" s="95">
        <v>74572.800000000003</v>
      </c>
      <c r="R1127" s="95">
        <v>14630.4</v>
      </c>
      <c r="S1127" s="95">
        <v>89203.199999999997</v>
      </c>
    </row>
    <row r="1128" spans="1:19" ht="15" x14ac:dyDescent="0.25">
      <c r="A1128" s="90" t="s">
        <v>2937</v>
      </c>
      <c r="B1128" s="90" t="s">
        <v>31</v>
      </c>
      <c r="C1128" s="98" t="s">
        <v>2938</v>
      </c>
      <c r="D1128" s="92" t="s">
        <v>2939</v>
      </c>
      <c r="E1128" s="90" t="s">
        <v>93</v>
      </c>
      <c r="F1128" s="99">
        <v>9230</v>
      </c>
      <c r="G1128" s="94">
        <v>18.579999999999998</v>
      </c>
      <c r="H1128" s="94">
        <v>0.06</v>
      </c>
      <c r="I1128" s="95">
        <v>18.639999999999997</v>
      </c>
      <c r="J1128" s="95">
        <v>171493.4</v>
      </c>
      <c r="K1128" s="95">
        <v>553.80000000001746</v>
      </c>
      <c r="L1128" s="95">
        <v>172047.2</v>
      </c>
      <c r="M1128" s="96">
        <v>0.27529999999999999</v>
      </c>
      <c r="N1128" s="95">
        <v>23.7</v>
      </c>
      <c r="O1128" s="95">
        <v>0.08</v>
      </c>
      <c r="P1128" s="95">
        <v>23.779999999999998</v>
      </c>
      <c r="Q1128" s="95">
        <v>218751</v>
      </c>
      <c r="R1128" s="95">
        <v>738.4</v>
      </c>
      <c r="S1128" s="95">
        <v>219489.4</v>
      </c>
    </row>
    <row r="1129" spans="1:19" ht="15" x14ac:dyDescent="0.25">
      <c r="A1129" s="90" t="s">
        <v>2940</v>
      </c>
      <c r="B1129" s="90" t="s">
        <v>31</v>
      </c>
      <c r="C1129" s="98" t="s">
        <v>2941</v>
      </c>
      <c r="D1129" s="92" t="s">
        <v>2942</v>
      </c>
      <c r="E1129" s="90" t="s">
        <v>93</v>
      </c>
      <c r="F1129" s="99">
        <v>9950</v>
      </c>
      <c r="G1129" s="94">
        <v>28.8</v>
      </c>
      <c r="H1129" s="94">
        <v>0.06</v>
      </c>
      <c r="I1129" s="95">
        <v>28.86</v>
      </c>
      <c r="J1129" s="95">
        <v>286560</v>
      </c>
      <c r="K1129" s="95">
        <v>597</v>
      </c>
      <c r="L1129" s="95">
        <v>287157</v>
      </c>
      <c r="M1129" s="96">
        <v>0.27529999999999999</v>
      </c>
      <c r="N1129" s="95">
        <v>36.729999999999997</v>
      </c>
      <c r="O1129" s="95">
        <v>0.08</v>
      </c>
      <c r="P1129" s="95">
        <v>36.809999999999995</v>
      </c>
      <c r="Q1129" s="95">
        <v>365463.5</v>
      </c>
      <c r="R1129" s="95">
        <v>796</v>
      </c>
      <c r="S1129" s="95">
        <v>366259.5</v>
      </c>
    </row>
    <row r="1130" spans="1:19" ht="15" x14ac:dyDescent="0.25">
      <c r="A1130" s="90" t="s">
        <v>2943</v>
      </c>
      <c r="B1130" s="90" t="s">
        <v>31</v>
      </c>
      <c r="C1130" s="98" t="s">
        <v>2944</v>
      </c>
      <c r="D1130" s="92" t="s">
        <v>2945</v>
      </c>
      <c r="E1130" s="90" t="s">
        <v>93</v>
      </c>
      <c r="F1130" s="99">
        <v>8400</v>
      </c>
      <c r="G1130" s="94">
        <v>40.700000000000003</v>
      </c>
      <c r="H1130" s="94">
        <v>7.0000000000000007E-2</v>
      </c>
      <c r="I1130" s="95">
        <v>40.770000000000003</v>
      </c>
      <c r="J1130" s="95">
        <v>341880</v>
      </c>
      <c r="K1130" s="95">
        <v>588</v>
      </c>
      <c r="L1130" s="95">
        <v>342468</v>
      </c>
      <c r="M1130" s="96">
        <v>0.27529999999999999</v>
      </c>
      <c r="N1130" s="95">
        <v>51.9</v>
      </c>
      <c r="O1130" s="95">
        <v>0.09</v>
      </c>
      <c r="P1130" s="95">
        <v>51.99</v>
      </c>
      <c r="Q1130" s="95">
        <v>435960</v>
      </c>
      <c r="R1130" s="95">
        <v>756</v>
      </c>
      <c r="S1130" s="95">
        <v>436716</v>
      </c>
    </row>
    <row r="1131" spans="1:19" ht="15" x14ac:dyDescent="0.25">
      <c r="A1131" s="90" t="s">
        <v>2946</v>
      </c>
      <c r="B1131" s="90" t="s">
        <v>31</v>
      </c>
      <c r="C1131" s="98" t="s">
        <v>2947</v>
      </c>
      <c r="D1131" s="92" t="s">
        <v>2948</v>
      </c>
      <c r="E1131" s="90" t="s">
        <v>93</v>
      </c>
      <c r="F1131" s="99">
        <v>6250</v>
      </c>
      <c r="G1131" s="94">
        <v>60.12</v>
      </c>
      <c r="H1131" s="94">
        <v>3.27</v>
      </c>
      <c r="I1131" s="95">
        <v>63.39</v>
      </c>
      <c r="J1131" s="95">
        <v>375750</v>
      </c>
      <c r="K1131" s="95">
        <v>20437.5</v>
      </c>
      <c r="L1131" s="95">
        <v>396187.5</v>
      </c>
      <c r="M1131" s="96">
        <v>0.27529999999999999</v>
      </c>
      <c r="N1131" s="95">
        <v>76.67</v>
      </c>
      <c r="O1131" s="95">
        <v>4.17</v>
      </c>
      <c r="P1131" s="95">
        <v>80.84</v>
      </c>
      <c r="Q1131" s="95">
        <v>479187.5</v>
      </c>
      <c r="R1131" s="95">
        <v>26062.5</v>
      </c>
      <c r="S1131" s="95">
        <v>505250</v>
      </c>
    </row>
    <row r="1132" spans="1:19" ht="15" x14ac:dyDescent="0.25">
      <c r="A1132" s="90" t="s">
        <v>2949</v>
      </c>
      <c r="B1132" s="90" t="s">
        <v>31</v>
      </c>
      <c r="C1132" s="98" t="s">
        <v>2950</v>
      </c>
      <c r="D1132" s="92" t="s">
        <v>2951</v>
      </c>
      <c r="E1132" s="90" t="s">
        <v>93</v>
      </c>
      <c r="F1132" s="99">
        <v>4680</v>
      </c>
      <c r="G1132" s="94">
        <v>84.19</v>
      </c>
      <c r="H1132" s="94">
        <v>7.0000000000000007E-2</v>
      </c>
      <c r="I1132" s="95">
        <v>84.259999999999991</v>
      </c>
      <c r="J1132" s="95">
        <v>394009.2</v>
      </c>
      <c r="K1132" s="95">
        <v>327.59999999997672</v>
      </c>
      <c r="L1132" s="95">
        <v>394336.8</v>
      </c>
      <c r="M1132" s="96">
        <v>0.27529999999999999</v>
      </c>
      <c r="N1132" s="95">
        <v>107.37</v>
      </c>
      <c r="O1132" s="95">
        <v>0.09</v>
      </c>
      <c r="P1132" s="95">
        <v>107.46000000000001</v>
      </c>
      <c r="Q1132" s="95">
        <v>502491.6</v>
      </c>
      <c r="R1132" s="95">
        <v>421.2</v>
      </c>
      <c r="S1132" s="95">
        <v>502912.8</v>
      </c>
    </row>
    <row r="1133" spans="1:19" ht="15" x14ac:dyDescent="0.25">
      <c r="A1133" s="90" t="s">
        <v>2925</v>
      </c>
      <c r="B1133" s="90" t="s">
        <v>31</v>
      </c>
      <c r="C1133" s="98" t="s">
        <v>2952</v>
      </c>
      <c r="D1133" s="92" t="s">
        <v>2953</v>
      </c>
      <c r="E1133" s="90" t="s">
        <v>93</v>
      </c>
      <c r="F1133" s="99">
        <v>4160</v>
      </c>
      <c r="G1133" s="94">
        <v>109.3</v>
      </c>
      <c r="H1133" s="94">
        <v>7.0000000000000007E-2</v>
      </c>
      <c r="I1133" s="95">
        <v>109.36999999999999</v>
      </c>
      <c r="J1133" s="95">
        <v>454688</v>
      </c>
      <c r="K1133" s="95">
        <v>291.20000000001164</v>
      </c>
      <c r="L1133" s="95">
        <v>454979.2</v>
      </c>
      <c r="M1133" s="96">
        <v>0.27529999999999999</v>
      </c>
      <c r="N1133" s="95">
        <v>139.38999999999999</v>
      </c>
      <c r="O1133" s="95">
        <v>0.09</v>
      </c>
      <c r="P1133" s="95">
        <v>139.47999999999999</v>
      </c>
      <c r="Q1133" s="95">
        <v>579862.4</v>
      </c>
      <c r="R1133" s="95">
        <v>374.4</v>
      </c>
      <c r="S1133" s="95">
        <v>580236.80000000005</v>
      </c>
    </row>
    <row r="1134" spans="1:19" ht="15" x14ac:dyDescent="0.25">
      <c r="A1134" s="90" t="s">
        <v>2925</v>
      </c>
      <c r="B1134" s="90" t="s">
        <v>31</v>
      </c>
      <c r="C1134" s="98" t="s">
        <v>2954</v>
      </c>
      <c r="D1134" s="92" t="s">
        <v>2955</v>
      </c>
      <c r="E1134" s="90" t="s">
        <v>93</v>
      </c>
      <c r="F1134" s="99">
        <v>1900</v>
      </c>
      <c r="G1134" s="94">
        <v>142.93</v>
      </c>
      <c r="H1134" s="94">
        <v>7.0000000000000007E-2</v>
      </c>
      <c r="I1134" s="95">
        <v>143</v>
      </c>
      <c r="J1134" s="95">
        <v>271567</v>
      </c>
      <c r="K1134" s="95">
        <v>133</v>
      </c>
      <c r="L1134" s="95">
        <v>271700</v>
      </c>
      <c r="M1134" s="96">
        <v>0.27529999999999999</v>
      </c>
      <c r="N1134" s="95">
        <v>182.28</v>
      </c>
      <c r="O1134" s="95">
        <v>0.09</v>
      </c>
      <c r="P1134" s="95">
        <v>182.37</v>
      </c>
      <c r="Q1134" s="95">
        <v>346332</v>
      </c>
      <c r="R1134" s="95">
        <v>171</v>
      </c>
      <c r="S1134" s="95">
        <v>346503</v>
      </c>
    </row>
    <row r="1135" spans="1:19" ht="15" x14ac:dyDescent="0.25">
      <c r="A1135" s="90" t="s">
        <v>2925</v>
      </c>
      <c r="B1135" s="90" t="s">
        <v>31</v>
      </c>
      <c r="C1135" s="98" t="s">
        <v>2956</v>
      </c>
      <c r="D1135" s="92" t="s">
        <v>2957</v>
      </c>
      <c r="E1135" s="90" t="s">
        <v>93</v>
      </c>
      <c r="F1135" s="99">
        <v>11080</v>
      </c>
      <c r="G1135" s="94">
        <v>171.84</v>
      </c>
      <c r="H1135" s="94">
        <v>6.77</v>
      </c>
      <c r="I1135" s="95">
        <v>178.61</v>
      </c>
      <c r="J1135" s="95">
        <v>1903987.2</v>
      </c>
      <c r="K1135" s="95">
        <v>75011.600000000093</v>
      </c>
      <c r="L1135" s="95">
        <v>1978998.8</v>
      </c>
      <c r="M1135" s="96">
        <v>0.27529999999999999</v>
      </c>
      <c r="N1135" s="95">
        <v>219.15</v>
      </c>
      <c r="O1135" s="95">
        <v>8.6300000000000008</v>
      </c>
      <c r="P1135" s="95">
        <v>227.78</v>
      </c>
      <c r="Q1135" s="95">
        <v>2428182</v>
      </c>
      <c r="R1135" s="95">
        <v>95620.4</v>
      </c>
      <c r="S1135" s="95">
        <v>2523802.4</v>
      </c>
    </row>
    <row r="1136" spans="1:19" ht="15" x14ac:dyDescent="0.25">
      <c r="A1136" s="90" t="s">
        <v>2925</v>
      </c>
      <c r="B1136" s="90" t="s">
        <v>184</v>
      </c>
      <c r="C1136" s="98" t="s">
        <v>2958</v>
      </c>
      <c r="D1136" s="92" t="s">
        <v>2959</v>
      </c>
      <c r="E1136" s="90" t="s">
        <v>93</v>
      </c>
      <c r="F1136" s="99">
        <v>9310</v>
      </c>
      <c r="G1136" s="94">
        <v>203.86</v>
      </c>
      <c r="H1136" s="94">
        <v>28.09</v>
      </c>
      <c r="I1136" s="95">
        <v>231.95000000000002</v>
      </c>
      <c r="J1136" s="95">
        <v>1897936.6</v>
      </c>
      <c r="K1136" s="95">
        <v>261517.89999999991</v>
      </c>
      <c r="L1136" s="95">
        <v>2159454.5</v>
      </c>
      <c r="M1136" s="96">
        <v>0.27529999999999999</v>
      </c>
      <c r="N1136" s="95">
        <v>259.98</v>
      </c>
      <c r="O1136" s="95">
        <v>35.82</v>
      </c>
      <c r="P1136" s="95">
        <v>295.8</v>
      </c>
      <c r="Q1136" s="95">
        <v>2420413.7999999998</v>
      </c>
      <c r="R1136" s="95">
        <v>333484.2</v>
      </c>
      <c r="S1136" s="95">
        <v>2753898</v>
      </c>
    </row>
    <row r="1137" spans="1:19" ht="15" x14ac:dyDescent="0.25">
      <c r="A1137" s="90" t="s">
        <v>2925</v>
      </c>
      <c r="B1137" s="90" t="s">
        <v>184</v>
      </c>
      <c r="C1137" s="98" t="s">
        <v>2960</v>
      </c>
      <c r="D1137" s="92" t="s">
        <v>2961</v>
      </c>
      <c r="E1137" s="90" t="s">
        <v>93</v>
      </c>
      <c r="F1137" s="99">
        <v>11200</v>
      </c>
      <c r="G1137" s="94">
        <v>271.41000000000003</v>
      </c>
      <c r="H1137" s="94">
        <v>10.28</v>
      </c>
      <c r="I1137" s="95">
        <v>281.69</v>
      </c>
      <c r="J1137" s="95">
        <v>3039792</v>
      </c>
      <c r="K1137" s="95">
        <v>115136</v>
      </c>
      <c r="L1137" s="95">
        <v>3154928</v>
      </c>
      <c r="M1137" s="96">
        <v>0.27529999999999999</v>
      </c>
      <c r="N1137" s="95">
        <v>346.13</v>
      </c>
      <c r="O1137" s="95">
        <v>13.11</v>
      </c>
      <c r="P1137" s="95">
        <v>359.24</v>
      </c>
      <c r="Q1137" s="95">
        <v>3876656</v>
      </c>
      <c r="R1137" s="95">
        <v>146832</v>
      </c>
      <c r="S1137" s="95">
        <v>4023488</v>
      </c>
    </row>
    <row r="1138" spans="1:19" ht="15" x14ac:dyDescent="0.25">
      <c r="A1138" s="90" t="s">
        <v>2925</v>
      </c>
      <c r="B1138" s="90" t="s">
        <v>31</v>
      </c>
      <c r="C1138" s="98" t="s">
        <v>2560</v>
      </c>
      <c r="D1138" s="92" t="s">
        <v>2962</v>
      </c>
      <c r="E1138" s="90" t="s">
        <v>93</v>
      </c>
      <c r="F1138" s="99">
        <v>301500</v>
      </c>
      <c r="G1138" s="94">
        <v>3.71</v>
      </c>
      <c r="H1138" s="94">
        <v>1.1399999999999999</v>
      </c>
      <c r="I1138" s="95">
        <v>4.8499999999999996</v>
      </c>
      <c r="J1138" s="95">
        <v>1118565</v>
      </c>
      <c r="K1138" s="95">
        <v>343710</v>
      </c>
      <c r="L1138" s="95">
        <v>1462275</v>
      </c>
      <c r="M1138" s="96">
        <v>0.27529999999999999</v>
      </c>
      <c r="N1138" s="95">
        <v>4.7300000000000004</v>
      </c>
      <c r="O1138" s="95">
        <v>1.45</v>
      </c>
      <c r="P1138" s="95">
        <v>6.1800000000000006</v>
      </c>
      <c r="Q1138" s="95">
        <v>1426095</v>
      </c>
      <c r="R1138" s="95">
        <v>437175</v>
      </c>
      <c r="S1138" s="95">
        <v>1863270</v>
      </c>
    </row>
    <row r="1139" spans="1:19" ht="15" x14ac:dyDescent="0.25">
      <c r="A1139" s="90" t="s">
        <v>2925</v>
      </c>
      <c r="B1139" s="90" t="s">
        <v>45</v>
      </c>
      <c r="C1139" s="98" t="s">
        <v>2963</v>
      </c>
      <c r="D1139" s="92" t="s">
        <v>2964</v>
      </c>
      <c r="E1139" s="90" t="s">
        <v>93</v>
      </c>
      <c r="F1139" s="99">
        <v>43924</v>
      </c>
      <c r="G1139" s="94">
        <v>3.99</v>
      </c>
      <c r="H1139" s="94">
        <v>0</v>
      </c>
      <c r="I1139" s="95">
        <v>3.99</v>
      </c>
      <c r="J1139" s="95">
        <v>175256.76</v>
      </c>
      <c r="K1139" s="95">
        <v>0</v>
      </c>
      <c r="L1139" s="95">
        <v>175256.76</v>
      </c>
      <c r="M1139" s="96">
        <v>0.27529999999999999</v>
      </c>
      <c r="N1139" s="95">
        <v>5.09</v>
      </c>
      <c r="O1139" s="95">
        <v>0</v>
      </c>
      <c r="P1139" s="95">
        <v>5.09</v>
      </c>
      <c r="Q1139" s="95">
        <v>223573.16</v>
      </c>
      <c r="R1139" s="95">
        <v>0</v>
      </c>
      <c r="S1139" s="95">
        <v>223573.16</v>
      </c>
    </row>
    <row r="1140" spans="1:19" ht="15" x14ac:dyDescent="0.25">
      <c r="A1140" s="90" t="s">
        <v>2925</v>
      </c>
      <c r="B1140" s="90" t="s">
        <v>45</v>
      </c>
      <c r="C1140" s="98" t="s">
        <v>2965</v>
      </c>
      <c r="D1140" s="92" t="s">
        <v>2966</v>
      </c>
      <c r="E1140" s="90" t="s">
        <v>93</v>
      </c>
      <c r="F1140" s="99">
        <v>500</v>
      </c>
      <c r="G1140" s="94">
        <v>5.99</v>
      </c>
      <c r="H1140" s="94">
        <v>0</v>
      </c>
      <c r="I1140" s="95">
        <v>5.99</v>
      </c>
      <c r="J1140" s="95">
        <v>2995</v>
      </c>
      <c r="K1140" s="95">
        <v>0</v>
      </c>
      <c r="L1140" s="95">
        <v>2995</v>
      </c>
      <c r="M1140" s="96">
        <v>0.27529999999999999</v>
      </c>
      <c r="N1140" s="95">
        <v>7.64</v>
      </c>
      <c r="O1140" s="95">
        <v>0</v>
      </c>
      <c r="P1140" s="95">
        <v>7.64</v>
      </c>
      <c r="Q1140" s="95">
        <v>3820</v>
      </c>
      <c r="R1140" s="95">
        <v>0</v>
      </c>
      <c r="S1140" s="95">
        <v>3820</v>
      </c>
    </row>
    <row r="1141" spans="1:19" ht="15" x14ac:dyDescent="0.25">
      <c r="A1141" s="90" t="s">
        <v>2925</v>
      </c>
      <c r="B1141" s="90" t="s">
        <v>45</v>
      </c>
      <c r="C1141" s="98" t="s">
        <v>2967</v>
      </c>
      <c r="D1141" s="92" t="s">
        <v>2968</v>
      </c>
      <c r="E1141" s="90" t="s">
        <v>93</v>
      </c>
      <c r="F1141" s="99">
        <v>4100</v>
      </c>
      <c r="G1141" s="94">
        <v>9.7899999999999991</v>
      </c>
      <c r="H1141" s="94">
        <v>0</v>
      </c>
      <c r="I1141" s="95">
        <v>9.7899999999999991</v>
      </c>
      <c r="J1141" s="95">
        <v>40139</v>
      </c>
      <c r="K1141" s="95">
        <v>0</v>
      </c>
      <c r="L1141" s="95">
        <v>40139</v>
      </c>
      <c r="M1141" s="96">
        <v>0.27529999999999999</v>
      </c>
      <c r="N1141" s="95">
        <v>12.49</v>
      </c>
      <c r="O1141" s="95">
        <v>0</v>
      </c>
      <c r="P1141" s="95">
        <v>12.49</v>
      </c>
      <c r="Q1141" s="95">
        <v>51209</v>
      </c>
      <c r="R1141" s="95">
        <v>0</v>
      </c>
      <c r="S1141" s="95">
        <v>51209</v>
      </c>
    </row>
    <row r="1142" spans="1:19" ht="15" x14ac:dyDescent="0.25">
      <c r="A1142" s="90" t="s">
        <v>2925</v>
      </c>
      <c r="B1142" s="90" t="s">
        <v>1476</v>
      </c>
      <c r="C1142" s="98" t="s">
        <v>2969</v>
      </c>
      <c r="D1142" s="92" t="s">
        <v>2970</v>
      </c>
      <c r="E1142" s="90" t="s">
        <v>93</v>
      </c>
      <c r="F1142" s="99">
        <v>350</v>
      </c>
      <c r="G1142" s="94">
        <v>11.3</v>
      </c>
      <c r="H1142" s="94">
        <v>0</v>
      </c>
      <c r="I1142" s="95">
        <v>11.3</v>
      </c>
      <c r="J1142" s="95">
        <v>3955</v>
      </c>
      <c r="K1142" s="95">
        <v>0</v>
      </c>
      <c r="L1142" s="95">
        <v>3955</v>
      </c>
      <c r="M1142" s="96">
        <v>0.27529999999999999</v>
      </c>
      <c r="N1142" s="95">
        <v>14.41</v>
      </c>
      <c r="O1142" s="95">
        <v>0</v>
      </c>
      <c r="P1142" s="95">
        <v>14.41</v>
      </c>
      <c r="Q1142" s="95">
        <v>5043.5</v>
      </c>
      <c r="R1142" s="95">
        <v>0</v>
      </c>
      <c r="S1142" s="95">
        <v>5043.5</v>
      </c>
    </row>
    <row r="1143" spans="1:19" ht="15" x14ac:dyDescent="0.25">
      <c r="A1143" s="90" t="s">
        <v>2971</v>
      </c>
      <c r="B1143" s="90"/>
      <c r="C1143" s="91" t="s">
        <v>2972</v>
      </c>
      <c r="D1143" s="92"/>
      <c r="E1143" s="90"/>
      <c r="F1143" s="99"/>
      <c r="G1143" s="94"/>
      <c r="H1143" s="94"/>
      <c r="I1143" s="95"/>
      <c r="J1143" s="95"/>
      <c r="K1143" s="95"/>
      <c r="L1143" s="95"/>
      <c r="M1143" s="96">
        <v>0</v>
      </c>
      <c r="N1143" s="95"/>
      <c r="O1143" s="95"/>
      <c r="P1143" s="95"/>
      <c r="Q1143" s="95">
        <v>0</v>
      </c>
      <c r="R1143" s="95">
        <v>0</v>
      </c>
      <c r="S1143" s="95">
        <v>0</v>
      </c>
    </row>
    <row r="1144" spans="1:19" ht="15" x14ac:dyDescent="0.25">
      <c r="A1144" s="90" t="s">
        <v>2973</v>
      </c>
      <c r="B1144" s="90" t="s">
        <v>31</v>
      </c>
      <c r="C1144" s="98" t="s">
        <v>2974</v>
      </c>
      <c r="D1144" s="92" t="s">
        <v>2975</v>
      </c>
      <c r="E1144" s="90" t="s">
        <v>93</v>
      </c>
      <c r="F1144" s="99">
        <v>105000</v>
      </c>
      <c r="G1144" s="94">
        <v>7.64</v>
      </c>
      <c r="H1144" s="94">
        <v>0.34</v>
      </c>
      <c r="I1144" s="95">
        <v>7.9799999999999995</v>
      </c>
      <c r="J1144" s="95">
        <v>802200</v>
      </c>
      <c r="K1144" s="95">
        <v>35700</v>
      </c>
      <c r="L1144" s="95">
        <v>837900</v>
      </c>
      <c r="M1144" s="96">
        <v>0.27529999999999999</v>
      </c>
      <c r="N1144" s="95">
        <v>9.74</v>
      </c>
      <c r="O1144" s="95">
        <v>0.43</v>
      </c>
      <c r="P1144" s="95">
        <v>10.17</v>
      </c>
      <c r="Q1144" s="95">
        <v>1022700</v>
      </c>
      <c r="R1144" s="95">
        <v>45150</v>
      </c>
      <c r="S1144" s="95">
        <v>1067850</v>
      </c>
    </row>
    <row r="1145" spans="1:19" ht="15" x14ac:dyDescent="0.25">
      <c r="A1145" s="90" t="s">
        <v>2976</v>
      </c>
      <c r="B1145" s="90" t="s">
        <v>1476</v>
      </c>
      <c r="C1145" s="98" t="s">
        <v>2977</v>
      </c>
      <c r="D1145" s="92" t="s">
        <v>2978</v>
      </c>
      <c r="E1145" s="90" t="s">
        <v>93</v>
      </c>
      <c r="F1145" s="99">
        <v>8550</v>
      </c>
      <c r="G1145" s="94">
        <v>3.25</v>
      </c>
      <c r="H1145" s="94">
        <v>0</v>
      </c>
      <c r="I1145" s="95">
        <v>3.25</v>
      </c>
      <c r="J1145" s="95">
        <v>27787.5</v>
      </c>
      <c r="K1145" s="95">
        <v>0</v>
      </c>
      <c r="L1145" s="95">
        <v>27787.5</v>
      </c>
      <c r="M1145" s="96">
        <v>0.27529999999999999</v>
      </c>
      <c r="N1145" s="95">
        <v>4.1399999999999997</v>
      </c>
      <c r="O1145" s="95">
        <v>0</v>
      </c>
      <c r="P1145" s="95">
        <v>4.1399999999999997</v>
      </c>
      <c r="Q1145" s="95">
        <v>35397</v>
      </c>
      <c r="R1145" s="95">
        <v>0</v>
      </c>
      <c r="S1145" s="95">
        <v>35397</v>
      </c>
    </row>
    <row r="1146" spans="1:19" ht="15" x14ac:dyDescent="0.25">
      <c r="A1146" s="90" t="s">
        <v>2979</v>
      </c>
      <c r="B1146" s="90" t="s">
        <v>622</v>
      </c>
      <c r="C1146" s="98" t="s">
        <v>2980</v>
      </c>
      <c r="D1146" s="92" t="s">
        <v>2981</v>
      </c>
      <c r="E1146" s="90" t="s">
        <v>16</v>
      </c>
      <c r="F1146" s="99">
        <v>296</v>
      </c>
      <c r="G1146" s="94">
        <v>210.97</v>
      </c>
      <c r="H1146" s="94">
        <v>407.28</v>
      </c>
      <c r="I1146" s="95">
        <v>618.25</v>
      </c>
      <c r="J1146" s="95">
        <v>62447.12</v>
      </c>
      <c r="K1146" s="95">
        <v>120554.88</v>
      </c>
      <c r="L1146" s="95">
        <v>183002</v>
      </c>
      <c r="M1146" s="96">
        <v>0.27529999999999999</v>
      </c>
      <c r="N1146" s="95">
        <v>269.05</v>
      </c>
      <c r="O1146" s="95">
        <v>519.4</v>
      </c>
      <c r="P1146" s="95">
        <v>788.45</v>
      </c>
      <c r="Q1146" s="95">
        <v>79638.8</v>
      </c>
      <c r="R1146" s="95">
        <v>153742.39999999999</v>
      </c>
      <c r="S1146" s="95">
        <v>233381.2</v>
      </c>
    </row>
    <row r="1147" spans="1:19" ht="15" x14ac:dyDescent="0.25">
      <c r="A1147" s="90" t="s">
        <v>2982</v>
      </c>
      <c r="B1147" s="90" t="s">
        <v>104</v>
      </c>
      <c r="C1147" s="98" t="s">
        <v>2983</v>
      </c>
      <c r="D1147" s="92" t="s">
        <v>2984</v>
      </c>
      <c r="E1147" s="90" t="s">
        <v>1610</v>
      </c>
      <c r="F1147" s="99">
        <v>148</v>
      </c>
      <c r="G1147" s="94">
        <v>15.72</v>
      </c>
      <c r="H1147" s="94">
        <v>0</v>
      </c>
      <c r="I1147" s="95">
        <v>15.72</v>
      </c>
      <c r="J1147" s="95">
        <v>2326.56</v>
      </c>
      <c r="K1147" s="95">
        <v>0</v>
      </c>
      <c r="L1147" s="95">
        <v>2326.56</v>
      </c>
      <c r="M1147" s="96">
        <v>0.27529999999999999</v>
      </c>
      <c r="N1147" s="95">
        <v>20.05</v>
      </c>
      <c r="O1147" s="95">
        <v>0</v>
      </c>
      <c r="P1147" s="95">
        <v>20.05</v>
      </c>
      <c r="Q1147" s="95">
        <v>2967.4</v>
      </c>
      <c r="R1147" s="95">
        <v>0</v>
      </c>
      <c r="S1147" s="95">
        <v>2967.4</v>
      </c>
    </row>
    <row r="1148" spans="1:19" ht="15" x14ac:dyDescent="0.25">
      <c r="A1148" s="90" t="s">
        <v>2985</v>
      </c>
      <c r="B1148" s="90" t="s">
        <v>104</v>
      </c>
      <c r="C1148" s="98" t="s">
        <v>2983</v>
      </c>
      <c r="D1148" s="92" t="s">
        <v>2986</v>
      </c>
      <c r="E1148" s="90" t="s">
        <v>1610</v>
      </c>
      <c r="F1148" s="99">
        <v>2286</v>
      </c>
      <c r="G1148" s="94">
        <v>15.72</v>
      </c>
      <c r="H1148" s="94">
        <v>0</v>
      </c>
      <c r="I1148" s="95">
        <v>15.72</v>
      </c>
      <c r="J1148" s="95">
        <v>35935.919999999998</v>
      </c>
      <c r="K1148" s="95">
        <v>0</v>
      </c>
      <c r="L1148" s="95">
        <v>35935.919999999998</v>
      </c>
      <c r="M1148" s="96">
        <v>0.27529999999999999</v>
      </c>
      <c r="N1148" s="95">
        <v>20.05</v>
      </c>
      <c r="O1148" s="95">
        <v>0</v>
      </c>
      <c r="P1148" s="95">
        <v>20.05</v>
      </c>
      <c r="Q1148" s="95">
        <v>45834.3</v>
      </c>
      <c r="R1148" s="95">
        <v>0</v>
      </c>
      <c r="S1148" s="95">
        <v>45834.3</v>
      </c>
    </row>
    <row r="1149" spans="1:19" ht="15" x14ac:dyDescent="0.25">
      <c r="A1149" s="90" t="s">
        <v>2987</v>
      </c>
      <c r="B1149" s="90"/>
      <c r="C1149" s="91" t="s">
        <v>2988</v>
      </c>
      <c r="D1149" s="92"/>
      <c r="E1149" s="90"/>
      <c r="F1149" s="99"/>
      <c r="G1149" s="94"/>
      <c r="H1149" s="94"/>
      <c r="I1149" s="95"/>
      <c r="J1149" s="95"/>
      <c r="K1149" s="95"/>
      <c r="L1149" s="95"/>
      <c r="M1149" s="96">
        <v>0</v>
      </c>
      <c r="N1149" s="95"/>
      <c r="O1149" s="95"/>
      <c r="P1149" s="95"/>
      <c r="Q1149" s="95">
        <v>0</v>
      </c>
      <c r="R1149" s="95">
        <v>0</v>
      </c>
      <c r="S1149" s="95">
        <v>0</v>
      </c>
    </row>
    <row r="1150" spans="1:19" ht="15" x14ac:dyDescent="0.25">
      <c r="A1150" s="90" t="s">
        <v>2989</v>
      </c>
      <c r="B1150" s="90" t="s">
        <v>31</v>
      </c>
      <c r="C1150" s="98" t="s">
        <v>2990</v>
      </c>
      <c r="D1150" s="92" t="s">
        <v>2991</v>
      </c>
      <c r="E1150" s="90" t="s">
        <v>16</v>
      </c>
      <c r="F1150" s="99">
        <v>17</v>
      </c>
      <c r="G1150" s="94">
        <v>1377.18</v>
      </c>
      <c r="H1150" s="94">
        <v>33.78</v>
      </c>
      <c r="I1150" s="95">
        <v>1410.96</v>
      </c>
      <c r="J1150" s="95">
        <v>23412.06</v>
      </c>
      <c r="K1150" s="95">
        <v>574.2599999999984</v>
      </c>
      <c r="L1150" s="95">
        <v>23986.32</v>
      </c>
      <c r="M1150" s="96">
        <v>0.27529999999999999</v>
      </c>
      <c r="N1150" s="95">
        <v>1756.32</v>
      </c>
      <c r="O1150" s="95">
        <v>43.08</v>
      </c>
      <c r="P1150" s="95">
        <v>1799.3999999999999</v>
      </c>
      <c r="Q1150" s="95">
        <v>29857.439999999999</v>
      </c>
      <c r="R1150" s="95">
        <v>732.36</v>
      </c>
      <c r="S1150" s="95">
        <v>30589.8</v>
      </c>
    </row>
    <row r="1151" spans="1:19" ht="15" x14ac:dyDescent="0.25">
      <c r="A1151" s="90" t="s">
        <v>2989</v>
      </c>
      <c r="B1151" s="90" t="s">
        <v>184</v>
      </c>
      <c r="C1151" s="98" t="s">
        <v>2992</v>
      </c>
      <c r="D1151" s="92" t="s">
        <v>2993</v>
      </c>
      <c r="E1151" s="90" t="s">
        <v>16</v>
      </c>
      <c r="F1151" s="99">
        <v>9</v>
      </c>
      <c r="G1151" s="94">
        <v>726.38</v>
      </c>
      <c r="H1151" s="94">
        <v>75.94</v>
      </c>
      <c r="I1151" s="95">
        <v>802.31999999999994</v>
      </c>
      <c r="J1151" s="95">
        <v>6537.42</v>
      </c>
      <c r="K1151" s="95">
        <v>683.46</v>
      </c>
      <c r="L1151" s="95">
        <v>7220.88</v>
      </c>
      <c r="M1151" s="96">
        <v>0.27529999999999999</v>
      </c>
      <c r="N1151" s="95">
        <v>926.35</v>
      </c>
      <c r="O1151" s="95">
        <v>96.85</v>
      </c>
      <c r="P1151" s="95">
        <v>1023.2</v>
      </c>
      <c r="Q1151" s="95">
        <v>8337.15</v>
      </c>
      <c r="R1151" s="95">
        <v>871.65</v>
      </c>
      <c r="S1151" s="95">
        <v>9208.7999999999993</v>
      </c>
    </row>
    <row r="1152" spans="1:19" ht="15" x14ac:dyDescent="0.25">
      <c r="A1152" s="90" t="s">
        <v>2989</v>
      </c>
      <c r="B1152" s="90" t="s">
        <v>1221</v>
      </c>
      <c r="C1152" s="98" t="s">
        <v>2994</v>
      </c>
      <c r="D1152" s="92" t="s">
        <v>2995</v>
      </c>
      <c r="E1152" s="90" t="s">
        <v>111</v>
      </c>
      <c r="F1152" s="99">
        <v>37</v>
      </c>
      <c r="G1152" s="94">
        <v>252.56</v>
      </c>
      <c r="H1152" s="94">
        <v>2.46</v>
      </c>
      <c r="I1152" s="95">
        <v>255.02</v>
      </c>
      <c r="J1152" s="95">
        <v>9344.7199999999993</v>
      </c>
      <c r="K1152" s="95">
        <v>91.020000000000437</v>
      </c>
      <c r="L1152" s="95">
        <v>9435.74</v>
      </c>
      <c r="M1152" s="96">
        <v>0.27529999999999999</v>
      </c>
      <c r="N1152" s="95">
        <v>322.08999999999997</v>
      </c>
      <c r="O1152" s="95">
        <v>3.14</v>
      </c>
      <c r="P1152" s="95">
        <v>325.22999999999996</v>
      </c>
      <c r="Q1152" s="95">
        <v>11917.33</v>
      </c>
      <c r="R1152" s="95">
        <v>116.18</v>
      </c>
      <c r="S1152" s="95">
        <v>12033.51</v>
      </c>
    </row>
    <row r="1153" spans="1:19" ht="15" x14ac:dyDescent="0.25">
      <c r="A1153" s="90" t="s">
        <v>2989</v>
      </c>
      <c r="B1153" s="90" t="s">
        <v>31</v>
      </c>
      <c r="C1153" s="98" t="s">
        <v>2996</v>
      </c>
      <c r="D1153" s="92" t="s">
        <v>2997</v>
      </c>
      <c r="E1153" s="90" t="s">
        <v>16</v>
      </c>
      <c r="F1153" s="99">
        <v>9</v>
      </c>
      <c r="G1153" s="94">
        <v>997.29</v>
      </c>
      <c r="H1153" s="94">
        <v>204.17</v>
      </c>
      <c r="I1153" s="95">
        <v>1201.46</v>
      </c>
      <c r="J1153" s="95">
        <v>8975.61</v>
      </c>
      <c r="K1153" s="95">
        <v>1837.5299999999988</v>
      </c>
      <c r="L1153" s="95">
        <v>10813.14</v>
      </c>
      <c r="M1153" s="96">
        <v>0.27529999999999999</v>
      </c>
      <c r="N1153" s="95">
        <v>1271.8399999999999</v>
      </c>
      <c r="O1153" s="95">
        <v>260.38</v>
      </c>
      <c r="P1153" s="95">
        <v>1532.2199999999998</v>
      </c>
      <c r="Q1153" s="95">
        <v>11446.56</v>
      </c>
      <c r="R1153" s="95">
        <v>2343.42</v>
      </c>
      <c r="S1153" s="95">
        <v>13789.98</v>
      </c>
    </row>
    <row r="1154" spans="1:19" ht="15" x14ac:dyDescent="0.25">
      <c r="A1154" s="90" t="s">
        <v>2989</v>
      </c>
      <c r="B1154" s="90" t="s">
        <v>706</v>
      </c>
      <c r="C1154" s="98" t="s">
        <v>2998</v>
      </c>
      <c r="D1154" s="92" t="s">
        <v>2999</v>
      </c>
      <c r="E1154" s="90" t="s">
        <v>16</v>
      </c>
      <c r="F1154" s="99">
        <v>23</v>
      </c>
      <c r="G1154" s="94">
        <v>1537.41</v>
      </c>
      <c r="H1154" s="94">
        <v>0</v>
      </c>
      <c r="I1154" s="95">
        <v>1537.41</v>
      </c>
      <c r="J1154" s="95">
        <v>35360.43</v>
      </c>
      <c r="K1154" s="95">
        <v>0</v>
      </c>
      <c r="L1154" s="95">
        <v>35360.43</v>
      </c>
      <c r="M1154" s="96">
        <v>0.27529999999999999</v>
      </c>
      <c r="N1154" s="95">
        <v>1960.66</v>
      </c>
      <c r="O1154" s="95">
        <v>0</v>
      </c>
      <c r="P1154" s="95">
        <v>1960.66</v>
      </c>
      <c r="Q1154" s="95">
        <v>45095.18</v>
      </c>
      <c r="R1154" s="95">
        <v>0</v>
      </c>
      <c r="S1154" s="95">
        <v>45095.18</v>
      </c>
    </row>
    <row r="1155" spans="1:19" ht="15" x14ac:dyDescent="0.25">
      <c r="A1155" s="90" t="s">
        <v>2989</v>
      </c>
      <c r="B1155" s="90" t="s">
        <v>31</v>
      </c>
      <c r="C1155" s="98" t="s">
        <v>3000</v>
      </c>
      <c r="D1155" s="92" t="s">
        <v>3001</v>
      </c>
      <c r="E1155" s="90" t="s">
        <v>16</v>
      </c>
      <c r="F1155" s="99">
        <v>51</v>
      </c>
      <c r="G1155" s="94">
        <v>3385.21</v>
      </c>
      <c r="H1155" s="94">
        <v>405.79</v>
      </c>
      <c r="I1155" s="95">
        <v>3791</v>
      </c>
      <c r="J1155" s="95">
        <v>172645.71</v>
      </c>
      <c r="K1155" s="95">
        <v>20695.290000000008</v>
      </c>
      <c r="L1155" s="95">
        <v>193341</v>
      </c>
      <c r="M1155" s="96">
        <v>0.27529999999999999</v>
      </c>
      <c r="N1155" s="95">
        <v>4317.16</v>
      </c>
      <c r="O1155" s="95">
        <v>517.5</v>
      </c>
      <c r="P1155" s="95">
        <v>4834.66</v>
      </c>
      <c r="Q1155" s="95">
        <v>220175.16</v>
      </c>
      <c r="R1155" s="95">
        <v>26392.5</v>
      </c>
      <c r="S1155" s="95">
        <v>246567.66</v>
      </c>
    </row>
    <row r="1156" spans="1:19" ht="15" x14ac:dyDescent="0.25">
      <c r="A1156" s="90" t="s">
        <v>2989</v>
      </c>
      <c r="B1156" s="90" t="s">
        <v>184</v>
      </c>
      <c r="C1156" s="98" t="s">
        <v>3002</v>
      </c>
      <c r="D1156" s="92" t="s">
        <v>3003</v>
      </c>
      <c r="E1156" s="90" t="s">
        <v>16</v>
      </c>
      <c r="F1156" s="99">
        <v>26</v>
      </c>
      <c r="G1156" s="94">
        <v>8099.51</v>
      </c>
      <c r="H1156" s="94">
        <v>28.47</v>
      </c>
      <c r="I1156" s="95">
        <v>8127.9800000000005</v>
      </c>
      <c r="J1156" s="95">
        <v>210587.26</v>
      </c>
      <c r="K1156" s="95">
        <v>740.22000000000116</v>
      </c>
      <c r="L1156" s="95">
        <v>211327.48</v>
      </c>
      <c r="M1156" s="96">
        <v>0.1837</v>
      </c>
      <c r="N1156" s="95">
        <v>9587.39</v>
      </c>
      <c r="O1156" s="95">
        <v>33.700000000000003</v>
      </c>
      <c r="P1156" s="95">
        <v>9621.09</v>
      </c>
      <c r="Q1156" s="95">
        <v>249272.14</v>
      </c>
      <c r="R1156" s="95">
        <v>876.2</v>
      </c>
      <c r="S1156" s="95">
        <v>250148.34000000003</v>
      </c>
    </row>
    <row r="1157" spans="1:19" ht="25.5" x14ac:dyDescent="0.25">
      <c r="A1157" s="90" t="s">
        <v>2989</v>
      </c>
      <c r="B1157" s="90" t="s">
        <v>45</v>
      </c>
      <c r="C1157" s="98" t="s">
        <v>3004</v>
      </c>
      <c r="D1157" s="92" t="s">
        <v>3005</v>
      </c>
      <c r="E1157" s="90" t="s">
        <v>16</v>
      </c>
      <c r="F1157" s="99">
        <v>9</v>
      </c>
      <c r="G1157" s="94">
        <v>15490.99</v>
      </c>
      <c r="H1157" s="94">
        <v>0</v>
      </c>
      <c r="I1157" s="95">
        <v>15490.99</v>
      </c>
      <c r="J1157" s="95">
        <v>139418.91</v>
      </c>
      <c r="K1157" s="95">
        <v>0</v>
      </c>
      <c r="L1157" s="95">
        <v>139418.91</v>
      </c>
      <c r="M1157" s="96">
        <v>0.1837</v>
      </c>
      <c r="N1157" s="95">
        <v>18336.68</v>
      </c>
      <c r="O1157" s="95">
        <v>0</v>
      </c>
      <c r="P1157" s="95">
        <v>18336.68</v>
      </c>
      <c r="Q1157" s="95">
        <v>165030.12</v>
      </c>
      <c r="R1157" s="95">
        <v>0</v>
      </c>
      <c r="S1157" s="95">
        <v>165030.12</v>
      </c>
    </row>
    <row r="1158" spans="1:19" ht="25.5" x14ac:dyDescent="0.25">
      <c r="A1158" s="90" t="s">
        <v>2989</v>
      </c>
      <c r="B1158" s="90" t="s">
        <v>1221</v>
      </c>
      <c r="C1158" s="98" t="s">
        <v>3006</v>
      </c>
      <c r="D1158" s="92" t="s">
        <v>3007</v>
      </c>
      <c r="E1158" s="90" t="s">
        <v>111</v>
      </c>
      <c r="F1158" s="99">
        <v>51</v>
      </c>
      <c r="G1158" s="94">
        <v>2409.9</v>
      </c>
      <c r="H1158" s="94">
        <v>2.46</v>
      </c>
      <c r="I1158" s="95">
        <v>2412.36</v>
      </c>
      <c r="J1158" s="95">
        <v>122904.9</v>
      </c>
      <c r="K1158" s="95">
        <v>125.4600000000064</v>
      </c>
      <c r="L1158" s="95">
        <v>123030.36</v>
      </c>
      <c r="M1158" s="96">
        <v>0.1837</v>
      </c>
      <c r="N1158" s="95">
        <v>2852.6</v>
      </c>
      <c r="O1158" s="95">
        <v>2.91</v>
      </c>
      <c r="P1158" s="95">
        <v>2855.5099999999998</v>
      </c>
      <c r="Q1158" s="95">
        <v>145482.6</v>
      </c>
      <c r="R1158" s="95">
        <v>148.41</v>
      </c>
      <c r="S1158" s="95">
        <v>145631.01</v>
      </c>
    </row>
    <row r="1159" spans="1:19" ht="15" x14ac:dyDescent="0.25">
      <c r="A1159" s="90" t="s">
        <v>2989</v>
      </c>
      <c r="B1159" s="90" t="s">
        <v>184</v>
      </c>
      <c r="C1159" s="98" t="s">
        <v>3008</v>
      </c>
      <c r="D1159" s="92" t="s">
        <v>3009</v>
      </c>
      <c r="E1159" s="90" t="s">
        <v>16</v>
      </c>
      <c r="F1159" s="99">
        <v>4572</v>
      </c>
      <c r="G1159" s="94">
        <v>36.79</v>
      </c>
      <c r="H1159" s="94">
        <v>7.59</v>
      </c>
      <c r="I1159" s="95">
        <v>44.379999999999995</v>
      </c>
      <c r="J1159" s="95">
        <v>168203.88</v>
      </c>
      <c r="K1159" s="95">
        <v>34701.479999999981</v>
      </c>
      <c r="L1159" s="95">
        <v>202905.36</v>
      </c>
      <c r="M1159" s="96">
        <v>0.27529999999999999</v>
      </c>
      <c r="N1159" s="95">
        <v>46.92</v>
      </c>
      <c r="O1159" s="95">
        <v>9.68</v>
      </c>
      <c r="P1159" s="95">
        <v>56.6</v>
      </c>
      <c r="Q1159" s="95">
        <v>214518.24</v>
      </c>
      <c r="R1159" s="95">
        <v>44256.959999999999</v>
      </c>
      <c r="S1159" s="95">
        <v>258775.19999999998</v>
      </c>
    </row>
    <row r="1160" spans="1:19" ht="15" x14ac:dyDescent="0.25">
      <c r="A1160" s="90" t="s">
        <v>2989</v>
      </c>
      <c r="B1160" s="90" t="s">
        <v>184</v>
      </c>
      <c r="C1160" s="98" t="s">
        <v>3010</v>
      </c>
      <c r="D1160" s="92" t="s">
        <v>3011</v>
      </c>
      <c r="E1160" s="90" t="s">
        <v>16</v>
      </c>
      <c r="F1160" s="99">
        <v>130</v>
      </c>
      <c r="G1160" s="94">
        <v>1109.23</v>
      </c>
      <c r="H1160" s="94">
        <v>24.01</v>
      </c>
      <c r="I1160" s="95">
        <v>1133.24</v>
      </c>
      <c r="J1160" s="95">
        <v>144199.9</v>
      </c>
      <c r="K1160" s="95">
        <v>3121.3000000000175</v>
      </c>
      <c r="L1160" s="95">
        <v>147321.20000000001</v>
      </c>
      <c r="M1160" s="96">
        <v>0.27529999999999999</v>
      </c>
      <c r="N1160" s="95">
        <v>1414.6</v>
      </c>
      <c r="O1160" s="95">
        <v>30.62</v>
      </c>
      <c r="P1160" s="95">
        <v>1445.2199999999998</v>
      </c>
      <c r="Q1160" s="95">
        <v>183898</v>
      </c>
      <c r="R1160" s="95">
        <v>3980.6</v>
      </c>
      <c r="S1160" s="95">
        <v>187878.6</v>
      </c>
    </row>
    <row r="1161" spans="1:19" ht="15" x14ac:dyDescent="0.25">
      <c r="A1161" s="90" t="s">
        <v>2989</v>
      </c>
      <c r="B1161" s="90" t="s">
        <v>45</v>
      </c>
      <c r="C1161" s="98" t="s">
        <v>3012</v>
      </c>
      <c r="D1161" s="92" t="s">
        <v>3013</v>
      </c>
      <c r="E1161" s="90" t="s">
        <v>16</v>
      </c>
      <c r="F1161" s="99">
        <v>16</v>
      </c>
      <c r="G1161" s="94">
        <v>4286.62</v>
      </c>
      <c r="H1161" s="94">
        <v>117.32</v>
      </c>
      <c r="I1161" s="95">
        <v>4403.9399999999996</v>
      </c>
      <c r="J1161" s="95">
        <v>68585.919999999998</v>
      </c>
      <c r="K1161" s="95">
        <v>1877.1199999999953</v>
      </c>
      <c r="L1161" s="95">
        <v>70463.039999999994</v>
      </c>
      <c r="M1161" s="96">
        <v>0.27529999999999999</v>
      </c>
      <c r="N1161" s="95">
        <v>5466.73</v>
      </c>
      <c r="O1161" s="95">
        <v>149.62</v>
      </c>
      <c r="P1161" s="95">
        <v>5616.3499999999995</v>
      </c>
      <c r="Q1161" s="95">
        <v>87467.68</v>
      </c>
      <c r="R1161" s="95">
        <v>2393.92</v>
      </c>
      <c r="S1161" s="95">
        <v>89861.599999999991</v>
      </c>
    </row>
    <row r="1162" spans="1:19" ht="15" x14ac:dyDescent="0.25">
      <c r="A1162" s="90" t="s">
        <v>2989</v>
      </c>
      <c r="B1162" s="90" t="s">
        <v>45</v>
      </c>
      <c r="C1162" s="98" t="s">
        <v>3014</v>
      </c>
      <c r="D1162" s="92" t="s">
        <v>3015</v>
      </c>
      <c r="E1162" s="90" t="s">
        <v>16</v>
      </c>
      <c r="F1162" s="99">
        <v>107</v>
      </c>
      <c r="G1162" s="94">
        <v>1087.3</v>
      </c>
      <c r="H1162" s="94">
        <v>155.61000000000001</v>
      </c>
      <c r="I1162" s="95">
        <v>1242.9099999999999</v>
      </c>
      <c r="J1162" s="95">
        <v>116341.1</v>
      </c>
      <c r="K1162" s="95">
        <v>16650.26999999999</v>
      </c>
      <c r="L1162" s="95">
        <v>132991.37</v>
      </c>
      <c r="M1162" s="96">
        <v>0.27529999999999999</v>
      </c>
      <c r="N1162" s="95">
        <v>1386.63</v>
      </c>
      <c r="O1162" s="95">
        <v>198.45</v>
      </c>
      <c r="P1162" s="95">
        <v>1585.0800000000002</v>
      </c>
      <c r="Q1162" s="95">
        <v>148369.41</v>
      </c>
      <c r="R1162" s="95">
        <v>21234.15</v>
      </c>
      <c r="S1162" s="95">
        <v>169603.56</v>
      </c>
    </row>
    <row r="1163" spans="1:19" ht="15" x14ac:dyDescent="0.25">
      <c r="A1163" s="90" t="s">
        <v>2989</v>
      </c>
      <c r="B1163" s="90" t="s">
        <v>45</v>
      </c>
      <c r="C1163" s="98" t="s">
        <v>3016</v>
      </c>
      <c r="D1163" s="92" t="s">
        <v>3017</v>
      </c>
      <c r="E1163" s="90" t="s">
        <v>3018</v>
      </c>
      <c r="F1163" s="99">
        <v>43</v>
      </c>
      <c r="G1163" s="94">
        <v>3296.77</v>
      </c>
      <c r="H1163" s="94">
        <v>429.97</v>
      </c>
      <c r="I1163" s="95">
        <v>3726.74</v>
      </c>
      <c r="J1163" s="95">
        <v>141761.10999999999</v>
      </c>
      <c r="K1163" s="95">
        <v>18488.710000000021</v>
      </c>
      <c r="L1163" s="95">
        <v>160249.82</v>
      </c>
      <c r="M1163" s="96">
        <v>0.27529999999999999</v>
      </c>
      <c r="N1163" s="95">
        <v>4204.37</v>
      </c>
      <c r="O1163" s="95">
        <v>548.34</v>
      </c>
      <c r="P1163" s="95">
        <v>4752.71</v>
      </c>
      <c r="Q1163" s="95">
        <v>180787.91</v>
      </c>
      <c r="R1163" s="95">
        <v>23578.62</v>
      </c>
      <c r="S1163" s="95">
        <v>204366.53</v>
      </c>
    </row>
    <row r="1164" spans="1:19" ht="15" x14ac:dyDescent="0.25">
      <c r="A1164" s="90" t="s">
        <v>3019</v>
      </c>
      <c r="B1164" s="90"/>
      <c r="C1164" s="91" t="s">
        <v>3020</v>
      </c>
      <c r="D1164" s="92"/>
      <c r="E1164" s="90"/>
      <c r="F1164" s="99"/>
      <c r="G1164" s="94"/>
      <c r="H1164" s="94"/>
      <c r="I1164" s="95"/>
      <c r="J1164" s="95"/>
      <c r="K1164" s="95"/>
      <c r="L1164" s="95"/>
      <c r="M1164" s="96">
        <v>0</v>
      </c>
      <c r="N1164" s="95"/>
      <c r="O1164" s="95"/>
      <c r="P1164" s="95"/>
      <c r="Q1164" s="95">
        <v>0</v>
      </c>
      <c r="R1164" s="95">
        <v>0</v>
      </c>
      <c r="S1164" s="95">
        <v>0</v>
      </c>
    </row>
    <row r="1165" spans="1:19" ht="25.5" x14ac:dyDescent="0.25">
      <c r="A1165" s="90" t="s">
        <v>3021</v>
      </c>
      <c r="B1165" s="90" t="s">
        <v>95</v>
      </c>
      <c r="C1165" s="98" t="s">
        <v>3022</v>
      </c>
      <c r="D1165" s="92" t="s">
        <v>3023</v>
      </c>
      <c r="E1165" s="90" t="s">
        <v>16</v>
      </c>
      <c r="F1165" s="99">
        <v>2</v>
      </c>
      <c r="G1165" s="94">
        <v>405568.69</v>
      </c>
      <c r="H1165" s="94">
        <v>0</v>
      </c>
      <c r="I1165" s="95">
        <v>405568.69</v>
      </c>
      <c r="J1165" s="95">
        <v>811137.38</v>
      </c>
      <c r="K1165" s="95">
        <v>0</v>
      </c>
      <c r="L1165" s="95">
        <v>811137.38</v>
      </c>
      <c r="M1165" s="96">
        <v>0.1837</v>
      </c>
      <c r="N1165" s="95">
        <v>480071.66</v>
      </c>
      <c r="O1165" s="95">
        <v>0</v>
      </c>
      <c r="P1165" s="95">
        <v>480071.66</v>
      </c>
      <c r="Q1165" s="95">
        <v>960143.32</v>
      </c>
      <c r="R1165" s="95">
        <v>0</v>
      </c>
      <c r="S1165" s="95">
        <v>960143.32</v>
      </c>
    </row>
    <row r="1166" spans="1:19" ht="15" x14ac:dyDescent="0.25">
      <c r="A1166" s="90" t="s">
        <v>3021</v>
      </c>
      <c r="B1166" s="90" t="s">
        <v>45</v>
      </c>
      <c r="C1166" s="98" t="s">
        <v>3024</v>
      </c>
      <c r="D1166" s="92" t="s">
        <v>3025</v>
      </c>
      <c r="E1166" s="90" t="s">
        <v>16</v>
      </c>
      <c r="F1166" s="99">
        <v>1</v>
      </c>
      <c r="G1166" s="94">
        <v>96674.25</v>
      </c>
      <c r="H1166" s="94">
        <v>0</v>
      </c>
      <c r="I1166" s="95">
        <v>96674.25</v>
      </c>
      <c r="J1166" s="95">
        <v>96674.25</v>
      </c>
      <c r="K1166" s="95">
        <v>0</v>
      </c>
      <c r="L1166" s="95">
        <v>96674.25</v>
      </c>
      <c r="M1166" s="96">
        <v>0.1837</v>
      </c>
      <c r="N1166" s="95">
        <v>114433.31</v>
      </c>
      <c r="O1166" s="95">
        <v>0</v>
      </c>
      <c r="P1166" s="95">
        <v>114433.31</v>
      </c>
      <c r="Q1166" s="95">
        <v>114433.31</v>
      </c>
      <c r="R1166" s="95">
        <v>0</v>
      </c>
      <c r="S1166" s="95">
        <v>114433.31</v>
      </c>
    </row>
    <row r="1167" spans="1:19" ht="15" x14ac:dyDescent="0.25">
      <c r="A1167" s="90" t="s">
        <v>3026</v>
      </c>
      <c r="B1167" s="90"/>
      <c r="C1167" s="91" t="s">
        <v>3027</v>
      </c>
      <c r="D1167" s="92"/>
      <c r="E1167" s="90"/>
      <c r="F1167" s="99"/>
      <c r="G1167" s="94"/>
      <c r="H1167" s="94"/>
      <c r="I1167" s="95"/>
      <c r="J1167" s="95"/>
      <c r="K1167" s="95"/>
      <c r="L1167" s="95"/>
      <c r="M1167" s="96">
        <v>0</v>
      </c>
      <c r="N1167" s="95"/>
      <c r="O1167" s="95"/>
      <c r="P1167" s="95"/>
      <c r="Q1167" s="95">
        <v>0</v>
      </c>
      <c r="R1167" s="95">
        <v>0</v>
      </c>
      <c r="S1167" s="95">
        <v>0</v>
      </c>
    </row>
    <row r="1168" spans="1:19" ht="15" x14ac:dyDescent="0.25">
      <c r="A1168" s="90" t="s">
        <v>3028</v>
      </c>
      <c r="B1168" s="90" t="s">
        <v>706</v>
      </c>
      <c r="C1168" s="98" t="s">
        <v>3029</v>
      </c>
      <c r="D1168" s="92" t="s">
        <v>3030</v>
      </c>
      <c r="E1168" s="90" t="s">
        <v>93</v>
      </c>
      <c r="F1168" s="99">
        <v>220</v>
      </c>
      <c r="G1168" s="94">
        <v>19.64</v>
      </c>
      <c r="H1168" s="94">
        <v>6.31</v>
      </c>
      <c r="I1168" s="95">
        <v>25.95</v>
      </c>
      <c r="J1168" s="95">
        <v>4320.8</v>
      </c>
      <c r="K1168" s="95">
        <v>1388.1999999999998</v>
      </c>
      <c r="L1168" s="95">
        <v>5709</v>
      </c>
      <c r="M1168" s="96">
        <v>0.27529999999999999</v>
      </c>
      <c r="N1168" s="95">
        <v>25.05</v>
      </c>
      <c r="O1168" s="95">
        <v>8.0500000000000007</v>
      </c>
      <c r="P1168" s="95">
        <v>33.1</v>
      </c>
      <c r="Q1168" s="95">
        <v>5511</v>
      </c>
      <c r="R1168" s="95">
        <v>1771</v>
      </c>
      <c r="S1168" s="95">
        <v>7282</v>
      </c>
    </row>
    <row r="1169" spans="1:19" ht="15" x14ac:dyDescent="0.25">
      <c r="A1169" s="90" t="s">
        <v>3028</v>
      </c>
      <c r="B1169" s="90" t="s">
        <v>622</v>
      </c>
      <c r="C1169" s="98" t="s">
        <v>2571</v>
      </c>
      <c r="D1169" s="92" t="s">
        <v>3031</v>
      </c>
      <c r="E1169" s="90" t="s">
        <v>93</v>
      </c>
      <c r="F1169" s="99">
        <v>450</v>
      </c>
      <c r="G1169" s="94">
        <v>30.11</v>
      </c>
      <c r="H1169" s="94">
        <v>6.71</v>
      </c>
      <c r="I1169" s="95">
        <v>36.82</v>
      </c>
      <c r="J1169" s="95">
        <v>13549.5</v>
      </c>
      <c r="K1169" s="95">
        <v>3019.5</v>
      </c>
      <c r="L1169" s="95">
        <v>16569</v>
      </c>
      <c r="M1169" s="96">
        <v>0.27529999999999999</v>
      </c>
      <c r="N1169" s="95">
        <v>38.4</v>
      </c>
      <c r="O1169" s="95">
        <v>8.56</v>
      </c>
      <c r="P1169" s="95">
        <v>46.96</v>
      </c>
      <c r="Q1169" s="95">
        <v>17280</v>
      </c>
      <c r="R1169" s="95">
        <v>3852</v>
      </c>
      <c r="S1169" s="95">
        <v>21132</v>
      </c>
    </row>
    <row r="1170" spans="1:19" ht="15" x14ac:dyDescent="0.25">
      <c r="A1170" s="90" t="s">
        <v>3028</v>
      </c>
      <c r="B1170" s="90" t="s">
        <v>706</v>
      </c>
      <c r="C1170" s="98" t="s">
        <v>3032</v>
      </c>
      <c r="D1170" s="92" t="s">
        <v>3033</v>
      </c>
      <c r="E1170" s="90" t="s">
        <v>93</v>
      </c>
      <c r="F1170" s="99">
        <v>30</v>
      </c>
      <c r="G1170" s="94">
        <v>55.9</v>
      </c>
      <c r="H1170" s="94">
        <v>12.25</v>
      </c>
      <c r="I1170" s="95">
        <v>68.150000000000006</v>
      </c>
      <c r="J1170" s="95">
        <v>1677</v>
      </c>
      <c r="K1170" s="95">
        <v>367.5</v>
      </c>
      <c r="L1170" s="95">
        <v>2044.5</v>
      </c>
      <c r="M1170" s="96">
        <v>0.27529999999999999</v>
      </c>
      <c r="N1170" s="95">
        <v>71.290000000000006</v>
      </c>
      <c r="O1170" s="95">
        <v>15.62</v>
      </c>
      <c r="P1170" s="95">
        <v>86.910000000000011</v>
      </c>
      <c r="Q1170" s="95">
        <v>2138.6999999999998</v>
      </c>
      <c r="R1170" s="95">
        <v>468.6</v>
      </c>
      <c r="S1170" s="95">
        <v>2607.2999999999997</v>
      </c>
    </row>
    <row r="1171" spans="1:19" ht="25.5" x14ac:dyDescent="0.25">
      <c r="A1171" s="90" t="s">
        <v>3028</v>
      </c>
      <c r="B1171" s="90" t="s">
        <v>184</v>
      </c>
      <c r="C1171" s="98" t="s">
        <v>3034</v>
      </c>
      <c r="D1171" s="92" t="s">
        <v>3035</v>
      </c>
      <c r="E1171" s="90" t="s">
        <v>16</v>
      </c>
      <c r="F1171" s="99">
        <v>16</v>
      </c>
      <c r="G1171" s="94">
        <v>374.84</v>
      </c>
      <c r="H1171" s="94">
        <v>33.93</v>
      </c>
      <c r="I1171" s="95">
        <v>408.77</v>
      </c>
      <c r="J1171" s="95">
        <v>5997.44</v>
      </c>
      <c r="K1171" s="95">
        <v>542.88000000000011</v>
      </c>
      <c r="L1171" s="95">
        <v>6540.32</v>
      </c>
      <c r="M1171" s="96">
        <v>0.27529999999999999</v>
      </c>
      <c r="N1171" s="95">
        <v>478.03</v>
      </c>
      <c r="O1171" s="95">
        <v>43.27</v>
      </c>
      <c r="P1171" s="95">
        <v>521.29999999999995</v>
      </c>
      <c r="Q1171" s="95">
        <v>7648.48</v>
      </c>
      <c r="R1171" s="95">
        <v>692.32</v>
      </c>
      <c r="S1171" s="95">
        <v>8340.7999999999993</v>
      </c>
    </row>
    <row r="1172" spans="1:19" ht="38.25" x14ac:dyDescent="0.25">
      <c r="A1172" s="90" t="s">
        <v>3028</v>
      </c>
      <c r="B1172" s="90" t="s">
        <v>86</v>
      </c>
      <c r="C1172" s="98" t="s">
        <v>3036</v>
      </c>
      <c r="D1172" s="92" t="s">
        <v>3037</v>
      </c>
      <c r="E1172" s="90" t="s">
        <v>16</v>
      </c>
      <c r="F1172" s="99">
        <v>32</v>
      </c>
      <c r="G1172" s="94">
        <v>9114.17</v>
      </c>
      <c r="H1172" s="94">
        <v>0</v>
      </c>
      <c r="I1172" s="95">
        <v>9114.17</v>
      </c>
      <c r="J1172" s="95">
        <v>291653.44</v>
      </c>
      <c r="K1172" s="95">
        <v>0</v>
      </c>
      <c r="L1172" s="95">
        <v>291653.44</v>
      </c>
      <c r="M1172" s="96">
        <v>0.27529999999999999</v>
      </c>
      <c r="N1172" s="95">
        <v>11623.3</v>
      </c>
      <c r="O1172" s="95">
        <v>0</v>
      </c>
      <c r="P1172" s="95">
        <v>11623.3</v>
      </c>
      <c r="Q1172" s="95">
        <v>371945.6</v>
      </c>
      <c r="R1172" s="95">
        <v>0</v>
      </c>
      <c r="S1172" s="95">
        <v>371945.6</v>
      </c>
    </row>
    <row r="1173" spans="1:19" ht="25.5" x14ac:dyDescent="0.25">
      <c r="A1173" s="90" t="s">
        <v>3028</v>
      </c>
      <c r="B1173" s="90" t="s">
        <v>184</v>
      </c>
      <c r="C1173" s="98" t="s">
        <v>3038</v>
      </c>
      <c r="D1173" s="92" t="s">
        <v>3039</v>
      </c>
      <c r="E1173" s="90" t="s">
        <v>16</v>
      </c>
      <c r="F1173" s="99">
        <v>64</v>
      </c>
      <c r="G1173" s="94">
        <v>4878.2</v>
      </c>
      <c r="H1173" s="94">
        <v>0</v>
      </c>
      <c r="I1173" s="95">
        <v>4878.2</v>
      </c>
      <c r="J1173" s="95">
        <v>312204.79999999999</v>
      </c>
      <c r="K1173" s="95">
        <v>0</v>
      </c>
      <c r="L1173" s="95">
        <v>312204.79999999999</v>
      </c>
      <c r="M1173" s="96">
        <v>0.27529999999999999</v>
      </c>
      <c r="N1173" s="95">
        <v>6221.17</v>
      </c>
      <c r="O1173" s="95">
        <v>0</v>
      </c>
      <c r="P1173" s="95">
        <v>6221.17</v>
      </c>
      <c r="Q1173" s="95">
        <v>398154.88</v>
      </c>
      <c r="R1173" s="95">
        <v>0</v>
      </c>
      <c r="S1173" s="95">
        <v>398154.88</v>
      </c>
    </row>
    <row r="1174" spans="1:19" ht="25.5" x14ac:dyDescent="0.25">
      <c r="A1174" s="90" t="s">
        <v>3028</v>
      </c>
      <c r="B1174" s="90" t="s">
        <v>95</v>
      </c>
      <c r="C1174" s="98" t="s">
        <v>3040</v>
      </c>
      <c r="D1174" s="92" t="s">
        <v>3041</v>
      </c>
      <c r="E1174" s="90" t="s">
        <v>16</v>
      </c>
      <c r="F1174" s="99">
        <v>64</v>
      </c>
      <c r="G1174" s="94">
        <v>540.85</v>
      </c>
      <c r="H1174" s="94">
        <v>19.75</v>
      </c>
      <c r="I1174" s="95">
        <v>560.6</v>
      </c>
      <c r="J1174" s="95">
        <v>34614.400000000001</v>
      </c>
      <c r="K1174" s="95">
        <v>1264</v>
      </c>
      <c r="L1174" s="95">
        <v>35878.400000000001</v>
      </c>
      <c r="M1174" s="96">
        <v>0.27529999999999999</v>
      </c>
      <c r="N1174" s="95">
        <v>689.75</v>
      </c>
      <c r="O1174" s="95">
        <v>25.19</v>
      </c>
      <c r="P1174" s="95">
        <v>714.94</v>
      </c>
      <c r="Q1174" s="95">
        <v>44144</v>
      </c>
      <c r="R1174" s="95">
        <v>1612.16</v>
      </c>
      <c r="S1174" s="95">
        <v>45756.160000000003</v>
      </c>
    </row>
    <row r="1175" spans="1:19" ht="25.5" x14ac:dyDescent="0.25">
      <c r="A1175" s="90" t="s">
        <v>3028</v>
      </c>
      <c r="B1175" s="90" t="s">
        <v>95</v>
      </c>
      <c r="C1175" s="98" t="s">
        <v>3042</v>
      </c>
      <c r="D1175" s="92" t="s">
        <v>3043</v>
      </c>
      <c r="E1175" s="90" t="s">
        <v>16</v>
      </c>
      <c r="F1175" s="99">
        <v>64</v>
      </c>
      <c r="G1175" s="94">
        <v>6001.01</v>
      </c>
      <c r="H1175" s="94">
        <v>73.45</v>
      </c>
      <c r="I1175" s="95">
        <v>6074.46</v>
      </c>
      <c r="J1175" s="95">
        <v>384064.64</v>
      </c>
      <c r="K1175" s="95">
        <v>4700.7999999999884</v>
      </c>
      <c r="L1175" s="95">
        <v>388765.44</v>
      </c>
      <c r="M1175" s="96">
        <v>0.27529999999999999</v>
      </c>
      <c r="N1175" s="95">
        <v>7653.09</v>
      </c>
      <c r="O1175" s="95">
        <v>93.67</v>
      </c>
      <c r="P1175" s="95">
        <v>7746.76</v>
      </c>
      <c r="Q1175" s="95">
        <v>489797.76</v>
      </c>
      <c r="R1175" s="95">
        <v>5994.88</v>
      </c>
      <c r="S1175" s="95">
        <v>495792.64000000001</v>
      </c>
    </row>
    <row r="1176" spans="1:19" ht="25.5" x14ac:dyDescent="0.25">
      <c r="A1176" s="90" t="s">
        <v>3028</v>
      </c>
      <c r="B1176" s="90" t="s">
        <v>184</v>
      </c>
      <c r="C1176" s="98" t="s">
        <v>3044</v>
      </c>
      <c r="D1176" s="92" t="s">
        <v>3045</v>
      </c>
      <c r="E1176" s="90" t="s">
        <v>16</v>
      </c>
      <c r="F1176" s="99">
        <v>2</v>
      </c>
      <c r="G1176" s="94">
        <v>7155</v>
      </c>
      <c r="H1176" s="94">
        <v>0</v>
      </c>
      <c r="I1176" s="95">
        <v>7155</v>
      </c>
      <c r="J1176" s="95">
        <v>14310</v>
      </c>
      <c r="K1176" s="95">
        <v>0</v>
      </c>
      <c r="L1176" s="95">
        <v>14310</v>
      </c>
      <c r="M1176" s="96">
        <v>0.27529999999999999</v>
      </c>
      <c r="N1176" s="95">
        <v>9124.77</v>
      </c>
      <c r="O1176" s="95">
        <v>0</v>
      </c>
      <c r="P1176" s="95">
        <v>9124.77</v>
      </c>
      <c r="Q1176" s="95">
        <v>18249.54</v>
      </c>
      <c r="R1176" s="95">
        <v>0</v>
      </c>
      <c r="S1176" s="95">
        <v>18249.54</v>
      </c>
    </row>
    <row r="1177" spans="1:19" ht="15" x14ac:dyDescent="0.25">
      <c r="A1177" s="90" t="s">
        <v>3028</v>
      </c>
      <c r="B1177" s="90" t="s">
        <v>184</v>
      </c>
      <c r="C1177" s="98" t="s">
        <v>3044</v>
      </c>
      <c r="D1177" s="92" t="s">
        <v>3046</v>
      </c>
      <c r="E1177" s="90" t="s">
        <v>16</v>
      </c>
      <c r="F1177" s="99">
        <v>64</v>
      </c>
      <c r="G1177" s="94">
        <v>105</v>
      </c>
      <c r="H1177" s="94">
        <v>0</v>
      </c>
      <c r="I1177" s="95">
        <v>105</v>
      </c>
      <c r="J1177" s="95">
        <v>6720</v>
      </c>
      <c r="K1177" s="95">
        <v>0</v>
      </c>
      <c r="L1177" s="95">
        <v>6720</v>
      </c>
      <c r="M1177" s="96">
        <v>0.27529999999999999</v>
      </c>
      <c r="N1177" s="95">
        <v>133.91</v>
      </c>
      <c r="O1177" s="95">
        <v>0</v>
      </c>
      <c r="P1177" s="95">
        <v>133.91</v>
      </c>
      <c r="Q1177" s="95">
        <v>8570.24</v>
      </c>
      <c r="R1177" s="95">
        <v>0</v>
      </c>
      <c r="S1177" s="95">
        <v>8570.24</v>
      </c>
    </row>
    <row r="1178" spans="1:19" ht="15" x14ac:dyDescent="0.25">
      <c r="A1178" s="90" t="s">
        <v>3028</v>
      </c>
      <c r="B1178" s="90" t="s">
        <v>184</v>
      </c>
      <c r="C1178" s="98" t="s">
        <v>3047</v>
      </c>
      <c r="D1178" s="92" t="s">
        <v>3048</v>
      </c>
      <c r="E1178" s="90" t="s">
        <v>16</v>
      </c>
      <c r="F1178" s="99">
        <v>32</v>
      </c>
      <c r="G1178" s="94">
        <v>302.68</v>
      </c>
      <c r="H1178" s="94">
        <v>0</v>
      </c>
      <c r="I1178" s="95">
        <v>302.68</v>
      </c>
      <c r="J1178" s="95">
        <v>9685.76</v>
      </c>
      <c r="K1178" s="95">
        <v>0</v>
      </c>
      <c r="L1178" s="95">
        <v>9685.76</v>
      </c>
      <c r="M1178" s="96">
        <v>0.27529999999999999</v>
      </c>
      <c r="N1178" s="95">
        <v>386.01</v>
      </c>
      <c r="O1178" s="95">
        <v>0</v>
      </c>
      <c r="P1178" s="95">
        <v>386.01</v>
      </c>
      <c r="Q1178" s="95">
        <v>12352.32</v>
      </c>
      <c r="R1178" s="95">
        <v>0</v>
      </c>
      <c r="S1178" s="95">
        <v>12352.32</v>
      </c>
    </row>
    <row r="1179" spans="1:19" ht="25.5" x14ac:dyDescent="0.25">
      <c r="A1179" s="90" t="s">
        <v>3028</v>
      </c>
      <c r="B1179" s="90" t="s">
        <v>31</v>
      </c>
      <c r="C1179" s="98" t="s">
        <v>3049</v>
      </c>
      <c r="D1179" s="92" t="s">
        <v>3050</v>
      </c>
      <c r="E1179" s="90" t="s">
        <v>16</v>
      </c>
      <c r="F1179" s="99">
        <v>32</v>
      </c>
      <c r="G1179" s="94">
        <v>5018.33</v>
      </c>
      <c r="H1179" s="94">
        <v>7.3</v>
      </c>
      <c r="I1179" s="95">
        <v>5025.63</v>
      </c>
      <c r="J1179" s="95">
        <v>160586.56</v>
      </c>
      <c r="K1179" s="95">
        <v>233.60000000000582</v>
      </c>
      <c r="L1179" s="95">
        <v>160820.16</v>
      </c>
      <c r="M1179" s="96">
        <v>0.27529999999999999</v>
      </c>
      <c r="N1179" s="95">
        <v>6399.88</v>
      </c>
      <c r="O1179" s="95">
        <v>9.31</v>
      </c>
      <c r="P1179" s="95">
        <v>6409.1900000000005</v>
      </c>
      <c r="Q1179" s="95">
        <v>204796.16</v>
      </c>
      <c r="R1179" s="95">
        <v>297.92</v>
      </c>
      <c r="S1179" s="95">
        <v>205094.08000000002</v>
      </c>
    </row>
    <row r="1180" spans="1:19" ht="15" x14ac:dyDescent="0.25">
      <c r="A1180" s="90" t="s">
        <v>3028</v>
      </c>
      <c r="B1180" s="90" t="s">
        <v>706</v>
      </c>
      <c r="C1180" s="98" t="s">
        <v>3051</v>
      </c>
      <c r="D1180" s="92" t="s">
        <v>3052</v>
      </c>
      <c r="E1180" s="90" t="s">
        <v>16</v>
      </c>
      <c r="F1180" s="99">
        <v>1</v>
      </c>
      <c r="G1180" s="94">
        <v>13000</v>
      </c>
      <c r="H1180" s="94">
        <v>0</v>
      </c>
      <c r="I1180" s="95">
        <v>13000</v>
      </c>
      <c r="J1180" s="95">
        <v>13000</v>
      </c>
      <c r="K1180" s="95">
        <v>0</v>
      </c>
      <c r="L1180" s="95">
        <v>13000</v>
      </c>
      <c r="M1180" s="96">
        <v>0.27529999999999999</v>
      </c>
      <c r="N1180" s="95">
        <v>16578.900000000001</v>
      </c>
      <c r="O1180" s="95">
        <v>0</v>
      </c>
      <c r="P1180" s="95">
        <v>16578.900000000001</v>
      </c>
      <c r="Q1180" s="95">
        <v>16578.900000000001</v>
      </c>
      <c r="R1180" s="95">
        <v>0</v>
      </c>
      <c r="S1180" s="95">
        <v>16578.900000000001</v>
      </c>
    </row>
    <row r="1181" spans="1:19" ht="15" x14ac:dyDescent="0.25">
      <c r="A1181" s="90" t="s">
        <v>3053</v>
      </c>
      <c r="B1181" s="90"/>
      <c r="C1181" s="91" t="s">
        <v>3054</v>
      </c>
      <c r="D1181" s="92"/>
      <c r="E1181" s="90"/>
      <c r="F1181" s="99"/>
      <c r="G1181" s="94"/>
      <c r="H1181" s="94"/>
      <c r="I1181" s="95"/>
      <c r="J1181" s="95"/>
      <c r="K1181" s="95"/>
      <c r="L1181" s="95"/>
      <c r="M1181" s="96">
        <v>0</v>
      </c>
      <c r="N1181" s="95"/>
      <c r="O1181" s="95"/>
      <c r="P1181" s="95"/>
      <c r="Q1181" s="95">
        <v>0</v>
      </c>
      <c r="R1181" s="95">
        <v>0</v>
      </c>
      <c r="S1181" s="95">
        <v>0</v>
      </c>
    </row>
    <row r="1182" spans="1:19" ht="25.5" x14ac:dyDescent="0.25">
      <c r="A1182" s="90" t="s">
        <v>3055</v>
      </c>
      <c r="B1182" s="90" t="s">
        <v>86</v>
      </c>
      <c r="C1182" s="98" t="s">
        <v>1954</v>
      </c>
      <c r="D1182" s="92" t="s">
        <v>3056</v>
      </c>
      <c r="E1182" s="90" t="s">
        <v>16</v>
      </c>
      <c r="F1182" s="99">
        <v>12</v>
      </c>
      <c r="G1182" s="94">
        <v>2749.44</v>
      </c>
      <c r="H1182" s="94">
        <v>16.66</v>
      </c>
      <c r="I1182" s="95">
        <v>2766.1</v>
      </c>
      <c r="J1182" s="95">
        <v>32993.279999999999</v>
      </c>
      <c r="K1182" s="95">
        <v>199.91999999999825</v>
      </c>
      <c r="L1182" s="95">
        <v>33193.199999999997</v>
      </c>
      <c r="M1182" s="96">
        <v>0.27529999999999999</v>
      </c>
      <c r="N1182" s="95">
        <v>3506.36</v>
      </c>
      <c r="O1182" s="95">
        <v>21.25</v>
      </c>
      <c r="P1182" s="95">
        <v>3527.61</v>
      </c>
      <c r="Q1182" s="95">
        <v>42076.32</v>
      </c>
      <c r="R1182" s="95">
        <v>255</v>
      </c>
      <c r="S1182" s="95">
        <v>42331.32</v>
      </c>
    </row>
    <row r="1183" spans="1:19" ht="15" x14ac:dyDescent="0.25">
      <c r="A1183" s="90" t="s">
        <v>3055</v>
      </c>
      <c r="B1183" s="90" t="s">
        <v>86</v>
      </c>
      <c r="C1183" s="98" t="s">
        <v>1954</v>
      </c>
      <c r="D1183" s="92" t="s">
        <v>3057</v>
      </c>
      <c r="E1183" s="90" t="s">
        <v>16</v>
      </c>
      <c r="F1183" s="99">
        <v>1</v>
      </c>
      <c r="G1183" s="94">
        <v>2749.44</v>
      </c>
      <c r="H1183" s="94">
        <v>16.66</v>
      </c>
      <c r="I1183" s="95">
        <v>2766.1</v>
      </c>
      <c r="J1183" s="95">
        <v>2749.44</v>
      </c>
      <c r="K1183" s="95">
        <v>16.659999999999854</v>
      </c>
      <c r="L1183" s="95">
        <v>2766.1</v>
      </c>
      <c r="M1183" s="96">
        <v>0.27529999999999999</v>
      </c>
      <c r="N1183" s="95">
        <v>3506.36</v>
      </c>
      <c r="O1183" s="95">
        <v>21.25</v>
      </c>
      <c r="P1183" s="95">
        <v>3527.61</v>
      </c>
      <c r="Q1183" s="95">
        <v>3506.36</v>
      </c>
      <c r="R1183" s="95">
        <v>21.25</v>
      </c>
      <c r="S1183" s="95">
        <v>3527.61</v>
      </c>
    </row>
    <row r="1184" spans="1:19" ht="15" x14ac:dyDescent="0.25">
      <c r="A1184" s="90" t="s">
        <v>3055</v>
      </c>
      <c r="B1184" s="90" t="s">
        <v>86</v>
      </c>
      <c r="C1184" s="98" t="s">
        <v>1954</v>
      </c>
      <c r="D1184" s="92" t="s">
        <v>3058</v>
      </c>
      <c r="E1184" s="90" t="s">
        <v>16</v>
      </c>
      <c r="F1184" s="99">
        <v>1</v>
      </c>
      <c r="G1184" s="94">
        <v>2749.44</v>
      </c>
      <c r="H1184" s="94">
        <v>16.66</v>
      </c>
      <c r="I1184" s="95">
        <v>2766.1</v>
      </c>
      <c r="J1184" s="95">
        <v>2749.44</v>
      </c>
      <c r="K1184" s="95">
        <v>16.659999999999854</v>
      </c>
      <c r="L1184" s="95">
        <v>2766.1</v>
      </c>
      <c r="M1184" s="96">
        <v>0.27529999999999999</v>
      </c>
      <c r="N1184" s="95">
        <v>3506.36</v>
      </c>
      <c r="O1184" s="95">
        <v>21.25</v>
      </c>
      <c r="P1184" s="95">
        <v>3527.61</v>
      </c>
      <c r="Q1184" s="95">
        <v>3506.36</v>
      </c>
      <c r="R1184" s="95">
        <v>21.25</v>
      </c>
      <c r="S1184" s="95">
        <v>3527.61</v>
      </c>
    </row>
    <row r="1185" spans="1:19" ht="15" x14ac:dyDescent="0.25">
      <c r="A1185" s="90" t="s">
        <v>3055</v>
      </c>
      <c r="B1185" s="90" t="s">
        <v>86</v>
      </c>
      <c r="C1185" s="98" t="s">
        <v>1954</v>
      </c>
      <c r="D1185" s="92" t="s">
        <v>3059</v>
      </c>
      <c r="E1185" s="90" t="s">
        <v>16</v>
      </c>
      <c r="F1185" s="99">
        <v>1</v>
      </c>
      <c r="G1185" s="94">
        <v>2749.44</v>
      </c>
      <c r="H1185" s="94">
        <v>16.66</v>
      </c>
      <c r="I1185" s="95">
        <v>2766.1</v>
      </c>
      <c r="J1185" s="95">
        <v>2749.44</v>
      </c>
      <c r="K1185" s="95">
        <v>16.659999999999854</v>
      </c>
      <c r="L1185" s="95">
        <v>2766.1</v>
      </c>
      <c r="M1185" s="96">
        <v>0.27529999999999999</v>
      </c>
      <c r="N1185" s="95">
        <v>3506.36</v>
      </c>
      <c r="O1185" s="95">
        <v>21.25</v>
      </c>
      <c r="P1185" s="95">
        <v>3527.61</v>
      </c>
      <c r="Q1185" s="95">
        <v>3506.36</v>
      </c>
      <c r="R1185" s="95">
        <v>21.25</v>
      </c>
      <c r="S1185" s="95">
        <v>3527.61</v>
      </c>
    </row>
    <row r="1186" spans="1:19" ht="15" x14ac:dyDescent="0.25">
      <c r="A1186" s="90" t="s">
        <v>3055</v>
      </c>
      <c r="B1186" s="90" t="s">
        <v>86</v>
      </c>
      <c r="C1186" s="98" t="s">
        <v>1954</v>
      </c>
      <c r="D1186" s="92" t="s">
        <v>3060</v>
      </c>
      <c r="E1186" s="90" t="s">
        <v>16</v>
      </c>
      <c r="F1186" s="99">
        <v>1</v>
      </c>
      <c r="G1186" s="94">
        <v>2749.44</v>
      </c>
      <c r="H1186" s="94">
        <v>16.66</v>
      </c>
      <c r="I1186" s="95">
        <v>2766.1</v>
      </c>
      <c r="J1186" s="95">
        <v>2749.44</v>
      </c>
      <c r="K1186" s="95">
        <v>16.659999999999854</v>
      </c>
      <c r="L1186" s="95">
        <v>2766.1</v>
      </c>
      <c r="M1186" s="96">
        <v>0.27529999999999999</v>
      </c>
      <c r="N1186" s="95">
        <v>3506.36</v>
      </c>
      <c r="O1186" s="95">
        <v>21.25</v>
      </c>
      <c r="P1186" s="95">
        <v>3527.61</v>
      </c>
      <c r="Q1186" s="95">
        <v>3506.36</v>
      </c>
      <c r="R1186" s="95">
        <v>21.25</v>
      </c>
      <c r="S1186" s="95">
        <v>3527.61</v>
      </c>
    </row>
    <row r="1187" spans="1:19" ht="15" x14ac:dyDescent="0.25">
      <c r="A1187" s="90" t="s">
        <v>3055</v>
      </c>
      <c r="B1187" s="90" t="s">
        <v>86</v>
      </c>
      <c r="C1187" s="98" t="s">
        <v>1954</v>
      </c>
      <c r="D1187" s="92" t="s">
        <v>3061</v>
      </c>
      <c r="E1187" s="90" t="s">
        <v>16</v>
      </c>
      <c r="F1187" s="99">
        <v>1</v>
      </c>
      <c r="G1187" s="94">
        <v>2749.44</v>
      </c>
      <c r="H1187" s="94">
        <v>16.66</v>
      </c>
      <c r="I1187" s="95">
        <v>2766.1</v>
      </c>
      <c r="J1187" s="95">
        <v>2749.44</v>
      </c>
      <c r="K1187" s="95">
        <v>16.659999999999854</v>
      </c>
      <c r="L1187" s="95">
        <v>2766.1</v>
      </c>
      <c r="M1187" s="96">
        <v>0.27529999999999999</v>
      </c>
      <c r="N1187" s="95">
        <v>3506.36</v>
      </c>
      <c r="O1187" s="95">
        <v>21.25</v>
      </c>
      <c r="P1187" s="95">
        <v>3527.61</v>
      </c>
      <c r="Q1187" s="95">
        <v>3506.36</v>
      </c>
      <c r="R1187" s="95">
        <v>21.25</v>
      </c>
      <c r="S1187" s="95">
        <v>3527.61</v>
      </c>
    </row>
    <row r="1188" spans="1:19" ht="15" x14ac:dyDescent="0.25">
      <c r="A1188" s="90" t="s">
        <v>3055</v>
      </c>
      <c r="B1188" s="90" t="s">
        <v>86</v>
      </c>
      <c r="C1188" s="98" t="s">
        <v>1954</v>
      </c>
      <c r="D1188" s="92" t="s">
        <v>3062</v>
      </c>
      <c r="E1188" s="90" t="s">
        <v>16</v>
      </c>
      <c r="F1188" s="99">
        <v>1</v>
      </c>
      <c r="G1188" s="94">
        <v>2749.44</v>
      </c>
      <c r="H1188" s="94">
        <v>16.66</v>
      </c>
      <c r="I1188" s="95">
        <v>2766.1</v>
      </c>
      <c r="J1188" s="95">
        <v>2749.44</v>
      </c>
      <c r="K1188" s="95">
        <v>16.659999999999854</v>
      </c>
      <c r="L1188" s="95">
        <v>2766.1</v>
      </c>
      <c r="M1188" s="96">
        <v>0.27529999999999999</v>
      </c>
      <c r="N1188" s="95">
        <v>3506.36</v>
      </c>
      <c r="O1188" s="95">
        <v>21.25</v>
      </c>
      <c r="P1188" s="95">
        <v>3527.61</v>
      </c>
      <c r="Q1188" s="95">
        <v>3506.36</v>
      </c>
      <c r="R1188" s="95">
        <v>21.25</v>
      </c>
      <c r="S1188" s="95">
        <v>3527.61</v>
      </c>
    </row>
    <row r="1189" spans="1:19" ht="15" x14ac:dyDescent="0.25">
      <c r="A1189" s="90" t="s">
        <v>3055</v>
      </c>
      <c r="B1189" s="90" t="s">
        <v>45</v>
      </c>
      <c r="C1189" s="98" t="s">
        <v>3063</v>
      </c>
      <c r="D1189" s="92" t="s">
        <v>3064</v>
      </c>
      <c r="E1189" s="90" t="s">
        <v>3018</v>
      </c>
      <c r="F1189" s="99">
        <v>216</v>
      </c>
      <c r="G1189" s="94">
        <v>256.70999999999998</v>
      </c>
      <c r="H1189" s="94">
        <v>0</v>
      </c>
      <c r="I1189" s="95">
        <v>256.70999999999998</v>
      </c>
      <c r="J1189" s="95">
        <v>55449.36</v>
      </c>
      <c r="K1189" s="95">
        <v>0</v>
      </c>
      <c r="L1189" s="95">
        <v>55449.36</v>
      </c>
      <c r="M1189" s="96">
        <v>0.27529999999999999</v>
      </c>
      <c r="N1189" s="95">
        <v>327.38</v>
      </c>
      <c r="O1189" s="95">
        <v>0</v>
      </c>
      <c r="P1189" s="95">
        <v>327.38</v>
      </c>
      <c r="Q1189" s="95">
        <v>70714.080000000002</v>
      </c>
      <c r="R1189" s="95">
        <v>0</v>
      </c>
      <c r="S1189" s="95">
        <v>70714.080000000002</v>
      </c>
    </row>
    <row r="1190" spans="1:19" ht="15" x14ac:dyDescent="0.25">
      <c r="A1190" s="90" t="s">
        <v>3055</v>
      </c>
      <c r="B1190" s="90" t="s">
        <v>1476</v>
      </c>
      <c r="C1190" s="98" t="s">
        <v>3065</v>
      </c>
      <c r="D1190" s="92" t="s">
        <v>3066</v>
      </c>
      <c r="E1190" s="90" t="s">
        <v>16</v>
      </c>
      <c r="F1190" s="99">
        <v>254</v>
      </c>
      <c r="G1190" s="94">
        <v>114.69</v>
      </c>
      <c r="H1190" s="94">
        <v>18.97</v>
      </c>
      <c r="I1190" s="95">
        <v>133.66</v>
      </c>
      <c r="J1190" s="95">
        <v>29131.26</v>
      </c>
      <c r="K1190" s="95">
        <v>4818.380000000001</v>
      </c>
      <c r="L1190" s="95">
        <v>33949.64</v>
      </c>
      <c r="M1190" s="96">
        <v>0.27529999999999999</v>
      </c>
      <c r="N1190" s="95">
        <v>146.26</v>
      </c>
      <c r="O1190" s="95">
        <v>24.19</v>
      </c>
      <c r="P1190" s="95">
        <v>170.45</v>
      </c>
      <c r="Q1190" s="95">
        <v>37150.04</v>
      </c>
      <c r="R1190" s="95">
        <v>6144.26</v>
      </c>
      <c r="S1190" s="95">
        <v>43294.3</v>
      </c>
    </row>
    <row r="1191" spans="1:19" ht="15" x14ac:dyDescent="0.25">
      <c r="A1191" s="90" t="s">
        <v>3055</v>
      </c>
      <c r="B1191" s="90" t="s">
        <v>1476</v>
      </c>
      <c r="C1191" s="98" t="s">
        <v>3065</v>
      </c>
      <c r="D1191" s="92" t="s">
        <v>3067</v>
      </c>
      <c r="E1191" s="90" t="s">
        <v>16</v>
      </c>
      <c r="F1191" s="99">
        <v>254</v>
      </c>
      <c r="G1191" s="94">
        <v>114.69</v>
      </c>
      <c r="H1191" s="94">
        <v>18.97</v>
      </c>
      <c r="I1191" s="95">
        <v>133.66</v>
      </c>
      <c r="J1191" s="95">
        <v>29131.26</v>
      </c>
      <c r="K1191" s="95">
        <v>4818.380000000001</v>
      </c>
      <c r="L1191" s="95">
        <v>33949.64</v>
      </c>
      <c r="M1191" s="96">
        <v>0.27529999999999999</v>
      </c>
      <c r="N1191" s="95">
        <v>146.26</v>
      </c>
      <c r="O1191" s="95">
        <v>24.19</v>
      </c>
      <c r="P1191" s="95">
        <v>170.45</v>
      </c>
      <c r="Q1191" s="95">
        <v>37150.04</v>
      </c>
      <c r="R1191" s="95">
        <v>6144.26</v>
      </c>
      <c r="S1191" s="95">
        <v>43294.3</v>
      </c>
    </row>
    <row r="1192" spans="1:19" ht="15" x14ac:dyDescent="0.25">
      <c r="A1192" s="90" t="s">
        <v>3055</v>
      </c>
      <c r="B1192" s="90" t="s">
        <v>1476</v>
      </c>
      <c r="C1192" s="98" t="s">
        <v>3065</v>
      </c>
      <c r="D1192" s="92" t="s">
        <v>3068</v>
      </c>
      <c r="E1192" s="90" t="s">
        <v>16</v>
      </c>
      <c r="F1192" s="99">
        <v>218</v>
      </c>
      <c r="G1192" s="94">
        <v>114.69</v>
      </c>
      <c r="H1192" s="94">
        <v>18.97</v>
      </c>
      <c r="I1192" s="95">
        <v>133.66</v>
      </c>
      <c r="J1192" s="95">
        <v>25002.42</v>
      </c>
      <c r="K1192" s="95">
        <v>4135.4600000000028</v>
      </c>
      <c r="L1192" s="95">
        <v>29137.88</v>
      </c>
      <c r="M1192" s="96">
        <v>0.27529999999999999</v>
      </c>
      <c r="N1192" s="95">
        <v>146.26</v>
      </c>
      <c r="O1192" s="95">
        <v>24.19</v>
      </c>
      <c r="P1192" s="95">
        <v>170.45</v>
      </c>
      <c r="Q1192" s="95">
        <v>31884.68</v>
      </c>
      <c r="R1192" s="95">
        <v>5273.42</v>
      </c>
      <c r="S1192" s="95">
        <v>37158.1</v>
      </c>
    </row>
    <row r="1193" spans="1:19" ht="15" x14ac:dyDescent="0.25">
      <c r="A1193" s="90" t="s">
        <v>3055</v>
      </c>
      <c r="B1193" s="90" t="s">
        <v>1055</v>
      </c>
      <c r="C1193" s="98" t="s">
        <v>3069</v>
      </c>
      <c r="D1193" s="92" t="s">
        <v>3070</v>
      </c>
      <c r="E1193" s="90" t="s">
        <v>16</v>
      </c>
      <c r="F1193" s="99">
        <v>18</v>
      </c>
      <c r="G1193" s="94">
        <v>829.73</v>
      </c>
      <c r="H1193" s="94">
        <v>0</v>
      </c>
      <c r="I1193" s="95">
        <v>829.73</v>
      </c>
      <c r="J1193" s="95">
        <v>14935.14</v>
      </c>
      <c r="K1193" s="95">
        <v>0</v>
      </c>
      <c r="L1193" s="95">
        <v>14935.14</v>
      </c>
      <c r="M1193" s="96">
        <v>0.27529999999999999</v>
      </c>
      <c r="N1193" s="95">
        <v>1058.1500000000001</v>
      </c>
      <c r="O1193" s="95">
        <v>0</v>
      </c>
      <c r="P1193" s="95">
        <v>1058.1500000000001</v>
      </c>
      <c r="Q1193" s="95">
        <v>19046.7</v>
      </c>
      <c r="R1193" s="95">
        <v>0</v>
      </c>
      <c r="S1193" s="95">
        <v>19046.7</v>
      </c>
    </row>
    <row r="1194" spans="1:19" ht="15" x14ac:dyDescent="0.25">
      <c r="A1194" s="90" t="s">
        <v>3055</v>
      </c>
      <c r="B1194" s="90" t="s">
        <v>1476</v>
      </c>
      <c r="C1194" s="98" t="s">
        <v>3071</v>
      </c>
      <c r="D1194" s="92" t="s">
        <v>3072</v>
      </c>
      <c r="E1194" s="90" t="s">
        <v>93</v>
      </c>
      <c r="F1194" s="99">
        <v>31120</v>
      </c>
      <c r="G1194" s="94">
        <v>1.53</v>
      </c>
      <c r="H1194" s="94">
        <v>0</v>
      </c>
      <c r="I1194" s="95">
        <v>1.53</v>
      </c>
      <c r="J1194" s="95">
        <v>47613.599999999999</v>
      </c>
      <c r="K1194" s="95">
        <v>0</v>
      </c>
      <c r="L1194" s="95">
        <v>47613.599999999999</v>
      </c>
      <c r="M1194" s="96">
        <v>0.27529999999999999</v>
      </c>
      <c r="N1194" s="95">
        <v>1.95</v>
      </c>
      <c r="O1194" s="95">
        <v>0</v>
      </c>
      <c r="P1194" s="95">
        <v>1.95</v>
      </c>
      <c r="Q1194" s="95">
        <v>60684</v>
      </c>
      <c r="R1194" s="95">
        <v>0</v>
      </c>
      <c r="S1194" s="95">
        <v>60684</v>
      </c>
    </row>
    <row r="1195" spans="1:19" ht="15" x14ac:dyDescent="0.25">
      <c r="A1195" s="90" t="s">
        <v>3073</v>
      </c>
      <c r="B1195" s="90"/>
      <c r="C1195" s="98" t="s">
        <v>3074</v>
      </c>
      <c r="D1195" s="92"/>
      <c r="E1195" s="90"/>
      <c r="F1195" s="99"/>
      <c r="G1195" s="94"/>
      <c r="H1195" s="94"/>
      <c r="I1195" s="95"/>
      <c r="J1195" s="95"/>
      <c r="K1195" s="95"/>
      <c r="L1195" s="95"/>
      <c r="M1195" s="96"/>
      <c r="N1195" s="95"/>
      <c r="O1195" s="95"/>
      <c r="P1195" s="95"/>
      <c r="Q1195" s="95">
        <v>0</v>
      </c>
      <c r="R1195" s="95">
        <v>0</v>
      </c>
      <c r="S1195" s="95">
        <v>0</v>
      </c>
    </row>
    <row r="1196" spans="1:19" ht="15" x14ac:dyDescent="0.25">
      <c r="A1196" s="90" t="s">
        <v>3075</v>
      </c>
      <c r="B1196" s="90" t="s">
        <v>1802</v>
      </c>
      <c r="C1196" s="98" t="s">
        <v>3076</v>
      </c>
      <c r="D1196" s="92" t="s">
        <v>3077</v>
      </c>
      <c r="E1196" s="90" t="s">
        <v>93</v>
      </c>
      <c r="F1196" s="99">
        <v>1533</v>
      </c>
      <c r="G1196" s="94">
        <v>13.42</v>
      </c>
      <c r="H1196" s="94">
        <v>12.65</v>
      </c>
      <c r="I1196" s="95">
        <v>26.07</v>
      </c>
      <c r="J1196" s="95">
        <v>20572.86</v>
      </c>
      <c r="K1196" s="95">
        <v>19392.449999999997</v>
      </c>
      <c r="L1196" s="95">
        <v>39965.31</v>
      </c>
      <c r="M1196" s="96">
        <v>0.27529999999999999</v>
      </c>
      <c r="N1196" s="95">
        <v>17.11</v>
      </c>
      <c r="O1196" s="95">
        <v>16.13</v>
      </c>
      <c r="P1196" s="95">
        <v>33.239999999999995</v>
      </c>
      <c r="Q1196" s="95">
        <v>26229.63</v>
      </c>
      <c r="R1196" s="95">
        <v>24727.29</v>
      </c>
      <c r="S1196" s="95">
        <v>50956.92</v>
      </c>
    </row>
    <row r="1197" spans="1:19" ht="15" x14ac:dyDescent="0.25">
      <c r="A1197" s="90" t="s">
        <v>3075</v>
      </c>
      <c r="B1197" s="90" t="s">
        <v>45</v>
      </c>
      <c r="C1197" s="98" t="s">
        <v>3078</v>
      </c>
      <c r="D1197" s="92" t="s">
        <v>3079</v>
      </c>
      <c r="E1197" s="90" t="s">
        <v>3018</v>
      </c>
      <c r="F1197" s="99">
        <v>10731</v>
      </c>
      <c r="G1197" s="94">
        <v>1.38</v>
      </c>
      <c r="H1197" s="94">
        <v>0</v>
      </c>
      <c r="I1197" s="95">
        <v>1.38</v>
      </c>
      <c r="J1197" s="95">
        <v>14808.78</v>
      </c>
      <c r="K1197" s="95">
        <v>0</v>
      </c>
      <c r="L1197" s="95">
        <v>14808.78</v>
      </c>
      <c r="M1197" s="96">
        <v>0.27529999999999999</v>
      </c>
      <c r="N1197" s="95">
        <v>1.76</v>
      </c>
      <c r="O1197" s="95">
        <v>0</v>
      </c>
      <c r="P1197" s="95">
        <v>1.76</v>
      </c>
      <c r="Q1197" s="95">
        <v>18886.560000000001</v>
      </c>
      <c r="R1197" s="95">
        <v>0</v>
      </c>
      <c r="S1197" s="95">
        <v>18886.560000000001</v>
      </c>
    </row>
    <row r="1198" spans="1:19" ht="15" x14ac:dyDescent="0.25">
      <c r="A1198" s="90" t="s">
        <v>3075</v>
      </c>
      <c r="B1198" s="90" t="s">
        <v>184</v>
      </c>
      <c r="C1198" s="98" t="s">
        <v>3080</v>
      </c>
      <c r="D1198" s="92" t="s">
        <v>3081</v>
      </c>
      <c r="E1198" s="90" t="s">
        <v>16</v>
      </c>
      <c r="F1198" s="99">
        <v>503</v>
      </c>
      <c r="G1198" s="94">
        <v>12.73</v>
      </c>
      <c r="H1198" s="94">
        <v>0</v>
      </c>
      <c r="I1198" s="95">
        <v>12.73</v>
      </c>
      <c r="J1198" s="95">
        <v>6403.19</v>
      </c>
      <c r="K1198" s="95">
        <v>0</v>
      </c>
      <c r="L1198" s="95">
        <v>6403.19</v>
      </c>
      <c r="M1198" s="96">
        <v>0.27529999999999999</v>
      </c>
      <c r="N1198" s="95">
        <v>16.23</v>
      </c>
      <c r="O1198" s="95">
        <v>0</v>
      </c>
      <c r="P1198" s="95">
        <v>16.23</v>
      </c>
      <c r="Q1198" s="95">
        <v>8163.69</v>
      </c>
      <c r="R1198" s="95">
        <v>0</v>
      </c>
      <c r="S1198" s="95">
        <v>8163.69</v>
      </c>
    </row>
    <row r="1199" spans="1:19" ht="15" x14ac:dyDescent="0.25">
      <c r="A1199" s="90" t="s">
        <v>3075</v>
      </c>
      <c r="B1199" s="90" t="s">
        <v>184</v>
      </c>
      <c r="C1199" s="98" t="s">
        <v>3082</v>
      </c>
      <c r="D1199" s="92" t="s">
        <v>3083</v>
      </c>
      <c r="E1199" s="90" t="s">
        <v>16</v>
      </c>
      <c r="F1199" s="99">
        <v>503</v>
      </c>
      <c r="G1199" s="94">
        <v>0.52</v>
      </c>
      <c r="H1199" s="94">
        <v>0</v>
      </c>
      <c r="I1199" s="95">
        <v>0.52</v>
      </c>
      <c r="J1199" s="95">
        <v>261.56</v>
      </c>
      <c r="K1199" s="95">
        <v>0</v>
      </c>
      <c r="L1199" s="95">
        <v>261.56</v>
      </c>
      <c r="M1199" s="96">
        <v>0.27529999999999999</v>
      </c>
      <c r="N1199" s="95">
        <v>0.66</v>
      </c>
      <c r="O1199" s="95">
        <v>0</v>
      </c>
      <c r="P1199" s="95">
        <v>0.66</v>
      </c>
      <c r="Q1199" s="95">
        <v>331.98</v>
      </c>
      <c r="R1199" s="95">
        <v>0</v>
      </c>
      <c r="S1199" s="95">
        <v>331.98</v>
      </c>
    </row>
    <row r="1200" spans="1:19" ht="15" x14ac:dyDescent="0.25">
      <c r="A1200" s="90" t="s">
        <v>3075</v>
      </c>
      <c r="B1200" s="90" t="s">
        <v>1055</v>
      </c>
      <c r="C1200" s="98" t="s">
        <v>3084</v>
      </c>
      <c r="D1200" s="92" t="s">
        <v>3085</v>
      </c>
      <c r="E1200" s="90" t="s">
        <v>16</v>
      </c>
      <c r="F1200" s="99">
        <v>503</v>
      </c>
      <c r="G1200" s="94">
        <v>0.17</v>
      </c>
      <c r="H1200" s="94">
        <v>0.39</v>
      </c>
      <c r="I1200" s="95">
        <v>0.56000000000000005</v>
      </c>
      <c r="J1200" s="95">
        <v>85.51</v>
      </c>
      <c r="K1200" s="95">
        <v>196.17000000000002</v>
      </c>
      <c r="L1200" s="95">
        <v>281.68</v>
      </c>
      <c r="M1200" s="96">
        <v>0.27529999999999999</v>
      </c>
      <c r="N1200" s="95">
        <v>0.22</v>
      </c>
      <c r="O1200" s="95">
        <v>0.5</v>
      </c>
      <c r="P1200" s="95">
        <v>0.72</v>
      </c>
      <c r="Q1200" s="95">
        <v>110.66</v>
      </c>
      <c r="R1200" s="95">
        <v>251.5</v>
      </c>
      <c r="S1200" s="95">
        <v>362.15999999999997</v>
      </c>
    </row>
    <row r="1201" spans="1:19" ht="15" x14ac:dyDescent="0.25">
      <c r="A1201" s="90" t="s">
        <v>3075</v>
      </c>
      <c r="B1201" s="90" t="s">
        <v>104</v>
      </c>
      <c r="C1201" s="98" t="s">
        <v>3086</v>
      </c>
      <c r="D1201" s="92" t="s">
        <v>3087</v>
      </c>
      <c r="E1201" s="90" t="s">
        <v>16</v>
      </c>
      <c r="F1201" s="99">
        <v>2370</v>
      </c>
      <c r="G1201" s="94">
        <v>37.270000000000003</v>
      </c>
      <c r="H1201" s="94">
        <v>0</v>
      </c>
      <c r="I1201" s="95">
        <v>37.270000000000003</v>
      </c>
      <c r="J1201" s="95">
        <v>88329.9</v>
      </c>
      <c r="K1201" s="95">
        <v>0</v>
      </c>
      <c r="L1201" s="95">
        <v>88329.9</v>
      </c>
      <c r="M1201" s="96">
        <v>0.27529999999999999</v>
      </c>
      <c r="N1201" s="95">
        <v>47.53</v>
      </c>
      <c r="O1201" s="95">
        <v>0</v>
      </c>
      <c r="P1201" s="95">
        <v>47.53</v>
      </c>
      <c r="Q1201" s="95">
        <v>112646.1</v>
      </c>
      <c r="R1201" s="95">
        <v>0</v>
      </c>
      <c r="S1201" s="95">
        <v>112646.1</v>
      </c>
    </row>
    <row r="1202" spans="1:19" ht="15" x14ac:dyDescent="0.25">
      <c r="A1202" s="90" t="s">
        <v>3075</v>
      </c>
      <c r="B1202" s="90" t="s">
        <v>45</v>
      </c>
      <c r="C1202" s="98" t="s">
        <v>3088</v>
      </c>
      <c r="D1202" s="92" t="s">
        <v>3089</v>
      </c>
      <c r="E1202" s="90" t="s">
        <v>16</v>
      </c>
      <c r="F1202" s="99">
        <v>242</v>
      </c>
      <c r="G1202" s="94">
        <v>9.3699999999999992</v>
      </c>
      <c r="H1202" s="94">
        <v>9.7200000000000006</v>
      </c>
      <c r="I1202" s="95">
        <v>19.09</v>
      </c>
      <c r="J1202" s="95">
        <v>2267.54</v>
      </c>
      <c r="K1202" s="95">
        <v>2352.2399999999998</v>
      </c>
      <c r="L1202" s="95">
        <v>4619.78</v>
      </c>
      <c r="M1202" s="96">
        <v>0.27529999999999999</v>
      </c>
      <c r="N1202" s="95">
        <v>11.95</v>
      </c>
      <c r="O1202" s="95">
        <v>12.4</v>
      </c>
      <c r="P1202" s="95">
        <v>24.35</v>
      </c>
      <c r="Q1202" s="95">
        <v>2891.9</v>
      </c>
      <c r="R1202" s="95">
        <v>3000.8</v>
      </c>
      <c r="S1202" s="95">
        <v>5892.7000000000007</v>
      </c>
    </row>
    <row r="1203" spans="1:19" ht="15" x14ac:dyDescent="0.25">
      <c r="A1203" s="90" t="s">
        <v>3075</v>
      </c>
      <c r="B1203" s="90" t="s">
        <v>1802</v>
      </c>
      <c r="C1203" s="98" t="s">
        <v>2568</v>
      </c>
      <c r="D1203" s="92" t="s">
        <v>2569</v>
      </c>
      <c r="E1203" s="90" t="s">
        <v>93</v>
      </c>
      <c r="F1203" s="99">
        <v>325</v>
      </c>
      <c r="G1203" s="94">
        <v>107.59</v>
      </c>
      <c r="H1203" s="94">
        <v>13.66</v>
      </c>
      <c r="I1203" s="95">
        <v>121.25</v>
      </c>
      <c r="J1203" s="95">
        <v>34966.75</v>
      </c>
      <c r="K1203" s="95">
        <v>4439.5</v>
      </c>
      <c r="L1203" s="95">
        <v>39406.25</v>
      </c>
      <c r="M1203" s="96">
        <v>0.27529999999999999</v>
      </c>
      <c r="N1203" s="95">
        <v>137.21</v>
      </c>
      <c r="O1203" s="95">
        <v>17.420000000000002</v>
      </c>
      <c r="P1203" s="95">
        <v>154.63</v>
      </c>
      <c r="Q1203" s="95">
        <v>44593.25</v>
      </c>
      <c r="R1203" s="95">
        <v>5661.5</v>
      </c>
      <c r="S1203" s="95">
        <v>50254.75</v>
      </c>
    </row>
    <row r="1204" spans="1:19" ht="15" x14ac:dyDescent="0.25">
      <c r="A1204" s="90" t="s">
        <v>3075</v>
      </c>
      <c r="B1204" s="90" t="s">
        <v>706</v>
      </c>
      <c r="C1204" s="98" t="s">
        <v>3090</v>
      </c>
      <c r="D1204" s="92" t="s">
        <v>3091</v>
      </c>
      <c r="E1204" s="90" t="s">
        <v>93</v>
      </c>
      <c r="F1204" s="99">
        <v>1158</v>
      </c>
      <c r="G1204" s="94">
        <v>72.849999999999994</v>
      </c>
      <c r="H1204" s="94">
        <v>13.83</v>
      </c>
      <c r="I1204" s="95">
        <v>86.679999999999993</v>
      </c>
      <c r="J1204" s="95">
        <v>84360.3</v>
      </c>
      <c r="K1204" s="95">
        <v>16015.14</v>
      </c>
      <c r="L1204" s="95">
        <v>100375.44</v>
      </c>
      <c r="M1204" s="96">
        <v>0.27529999999999999</v>
      </c>
      <c r="N1204" s="95">
        <v>92.91</v>
      </c>
      <c r="O1204" s="95">
        <v>17.64</v>
      </c>
      <c r="P1204" s="95">
        <v>110.55</v>
      </c>
      <c r="Q1204" s="95">
        <v>107589.78</v>
      </c>
      <c r="R1204" s="95">
        <v>20427.12</v>
      </c>
      <c r="S1204" s="95">
        <v>128016.9</v>
      </c>
    </row>
    <row r="1205" spans="1:19" ht="15" x14ac:dyDescent="0.25">
      <c r="A1205" s="90" t="s">
        <v>3075</v>
      </c>
      <c r="B1205" s="90" t="s">
        <v>1802</v>
      </c>
      <c r="C1205" s="98" t="s">
        <v>3092</v>
      </c>
      <c r="D1205" s="92" t="s">
        <v>3093</v>
      </c>
      <c r="E1205" s="90" t="s">
        <v>16</v>
      </c>
      <c r="F1205" s="99">
        <v>7</v>
      </c>
      <c r="G1205" s="94">
        <v>2063.88</v>
      </c>
      <c r="H1205" s="94">
        <v>387.76</v>
      </c>
      <c r="I1205" s="95">
        <v>2451.6400000000003</v>
      </c>
      <c r="J1205" s="95">
        <v>14447.16</v>
      </c>
      <c r="K1205" s="95">
        <v>2714.3199999999997</v>
      </c>
      <c r="L1205" s="95">
        <v>17161.48</v>
      </c>
      <c r="M1205" s="96">
        <v>0.27529999999999999</v>
      </c>
      <c r="N1205" s="95">
        <v>2632.07</v>
      </c>
      <c r="O1205" s="95">
        <v>494.51</v>
      </c>
      <c r="P1205" s="95">
        <v>3126.58</v>
      </c>
      <c r="Q1205" s="95">
        <v>18424.490000000002</v>
      </c>
      <c r="R1205" s="95">
        <v>3461.57</v>
      </c>
      <c r="S1205" s="95">
        <v>21886.06</v>
      </c>
    </row>
    <row r="1206" spans="1:19" ht="15" x14ac:dyDescent="0.25">
      <c r="A1206" s="90" t="s">
        <v>3075</v>
      </c>
      <c r="B1206" s="90" t="s">
        <v>45</v>
      </c>
      <c r="C1206" s="98" t="s">
        <v>3094</v>
      </c>
      <c r="D1206" s="92" t="s">
        <v>3095</v>
      </c>
      <c r="E1206" s="90" t="s">
        <v>16</v>
      </c>
      <c r="F1206" s="99">
        <v>7</v>
      </c>
      <c r="G1206" s="94">
        <v>48.04</v>
      </c>
      <c r="H1206" s="94">
        <v>9.7200000000000006</v>
      </c>
      <c r="I1206" s="95">
        <v>57.76</v>
      </c>
      <c r="J1206" s="95">
        <v>336.28</v>
      </c>
      <c r="K1206" s="95">
        <v>68.04000000000002</v>
      </c>
      <c r="L1206" s="95">
        <v>404.32</v>
      </c>
      <c r="M1206" s="96">
        <v>0.27529999999999999</v>
      </c>
      <c r="N1206" s="95">
        <v>61.27</v>
      </c>
      <c r="O1206" s="95">
        <v>12.4</v>
      </c>
      <c r="P1206" s="95">
        <v>73.67</v>
      </c>
      <c r="Q1206" s="95">
        <v>428.89</v>
      </c>
      <c r="R1206" s="95">
        <v>86.8</v>
      </c>
      <c r="S1206" s="95">
        <v>515.68999999999994</v>
      </c>
    </row>
    <row r="1207" spans="1:19" ht="15" x14ac:dyDescent="0.25">
      <c r="A1207" s="90" t="s">
        <v>3075</v>
      </c>
      <c r="B1207" s="90" t="s">
        <v>45</v>
      </c>
      <c r="C1207" s="98" t="s">
        <v>3096</v>
      </c>
      <c r="D1207" s="92" t="s">
        <v>3097</v>
      </c>
      <c r="E1207" s="90" t="s">
        <v>16</v>
      </c>
      <c r="F1207" s="99">
        <v>7</v>
      </c>
      <c r="G1207" s="94">
        <v>59.75</v>
      </c>
      <c r="H1207" s="94">
        <v>9.7200000000000006</v>
      </c>
      <c r="I1207" s="95">
        <v>69.47</v>
      </c>
      <c r="J1207" s="95">
        <v>418.25</v>
      </c>
      <c r="K1207" s="95">
        <v>68.04000000000002</v>
      </c>
      <c r="L1207" s="95">
        <v>486.29</v>
      </c>
      <c r="M1207" s="96">
        <v>0.27529999999999999</v>
      </c>
      <c r="N1207" s="95">
        <v>76.2</v>
      </c>
      <c r="O1207" s="95">
        <v>12.4</v>
      </c>
      <c r="P1207" s="95">
        <v>88.600000000000009</v>
      </c>
      <c r="Q1207" s="95">
        <v>533.4</v>
      </c>
      <c r="R1207" s="95">
        <v>86.8</v>
      </c>
      <c r="S1207" s="95">
        <v>620.19999999999993</v>
      </c>
    </row>
    <row r="1208" spans="1:19" ht="15" x14ac:dyDescent="0.25">
      <c r="A1208" s="90" t="s">
        <v>3075</v>
      </c>
      <c r="B1208" s="90" t="s">
        <v>1055</v>
      </c>
      <c r="C1208" s="98" t="s">
        <v>3098</v>
      </c>
      <c r="D1208" s="92" t="s">
        <v>3099</v>
      </c>
      <c r="E1208" s="90" t="s">
        <v>3018</v>
      </c>
      <c r="F1208" s="99">
        <v>7</v>
      </c>
      <c r="G1208" s="94">
        <v>30.07</v>
      </c>
      <c r="H1208" s="94">
        <v>0</v>
      </c>
      <c r="I1208" s="95">
        <v>30.07</v>
      </c>
      <c r="J1208" s="95">
        <v>210.49</v>
      </c>
      <c r="K1208" s="95">
        <v>0</v>
      </c>
      <c r="L1208" s="95">
        <v>210.49</v>
      </c>
      <c r="M1208" s="96">
        <v>0.27529999999999999</v>
      </c>
      <c r="N1208" s="95">
        <v>38.35</v>
      </c>
      <c r="O1208" s="95">
        <v>0</v>
      </c>
      <c r="P1208" s="95">
        <v>38.35</v>
      </c>
      <c r="Q1208" s="95">
        <v>268.45</v>
      </c>
      <c r="R1208" s="95">
        <v>0</v>
      </c>
      <c r="S1208" s="95">
        <v>268.45</v>
      </c>
    </row>
    <row r="1209" spans="1:19" ht="15" x14ac:dyDescent="0.25">
      <c r="A1209" s="90" t="s">
        <v>3075</v>
      </c>
      <c r="B1209" s="90" t="s">
        <v>31</v>
      </c>
      <c r="C1209" s="98" t="s">
        <v>3100</v>
      </c>
      <c r="D1209" s="92" t="s">
        <v>3101</v>
      </c>
      <c r="E1209" s="90" t="s">
        <v>16</v>
      </c>
      <c r="F1209" s="99">
        <v>7</v>
      </c>
      <c r="G1209" s="94">
        <v>16.059999999999999</v>
      </c>
      <c r="H1209" s="94">
        <v>12.61</v>
      </c>
      <c r="I1209" s="95">
        <v>28.669999999999998</v>
      </c>
      <c r="J1209" s="95">
        <v>112.42</v>
      </c>
      <c r="K1209" s="95">
        <v>88.27</v>
      </c>
      <c r="L1209" s="95">
        <v>200.69</v>
      </c>
      <c r="M1209" s="96">
        <v>0.27529999999999999</v>
      </c>
      <c r="N1209" s="95">
        <v>20.48</v>
      </c>
      <c r="O1209" s="95">
        <v>16.079999999999998</v>
      </c>
      <c r="P1209" s="95">
        <v>36.56</v>
      </c>
      <c r="Q1209" s="95">
        <v>143.36000000000001</v>
      </c>
      <c r="R1209" s="95">
        <v>112.56</v>
      </c>
      <c r="S1209" s="95">
        <v>255.92000000000002</v>
      </c>
    </row>
    <row r="1210" spans="1:19" ht="15" x14ac:dyDescent="0.25">
      <c r="A1210" s="90" t="s">
        <v>3102</v>
      </c>
      <c r="B1210" s="90"/>
      <c r="C1210" s="91" t="s">
        <v>3103</v>
      </c>
      <c r="D1210" s="92"/>
      <c r="E1210" s="90"/>
      <c r="F1210" s="99"/>
      <c r="G1210" s="94"/>
      <c r="H1210" s="94"/>
      <c r="I1210" s="95"/>
      <c r="J1210" s="95"/>
      <c r="K1210" s="95"/>
      <c r="L1210" s="95"/>
      <c r="M1210" s="96"/>
      <c r="N1210" s="95"/>
      <c r="O1210" s="95"/>
      <c r="P1210" s="95"/>
      <c r="Q1210" s="95">
        <v>0</v>
      </c>
      <c r="R1210" s="95">
        <v>0</v>
      </c>
      <c r="S1210" s="95">
        <v>0</v>
      </c>
    </row>
    <row r="1211" spans="1:19" ht="15" x14ac:dyDescent="0.25">
      <c r="A1211" s="90" t="s">
        <v>3104</v>
      </c>
      <c r="B1211" s="90" t="s">
        <v>31</v>
      </c>
      <c r="C1211" s="98" t="s">
        <v>3105</v>
      </c>
      <c r="D1211" s="92" t="s">
        <v>3106</v>
      </c>
      <c r="E1211" s="90" t="s">
        <v>93</v>
      </c>
      <c r="F1211" s="99">
        <v>74</v>
      </c>
      <c r="G1211" s="94">
        <v>6.01</v>
      </c>
      <c r="H1211" s="94">
        <v>2.64</v>
      </c>
      <c r="I1211" s="95">
        <v>8.65</v>
      </c>
      <c r="J1211" s="95">
        <v>444.74</v>
      </c>
      <c r="K1211" s="95">
        <v>195.36</v>
      </c>
      <c r="L1211" s="95">
        <v>640.1</v>
      </c>
      <c r="M1211" s="96">
        <v>0.27529999999999999</v>
      </c>
      <c r="N1211" s="95">
        <v>7.66</v>
      </c>
      <c r="O1211" s="95">
        <v>3.37</v>
      </c>
      <c r="P1211" s="95">
        <v>11.030000000000001</v>
      </c>
      <c r="Q1211" s="95">
        <v>566.84</v>
      </c>
      <c r="R1211" s="95">
        <v>249.38</v>
      </c>
      <c r="S1211" s="95">
        <v>816.22</v>
      </c>
    </row>
    <row r="1212" spans="1:19" ht="15" x14ac:dyDescent="0.25">
      <c r="A1212" s="90" t="s">
        <v>3104</v>
      </c>
      <c r="B1212" s="90" t="s">
        <v>45</v>
      </c>
      <c r="C1212" s="98" t="s">
        <v>3107</v>
      </c>
      <c r="D1212" s="92" t="s">
        <v>3108</v>
      </c>
      <c r="E1212" s="90" t="s">
        <v>93</v>
      </c>
      <c r="F1212" s="99">
        <v>6718</v>
      </c>
      <c r="G1212" s="94">
        <v>20.76</v>
      </c>
      <c r="H1212" s="94">
        <v>1.55</v>
      </c>
      <c r="I1212" s="95">
        <v>22.310000000000002</v>
      </c>
      <c r="J1212" s="95">
        <v>139465.68</v>
      </c>
      <c r="K1212" s="95">
        <v>10412.899999999994</v>
      </c>
      <c r="L1212" s="95">
        <v>149878.57999999999</v>
      </c>
      <c r="M1212" s="96">
        <v>0.27529999999999999</v>
      </c>
      <c r="N1212" s="95">
        <v>26.48</v>
      </c>
      <c r="O1212" s="95">
        <v>1.98</v>
      </c>
      <c r="P1212" s="95">
        <v>28.46</v>
      </c>
      <c r="Q1212" s="95">
        <v>177892.64</v>
      </c>
      <c r="R1212" s="95">
        <v>13301.64</v>
      </c>
      <c r="S1212" s="95">
        <v>191194.28000000003</v>
      </c>
    </row>
    <row r="1213" spans="1:19" ht="15" x14ac:dyDescent="0.25">
      <c r="A1213" s="90" t="s">
        <v>3104</v>
      </c>
      <c r="B1213" s="90" t="s">
        <v>706</v>
      </c>
      <c r="C1213" s="98" t="s">
        <v>3109</v>
      </c>
      <c r="D1213" s="92" t="s">
        <v>3110</v>
      </c>
      <c r="E1213" s="90" t="s">
        <v>16</v>
      </c>
      <c r="F1213" s="99">
        <v>86</v>
      </c>
      <c r="G1213" s="94">
        <v>195.74</v>
      </c>
      <c r="H1213" s="94">
        <v>164.15</v>
      </c>
      <c r="I1213" s="95">
        <v>359.89</v>
      </c>
      <c r="J1213" s="95">
        <v>16833.64</v>
      </c>
      <c r="K1213" s="95">
        <v>14116.900000000001</v>
      </c>
      <c r="L1213" s="95">
        <v>30950.54</v>
      </c>
      <c r="M1213" s="96">
        <v>0.27529999999999999</v>
      </c>
      <c r="N1213" s="95">
        <v>249.63</v>
      </c>
      <c r="O1213" s="95">
        <v>209.34</v>
      </c>
      <c r="P1213" s="95">
        <v>458.97</v>
      </c>
      <c r="Q1213" s="95">
        <v>21468.18</v>
      </c>
      <c r="R1213" s="95">
        <v>18003.240000000002</v>
      </c>
      <c r="S1213" s="95">
        <v>39471.42</v>
      </c>
    </row>
    <row r="1214" spans="1:19" ht="15" x14ac:dyDescent="0.25">
      <c r="A1214" s="90" t="s">
        <v>3104</v>
      </c>
      <c r="B1214" s="90" t="s">
        <v>3111</v>
      </c>
      <c r="C1214" s="98" t="s">
        <v>3112</v>
      </c>
      <c r="D1214" s="92" t="s">
        <v>3113</v>
      </c>
      <c r="E1214" s="90" t="s">
        <v>176</v>
      </c>
      <c r="F1214" s="99">
        <v>18</v>
      </c>
      <c r="G1214" s="94">
        <v>717.47</v>
      </c>
      <c r="H1214" s="94">
        <v>550.87</v>
      </c>
      <c r="I1214" s="95">
        <v>1268.3400000000001</v>
      </c>
      <c r="J1214" s="95">
        <v>12914.46</v>
      </c>
      <c r="K1214" s="95">
        <v>9915.66</v>
      </c>
      <c r="L1214" s="95">
        <v>22830.12</v>
      </c>
      <c r="M1214" s="96">
        <v>0.27529999999999999</v>
      </c>
      <c r="N1214" s="95">
        <v>914.99</v>
      </c>
      <c r="O1214" s="95">
        <v>702.52</v>
      </c>
      <c r="P1214" s="95">
        <v>1617.51</v>
      </c>
      <c r="Q1214" s="95">
        <v>16469.82</v>
      </c>
      <c r="R1214" s="95">
        <v>12645.36</v>
      </c>
      <c r="S1214" s="95">
        <v>29115.18</v>
      </c>
    </row>
    <row r="1215" spans="1:19" ht="15" x14ac:dyDescent="0.25">
      <c r="A1215" s="90" t="s">
        <v>3114</v>
      </c>
      <c r="B1215" s="90"/>
      <c r="C1215" s="91" t="s">
        <v>3115</v>
      </c>
      <c r="D1215" s="92"/>
      <c r="E1215" s="90"/>
      <c r="F1215" s="99"/>
      <c r="G1215" s="94"/>
      <c r="H1215" s="94"/>
      <c r="I1215" s="95"/>
      <c r="J1215" s="95"/>
      <c r="K1215" s="95"/>
      <c r="L1215" s="95"/>
      <c r="M1215" s="96"/>
      <c r="N1215" s="95"/>
      <c r="O1215" s="95"/>
      <c r="P1215" s="95"/>
      <c r="Q1215" s="95">
        <v>0</v>
      </c>
      <c r="R1215" s="95">
        <v>0</v>
      </c>
      <c r="S1215" s="95">
        <v>0</v>
      </c>
    </row>
    <row r="1216" spans="1:19" ht="15" x14ac:dyDescent="0.25">
      <c r="A1216" s="90" t="s">
        <v>3116</v>
      </c>
      <c r="B1216" s="90"/>
      <c r="C1216" s="91" t="s">
        <v>3103</v>
      </c>
      <c r="D1216" s="92"/>
      <c r="E1216" s="90"/>
      <c r="F1216" s="99"/>
      <c r="G1216" s="94"/>
      <c r="H1216" s="94"/>
      <c r="I1216" s="95"/>
      <c r="J1216" s="95"/>
      <c r="K1216" s="95"/>
      <c r="L1216" s="95"/>
      <c r="M1216" s="96"/>
      <c r="N1216" s="95"/>
      <c r="O1216" s="95"/>
      <c r="P1216" s="95"/>
      <c r="Q1216" s="95">
        <v>0</v>
      </c>
      <c r="R1216" s="95">
        <v>0</v>
      </c>
      <c r="S1216" s="95">
        <v>0</v>
      </c>
    </row>
    <row r="1217" spans="1:19" ht="15" x14ac:dyDescent="0.25">
      <c r="A1217" s="90" t="s">
        <v>3117</v>
      </c>
      <c r="B1217" s="90" t="s">
        <v>31</v>
      </c>
      <c r="C1217" s="98" t="s">
        <v>3105</v>
      </c>
      <c r="D1217" s="92" t="s">
        <v>3118</v>
      </c>
      <c r="E1217" s="90" t="s">
        <v>93</v>
      </c>
      <c r="F1217" s="99">
        <v>6500</v>
      </c>
      <c r="G1217" s="94">
        <v>6.01</v>
      </c>
      <c r="H1217" s="94">
        <v>2.64</v>
      </c>
      <c r="I1217" s="95">
        <v>8.65</v>
      </c>
      <c r="J1217" s="95">
        <v>39065</v>
      </c>
      <c r="K1217" s="95">
        <v>17160</v>
      </c>
      <c r="L1217" s="95">
        <v>56225</v>
      </c>
      <c r="M1217" s="96">
        <v>0.27529999999999999</v>
      </c>
      <c r="N1217" s="95">
        <v>7.66</v>
      </c>
      <c r="O1217" s="95">
        <v>3.37</v>
      </c>
      <c r="P1217" s="95">
        <v>11.030000000000001</v>
      </c>
      <c r="Q1217" s="95">
        <v>49790</v>
      </c>
      <c r="R1217" s="95">
        <v>21905</v>
      </c>
      <c r="S1217" s="95">
        <v>71695</v>
      </c>
    </row>
    <row r="1218" spans="1:19" ht="15" x14ac:dyDescent="0.25">
      <c r="A1218" s="90" t="s">
        <v>3119</v>
      </c>
      <c r="B1218" s="90" t="s">
        <v>1476</v>
      </c>
      <c r="C1218" s="98" t="s">
        <v>3120</v>
      </c>
      <c r="D1218" s="92" t="s">
        <v>3121</v>
      </c>
      <c r="E1218" s="90" t="s">
        <v>93</v>
      </c>
      <c r="F1218" s="99">
        <v>150</v>
      </c>
      <c r="G1218" s="94">
        <v>45.72</v>
      </c>
      <c r="H1218" s="94">
        <v>9.49</v>
      </c>
      <c r="I1218" s="95">
        <v>55.21</v>
      </c>
      <c r="J1218" s="95">
        <v>6858</v>
      </c>
      <c r="K1218" s="95">
        <v>1423.5</v>
      </c>
      <c r="L1218" s="95">
        <v>8281.5</v>
      </c>
      <c r="M1218" s="96">
        <v>0.27529999999999999</v>
      </c>
      <c r="N1218" s="95">
        <v>58.31</v>
      </c>
      <c r="O1218" s="95">
        <v>12.1</v>
      </c>
      <c r="P1218" s="95">
        <v>70.41</v>
      </c>
      <c r="Q1218" s="95">
        <v>8746.5</v>
      </c>
      <c r="R1218" s="95">
        <v>1815</v>
      </c>
      <c r="S1218" s="95">
        <v>10561.5</v>
      </c>
    </row>
    <row r="1219" spans="1:19" ht="15" x14ac:dyDescent="0.25">
      <c r="A1219" s="90" t="s">
        <v>3122</v>
      </c>
      <c r="B1219" s="90" t="s">
        <v>622</v>
      </c>
      <c r="C1219" s="98" t="s">
        <v>3123</v>
      </c>
      <c r="D1219" s="92" t="s">
        <v>3124</v>
      </c>
      <c r="E1219" s="90" t="s">
        <v>93</v>
      </c>
      <c r="F1219" s="99">
        <v>500</v>
      </c>
      <c r="G1219" s="94">
        <v>4.6900000000000004</v>
      </c>
      <c r="H1219" s="94">
        <v>5.68</v>
      </c>
      <c r="I1219" s="95">
        <v>10.370000000000001</v>
      </c>
      <c r="J1219" s="95">
        <v>2345</v>
      </c>
      <c r="K1219" s="95">
        <v>2840</v>
      </c>
      <c r="L1219" s="95">
        <v>5185</v>
      </c>
      <c r="M1219" s="96">
        <v>0.27529999999999999</v>
      </c>
      <c r="N1219" s="95">
        <v>5.98</v>
      </c>
      <c r="O1219" s="95">
        <v>7.24</v>
      </c>
      <c r="P1219" s="95">
        <v>13.22</v>
      </c>
      <c r="Q1219" s="95">
        <v>2990</v>
      </c>
      <c r="R1219" s="95">
        <v>3620</v>
      </c>
      <c r="S1219" s="95">
        <v>6610</v>
      </c>
    </row>
    <row r="1220" spans="1:19" ht="15" x14ac:dyDescent="0.25">
      <c r="A1220" s="90" t="s">
        <v>3125</v>
      </c>
      <c r="B1220" s="90" t="s">
        <v>706</v>
      </c>
      <c r="C1220" s="98" t="s">
        <v>3126</v>
      </c>
      <c r="D1220" s="92" t="s">
        <v>3127</v>
      </c>
      <c r="E1220" s="90" t="s">
        <v>16</v>
      </c>
      <c r="F1220" s="99">
        <v>370</v>
      </c>
      <c r="G1220" s="94">
        <v>109.18</v>
      </c>
      <c r="H1220" s="94">
        <v>86.05</v>
      </c>
      <c r="I1220" s="95">
        <v>195.23000000000002</v>
      </c>
      <c r="J1220" s="95">
        <v>40396.6</v>
      </c>
      <c r="K1220" s="95">
        <v>31838.500000000007</v>
      </c>
      <c r="L1220" s="95">
        <v>72235.100000000006</v>
      </c>
      <c r="M1220" s="96">
        <v>0.27529999999999999</v>
      </c>
      <c r="N1220" s="95">
        <v>139.24</v>
      </c>
      <c r="O1220" s="95">
        <v>109.74</v>
      </c>
      <c r="P1220" s="95">
        <v>248.98000000000002</v>
      </c>
      <c r="Q1220" s="95">
        <v>51518.8</v>
      </c>
      <c r="R1220" s="95">
        <v>40603.800000000003</v>
      </c>
      <c r="S1220" s="95">
        <v>92122.6</v>
      </c>
    </row>
    <row r="1221" spans="1:19" ht="15" x14ac:dyDescent="0.25">
      <c r="A1221" s="90" t="s">
        <v>3128</v>
      </c>
      <c r="B1221" s="90" t="s">
        <v>706</v>
      </c>
      <c r="C1221" s="98" t="s">
        <v>3109</v>
      </c>
      <c r="D1221" s="92" t="s">
        <v>3110</v>
      </c>
      <c r="E1221" s="90" t="s">
        <v>16</v>
      </c>
      <c r="F1221" s="99">
        <v>25</v>
      </c>
      <c r="G1221" s="94">
        <v>195.74</v>
      </c>
      <c r="H1221" s="94">
        <v>164.15</v>
      </c>
      <c r="I1221" s="95">
        <v>359.89</v>
      </c>
      <c r="J1221" s="95">
        <v>4893.5</v>
      </c>
      <c r="K1221" s="95">
        <v>4103.75</v>
      </c>
      <c r="L1221" s="95">
        <v>8997.25</v>
      </c>
      <c r="M1221" s="96">
        <v>0.27529999999999999</v>
      </c>
      <c r="N1221" s="95">
        <v>249.63</v>
      </c>
      <c r="O1221" s="95">
        <v>209.34</v>
      </c>
      <c r="P1221" s="95">
        <v>458.97</v>
      </c>
      <c r="Q1221" s="95">
        <v>6240.75</v>
      </c>
      <c r="R1221" s="95">
        <v>5233.5</v>
      </c>
      <c r="S1221" s="95">
        <v>11474.25</v>
      </c>
    </row>
    <row r="1222" spans="1:19" ht="15" x14ac:dyDescent="0.25">
      <c r="A1222" s="90" t="s">
        <v>3129</v>
      </c>
      <c r="B1222" s="90"/>
      <c r="C1222" s="91" t="s">
        <v>2521</v>
      </c>
      <c r="D1222" s="92"/>
      <c r="E1222" s="90"/>
      <c r="F1222" s="99"/>
      <c r="G1222" s="94"/>
      <c r="H1222" s="94"/>
      <c r="I1222" s="95"/>
      <c r="J1222" s="95"/>
      <c r="K1222" s="95"/>
      <c r="L1222" s="95"/>
      <c r="M1222" s="96"/>
      <c r="N1222" s="95"/>
      <c r="O1222" s="95"/>
      <c r="P1222" s="95"/>
      <c r="Q1222" s="95">
        <v>0</v>
      </c>
      <c r="R1222" s="95">
        <v>0</v>
      </c>
      <c r="S1222" s="95">
        <v>0</v>
      </c>
    </row>
    <row r="1223" spans="1:19" ht="15" x14ac:dyDescent="0.25">
      <c r="A1223" s="90" t="s">
        <v>3130</v>
      </c>
      <c r="B1223" s="90" t="s">
        <v>184</v>
      </c>
      <c r="C1223" s="98" t="s">
        <v>3131</v>
      </c>
      <c r="D1223" s="92" t="s">
        <v>3132</v>
      </c>
      <c r="E1223" s="90" t="s">
        <v>16</v>
      </c>
      <c r="F1223" s="99">
        <v>11</v>
      </c>
      <c r="G1223" s="94">
        <v>61.6</v>
      </c>
      <c r="H1223" s="94">
        <v>0</v>
      </c>
      <c r="I1223" s="95">
        <v>61.6</v>
      </c>
      <c r="J1223" s="95">
        <v>677.6</v>
      </c>
      <c r="K1223" s="95">
        <v>0</v>
      </c>
      <c r="L1223" s="95">
        <v>677.6</v>
      </c>
      <c r="M1223" s="96">
        <v>0.27529999999999999</v>
      </c>
      <c r="N1223" s="95">
        <v>78.56</v>
      </c>
      <c r="O1223" s="95">
        <v>0</v>
      </c>
      <c r="P1223" s="95">
        <v>78.56</v>
      </c>
      <c r="Q1223" s="95">
        <v>864.16</v>
      </c>
      <c r="R1223" s="95">
        <v>0</v>
      </c>
      <c r="S1223" s="95">
        <v>864.16</v>
      </c>
    </row>
    <row r="1224" spans="1:19" ht="15" x14ac:dyDescent="0.25">
      <c r="A1224" s="90" t="s">
        <v>3133</v>
      </c>
      <c r="B1224" s="90"/>
      <c r="C1224" s="98" t="s">
        <v>2541</v>
      </c>
      <c r="D1224" s="92"/>
      <c r="E1224" s="90"/>
      <c r="F1224" s="99"/>
      <c r="G1224" s="94"/>
      <c r="H1224" s="94"/>
      <c r="I1224" s="95"/>
      <c r="J1224" s="95"/>
      <c r="K1224" s="95"/>
      <c r="L1224" s="95"/>
      <c r="M1224" s="96"/>
      <c r="N1224" s="95"/>
      <c r="O1224" s="95"/>
      <c r="P1224" s="95"/>
      <c r="Q1224" s="95">
        <v>0</v>
      </c>
      <c r="R1224" s="95">
        <v>0</v>
      </c>
      <c r="S1224" s="95">
        <v>0</v>
      </c>
    </row>
    <row r="1225" spans="1:19" ht="15" x14ac:dyDescent="0.25">
      <c r="A1225" s="90" t="s">
        <v>3134</v>
      </c>
      <c r="B1225" s="90" t="s">
        <v>45</v>
      </c>
      <c r="C1225" s="98" t="s">
        <v>3135</v>
      </c>
      <c r="D1225" s="92" t="s">
        <v>3136</v>
      </c>
      <c r="E1225" s="90" t="s">
        <v>16</v>
      </c>
      <c r="F1225" s="99">
        <v>322</v>
      </c>
      <c r="G1225" s="94">
        <v>484.02</v>
      </c>
      <c r="H1225" s="94">
        <v>27.59</v>
      </c>
      <c r="I1225" s="95">
        <v>511.60999999999996</v>
      </c>
      <c r="J1225" s="95">
        <v>155854.44</v>
      </c>
      <c r="K1225" s="95">
        <v>8883.9800000000105</v>
      </c>
      <c r="L1225" s="95">
        <v>164738.42000000001</v>
      </c>
      <c r="M1225" s="96">
        <v>0.27529999999999999</v>
      </c>
      <c r="N1225" s="95">
        <v>617.27</v>
      </c>
      <c r="O1225" s="95">
        <v>35.19</v>
      </c>
      <c r="P1225" s="95">
        <v>652.46</v>
      </c>
      <c r="Q1225" s="95">
        <v>198760.94</v>
      </c>
      <c r="R1225" s="95">
        <v>11331.18</v>
      </c>
      <c r="S1225" s="95">
        <v>210092.12</v>
      </c>
    </row>
    <row r="1226" spans="1:19" ht="15" x14ac:dyDescent="0.25">
      <c r="A1226" s="90" t="s">
        <v>3137</v>
      </c>
      <c r="B1226" s="90" t="s">
        <v>45</v>
      </c>
      <c r="C1226" s="98" t="s">
        <v>3138</v>
      </c>
      <c r="D1226" s="92" t="s">
        <v>3139</v>
      </c>
      <c r="E1226" s="90" t="s">
        <v>16</v>
      </c>
      <c r="F1226" s="99">
        <v>51</v>
      </c>
      <c r="G1226" s="94">
        <v>716.43</v>
      </c>
      <c r="H1226" s="94">
        <v>27.59</v>
      </c>
      <c r="I1226" s="95">
        <v>744.02</v>
      </c>
      <c r="J1226" s="95">
        <v>36537.93</v>
      </c>
      <c r="K1226" s="95">
        <v>1407.0899999999965</v>
      </c>
      <c r="L1226" s="95">
        <v>37945.019999999997</v>
      </c>
      <c r="M1226" s="96">
        <v>0.27529999999999999</v>
      </c>
      <c r="N1226" s="95">
        <v>913.66</v>
      </c>
      <c r="O1226" s="95">
        <v>35.19</v>
      </c>
      <c r="P1226" s="95">
        <v>948.84999999999991</v>
      </c>
      <c r="Q1226" s="95">
        <v>46596.66</v>
      </c>
      <c r="R1226" s="95">
        <v>1794.69</v>
      </c>
      <c r="S1226" s="95">
        <v>48391.350000000006</v>
      </c>
    </row>
    <row r="1227" spans="1:19" ht="15" x14ac:dyDescent="0.25">
      <c r="A1227" s="90" t="s">
        <v>3140</v>
      </c>
      <c r="B1227" s="90"/>
      <c r="C1227" s="98" t="s">
        <v>3141</v>
      </c>
      <c r="D1227" s="92"/>
      <c r="E1227" s="90"/>
      <c r="F1227" s="99"/>
      <c r="G1227" s="94"/>
      <c r="H1227" s="94"/>
      <c r="I1227" s="95"/>
      <c r="J1227" s="95"/>
      <c r="K1227" s="95"/>
      <c r="L1227" s="95"/>
      <c r="M1227" s="96"/>
      <c r="N1227" s="95"/>
      <c r="O1227" s="95"/>
      <c r="P1227" s="95"/>
      <c r="Q1227" s="95">
        <v>0</v>
      </c>
      <c r="R1227" s="95">
        <v>0</v>
      </c>
      <c r="S1227" s="95">
        <v>0</v>
      </c>
    </row>
    <row r="1228" spans="1:19" ht="15" x14ac:dyDescent="0.25">
      <c r="A1228" s="90" t="s">
        <v>3142</v>
      </c>
      <c r="B1228" s="90" t="s">
        <v>45</v>
      </c>
      <c r="C1228" s="98" t="s">
        <v>3143</v>
      </c>
      <c r="D1228" s="92" t="s">
        <v>3144</v>
      </c>
      <c r="E1228" s="90" t="s">
        <v>16</v>
      </c>
      <c r="F1228" s="99">
        <v>284</v>
      </c>
      <c r="G1228" s="94">
        <v>1072.8900000000001</v>
      </c>
      <c r="H1228" s="94">
        <v>90.76</v>
      </c>
      <c r="I1228" s="95">
        <v>1163.6500000000001</v>
      </c>
      <c r="J1228" s="95">
        <v>304700.76</v>
      </c>
      <c r="K1228" s="95">
        <v>25775.839999999967</v>
      </c>
      <c r="L1228" s="95">
        <v>330476.59999999998</v>
      </c>
      <c r="M1228" s="96">
        <v>0.27529999999999999</v>
      </c>
      <c r="N1228" s="95">
        <v>1368.26</v>
      </c>
      <c r="O1228" s="95">
        <v>115.75</v>
      </c>
      <c r="P1228" s="95">
        <v>1484.01</v>
      </c>
      <c r="Q1228" s="95">
        <v>388585.84</v>
      </c>
      <c r="R1228" s="95">
        <v>32873</v>
      </c>
      <c r="S1228" s="95">
        <v>421458.84</v>
      </c>
    </row>
    <row r="1229" spans="1:19" ht="15" x14ac:dyDescent="0.25">
      <c r="A1229" s="90" t="s">
        <v>3145</v>
      </c>
      <c r="B1229" s="90" t="s">
        <v>1802</v>
      </c>
      <c r="C1229" s="98" t="s">
        <v>3146</v>
      </c>
      <c r="D1229" s="92" t="s">
        <v>3147</v>
      </c>
      <c r="E1229" s="90" t="s">
        <v>16</v>
      </c>
      <c r="F1229" s="99">
        <v>39</v>
      </c>
      <c r="G1229" s="94">
        <v>1346.38</v>
      </c>
      <c r="H1229" s="94">
        <v>281.14</v>
      </c>
      <c r="I1229" s="95">
        <v>1627.52</v>
      </c>
      <c r="J1229" s="95">
        <v>52508.82</v>
      </c>
      <c r="K1229" s="95">
        <v>10964.46</v>
      </c>
      <c r="L1229" s="95">
        <v>63473.279999999999</v>
      </c>
      <c r="M1229" s="96">
        <v>0.27529999999999999</v>
      </c>
      <c r="N1229" s="95">
        <v>1717.04</v>
      </c>
      <c r="O1229" s="95">
        <v>358.54</v>
      </c>
      <c r="P1229" s="95">
        <v>2075.58</v>
      </c>
      <c r="Q1229" s="95">
        <v>66964.56</v>
      </c>
      <c r="R1229" s="95">
        <v>13983.06</v>
      </c>
      <c r="S1229" s="95">
        <v>80947.62</v>
      </c>
    </row>
    <row r="1230" spans="1:19" ht="15" x14ac:dyDescent="0.25">
      <c r="A1230" s="90" t="s">
        <v>3148</v>
      </c>
      <c r="B1230" s="90" t="s">
        <v>1802</v>
      </c>
      <c r="C1230" s="98" t="s">
        <v>3149</v>
      </c>
      <c r="D1230" s="92" t="s">
        <v>3150</v>
      </c>
      <c r="E1230" s="90" t="s">
        <v>16</v>
      </c>
      <c r="F1230" s="99">
        <v>6</v>
      </c>
      <c r="G1230" s="94">
        <v>1570.66</v>
      </c>
      <c r="H1230" s="94">
        <v>281.14</v>
      </c>
      <c r="I1230" s="95">
        <v>1851.8000000000002</v>
      </c>
      <c r="J1230" s="95">
        <v>9423.9599999999991</v>
      </c>
      <c r="K1230" s="95">
        <v>1686.8400000000001</v>
      </c>
      <c r="L1230" s="95">
        <v>11110.8</v>
      </c>
      <c r="M1230" s="96">
        <v>0.27529999999999999</v>
      </c>
      <c r="N1230" s="95">
        <v>2003.06</v>
      </c>
      <c r="O1230" s="95">
        <v>358.54</v>
      </c>
      <c r="P1230" s="95">
        <v>2361.6</v>
      </c>
      <c r="Q1230" s="95">
        <v>12018.36</v>
      </c>
      <c r="R1230" s="95">
        <v>2151.2399999999998</v>
      </c>
      <c r="S1230" s="95">
        <v>14169.6</v>
      </c>
    </row>
    <row r="1231" spans="1:19" ht="25.5" x14ac:dyDescent="0.25">
      <c r="A1231" s="90" t="s">
        <v>3151</v>
      </c>
      <c r="B1231" s="90" t="s">
        <v>1476</v>
      </c>
      <c r="C1231" s="98" t="s">
        <v>3152</v>
      </c>
      <c r="D1231" s="92" t="s">
        <v>3153</v>
      </c>
      <c r="E1231" s="90" t="s">
        <v>1729</v>
      </c>
      <c r="F1231" s="99">
        <v>38</v>
      </c>
      <c r="G1231" s="94">
        <v>116</v>
      </c>
      <c r="H1231" s="94">
        <v>0</v>
      </c>
      <c r="I1231" s="95">
        <v>116</v>
      </c>
      <c r="J1231" s="95">
        <v>4408</v>
      </c>
      <c r="K1231" s="95">
        <v>0</v>
      </c>
      <c r="L1231" s="95">
        <v>4408</v>
      </c>
      <c r="M1231" s="96">
        <v>0.27529999999999999</v>
      </c>
      <c r="N1231" s="95">
        <v>147.93</v>
      </c>
      <c r="O1231" s="95">
        <v>0</v>
      </c>
      <c r="P1231" s="95">
        <v>147.93</v>
      </c>
      <c r="Q1231" s="95">
        <v>5621.34</v>
      </c>
      <c r="R1231" s="95">
        <v>0</v>
      </c>
      <c r="S1231" s="95">
        <v>5621.34</v>
      </c>
    </row>
    <row r="1232" spans="1:19" ht="25.5" x14ac:dyDescent="0.25">
      <c r="A1232" s="90" t="s">
        <v>3154</v>
      </c>
      <c r="B1232" s="90" t="s">
        <v>1476</v>
      </c>
      <c r="C1232" s="98" t="s">
        <v>3155</v>
      </c>
      <c r="D1232" s="92" t="s">
        <v>3156</v>
      </c>
      <c r="E1232" s="90" t="s">
        <v>1729</v>
      </c>
      <c r="F1232" s="99">
        <v>246</v>
      </c>
      <c r="G1232" s="94">
        <v>86</v>
      </c>
      <c r="H1232" s="94">
        <v>0</v>
      </c>
      <c r="I1232" s="95">
        <v>86</v>
      </c>
      <c r="J1232" s="95">
        <v>21156</v>
      </c>
      <c r="K1232" s="95">
        <v>0</v>
      </c>
      <c r="L1232" s="95">
        <v>21156</v>
      </c>
      <c r="M1232" s="96">
        <v>0.27529999999999999</v>
      </c>
      <c r="N1232" s="95">
        <v>109.68</v>
      </c>
      <c r="O1232" s="95">
        <v>0</v>
      </c>
      <c r="P1232" s="95">
        <v>109.68</v>
      </c>
      <c r="Q1232" s="95">
        <v>26981.279999999999</v>
      </c>
      <c r="R1232" s="95">
        <v>0</v>
      </c>
      <c r="S1232" s="95">
        <v>26981.279999999999</v>
      </c>
    </row>
    <row r="1233" spans="1:19" ht="15" x14ac:dyDescent="0.25">
      <c r="A1233" s="90" t="s">
        <v>3157</v>
      </c>
      <c r="B1233" s="90"/>
      <c r="C1233" s="91" t="s">
        <v>2555</v>
      </c>
      <c r="D1233" s="103"/>
      <c r="E1233" s="102"/>
      <c r="F1233" s="99"/>
      <c r="G1233" s="104"/>
      <c r="H1233" s="104"/>
      <c r="I1233" s="105"/>
      <c r="J1233" s="105"/>
      <c r="K1233" s="105"/>
      <c r="L1233" s="105"/>
      <c r="M1233" s="96">
        <v>0</v>
      </c>
      <c r="N1233" s="95"/>
      <c r="O1233" s="95"/>
      <c r="P1233" s="95"/>
      <c r="Q1233" s="95">
        <v>0</v>
      </c>
      <c r="R1233" s="95">
        <v>0</v>
      </c>
      <c r="S1233" s="95">
        <v>0</v>
      </c>
    </row>
    <row r="1234" spans="1:19" ht="25.5" x14ac:dyDescent="0.25">
      <c r="A1234" s="90" t="s">
        <v>3158</v>
      </c>
      <c r="B1234" s="90" t="s">
        <v>31</v>
      </c>
      <c r="C1234" s="98" t="s">
        <v>2929</v>
      </c>
      <c r="D1234" s="92" t="s">
        <v>3159</v>
      </c>
      <c r="E1234" s="90" t="s">
        <v>93</v>
      </c>
      <c r="F1234" s="99">
        <v>19500</v>
      </c>
      <c r="G1234" s="94">
        <v>6.52</v>
      </c>
      <c r="H1234" s="94">
        <v>1.53</v>
      </c>
      <c r="I1234" s="95">
        <v>8.0499999999999989</v>
      </c>
      <c r="J1234" s="95">
        <v>127140</v>
      </c>
      <c r="K1234" s="95">
        <v>29835</v>
      </c>
      <c r="L1234" s="95">
        <v>156975</v>
      </c>
      <c r="M1234" s="96">
        <v>0.27529999999999999</v>
      </c>
      <c r="N1234" s="95">
        <v>8.31</v>
      </c>
      <c r="O1234" s="95">
        <v>1.95</v>
      </c>
      <c r="P1234" s="95">
        <v>10.26</v>
      </c>
      <c r="Q1234" s="95">
        <v>162045</v>
      </c>
      <c r="R1234" s="95">
        <v>38025</v>
      </c>
      <c r="S1234" s="95">
        <v>200070</v>
      </c>
    </row>
    <row r="1235" spans="1:19" ht="15" x14ac:dyDescent="0.25">
      <c r="A1235" s="90" t="s">
        <v>3160</v>
      </c>
      <c r="B1235" s="90"/>
      <c r="C1235" s="98" t="s">
        <v>3161</v>
      </c>
      <c r="D1235" s="92"/>
      <c r="E1235" s="90"/>
      <c r="F1235" s="99"/>
      <c r="G1235" s="94"/>
      <c r="H1235" s="94"/>
      <c r="I1235" s="95"/>
      <c r="J1235" s="95"/>
      <c r="K1235" s="95"/>
      <c r="L1235" s="95"/>
      <c r="M1235" s="96">
        <v>0</v>
      </c>
      <c r="N1235" s="95"/>
      <c r="O1235" s="95"/>
      <c r="P1235" s="95"/>
      <c r="Q1235" s="95">
        <v>0</v>
      </c>
      <c r="R1235" s="95">
        <v>0</v>
      </c>
      <c r="S1235" s="95">
        <v>0</v>
      </c>
    </row>
    <row r="1236" spans="1:19" ht="15" x14ac:dyDescent="0.25">
      <c r="A1236" s="90" t="s">
        <v>3162</v>
      </c>
      <c r="B1236" s="90" t="s">
        <v>95</v>
      </c>
      <c r="C1236" s="98" t="s">
        <v>3163</v>
      </c>
      <c r="D1236" s="92" t="s">
        <v>3164</v>
      </c>
      <c r="E1236" s="90" t="s">
        <v>2657</v>
      </c>
      <c r="F1236" s="99">
        <v>1</v>
      </c>
      <c r="G1236" s="94">
        <v>3837.6</v>
      </c>
      <c r="H1236" s="94">
        <v>0</v>
      </c>
      <c r="I1236" s="95">
        <v>3837.6</v>
      </c>
      <c r="J1236" s="95">
        <v>3837.6</v>
      </c>
      <c r="K1236" s="95">
        <v>0</v>
      </c>
      <c r="L1236" s="95">
        <v>3837.6</v>
      </c>
      <c r="M1236" s="96">
        <v>0.1837</v>
      </c>
      <c r="N1236" s="95">
        <v>4542.57</v>
      </c>
      <c r="O1236" s="95">
        <v>0</v>
      </c>
      <c r="P1236" s="95">
        <v>4542.57</v>
      </c>
      <c r="Q1236" s="95">
        <v>4542.57</v>
      </c>
      <c r="R1236" s="95">
        <v>0</v>
      </c>
      <c r="S1236" s="95">
        <v>4542.57</v>
      </c>
    </row>
    <row r="1237" spans="1:19" ht="15" x14ac:dyDescent="0.25">
      <c r="A1237" s="90" t="s">
        <v>3165</v>
      </c>
      <c r="B1237" s="90" t="s">
        <v>95</v>
      </c>
      <c r="C1237" s="98" t="s">
        <v>3166</v>
      </c>
      <c r="D1237" s="92" t="s">
        <v>3167</v>
      </c>
      <c r="E1237" s="90" t="s">
        <v>2657</v>
      </c>
      <c r="F1237" s="99">
        <v>1</v>
      </c>
      <c r="G1237" s="94">
        <v>4124.41</v>
      </c>
      <c r="H1237" s="94">
        <v>0</v>
      </c>
      <c r="I1237" s="95">
        <v>4124.41</v>
      </c>
      <c r="J1237" s="95">
        <v>4124.41</v>
      </c>
      <c r="K1237" s="95">
        <v>0</v>
      </c>
      <c r="L1237" s="95">
        <v>4124.41</v>
      </c>
      <c r="M1237" s="96">
        <v>0.1837</v>
      </c>
      <c r="N1237" s="95">
        <v>4882.0600000000004</v>
      </c>
      <c r="O1237" s="95">
        <v>0</v>
      </c>
      <c r="P1237" s="95">
        <v>4882.0600000000004</v>
      </c>
      <c r="Q1237" s="95">
        <v>4882.0600000000004</v>
      </c>
      <c r="R1237" s="95">
        <v>0</v>
      </c>
      <c r="S1237" s="95">
        <v>4882.0600000000004</v>
      </c>
    </row>
    <row r="1238" spans="1:19" ht="15" x14ac:dyDescent="0.25">
      <c r="A1238" s="90" t="s">
        <v>3168</v>
      </c>
      <c r="B1238" s="90" t="s">
        <v>95</v>
      </c>
      <c r="C1238" s="98" t="s">
        <v>3169</v>
      </c>
      <c r="D1238" s="92" t="s">
        <v>3170</v>
      </c>
      <c r="E1238" s="90" t="s">
        <v>2657</v>
      </c>
      <c r="F1238" s="99">
        <v>2</v>
      </c>
      <c r="G1238" s="94">
        <v>9640</v>
      </c>
      <c r="H1238" s="94">
        <v>0</v>
      </c>
      <c r="I1238" s="95">
        <v>9640</v>
      </c>
      <c r="J1238" s="95">
        <v>19280</v>
      </c>
      <c r="K1238" s="95">
        <v>0</v>
      </c>
      <c r="L1238" s="95">
        <v>19280</v>
      </c>
      <c r="M1238" s="96">
        <v>0.1837</v>
      </c>
      <c r="N1238" s="95">
        <v>11410.87</v>
      </c>
      <c r="O1238" s="95">
        <v>0</v>
      </c>
      <c r="P1238" s="95">
        <v>11410.87</v>
      </c>
      <c r="Q1238" s="95">
        <v>22821.74</v>
      </c>
      <c r="R1238" s="95">
        <v>0</v>
      </c>
      <c r="S1238" s="95">
        <v>22821.74</v>
      </c>
    </row>
    <row r="1239" spans="1:19" ht="15" x14ac:dyDescent="0.25">
      <c r="A1239" s="90" t="s">
        <v>3171</v>
      </c>
      <c r="B1239" s="90" t="s">
        <v>95</v>
      </c>
      <c r="C1239" s="98" t="s">
        <v>3172</v>
      </c>
      <c r="D1239" s="92" t="s">
        <v>3173</v>
      </c>
      <c r="E1239" s="90" t="s">
        <v>2657</v>
      </c>
      <c r="F1239" s="99">
        <v>2</v>
      </c>
      <c r="G1239" s="94">
        <v>1160</v>
      </c>
      <c r="H1239" s="94">
        <v>0</v>
      </c>
      <c r="I1239" s="95">
        <v>1160</v>
      </c>
      <c r="J1239" s="95">
        <v>2320</v>
      </c>
      <c r="K1239" s="95">
        <v>0</v>
      </c>
      <c r="L1239" s="95">
        <v>2320</v>
      </c>
      <c r="M1239" s="96">
        <v>0.1837</v>
      </c>
      <c r="N1239" s="95">
        <v>1373.09</v>
      </c>
      <c r="O1239" s="95">
        <v>0</v>
      </c>
      <c r="P1239" s="95">
        <v>1373.09</v>
      </c>
      <c r="Q1239" s="95">
        <v>2746.18</v>
      </c>
      <c r="R1239" s="95">
        <v>0</v>
      </c>
      <c r="S1239" s="95">
        <v>2746.18</v>
      </c>
    </row>
    <row r="1240" spans="1:19" ht="15" x14ac:dyDescent="0.25">
      <c r="A1240" s="90" t="s">
        <v>3174</v>
      </c>
      <c r="B1240" s="90" t="s">
        <v>95</v>
      </c>
      <c r="C1240" s="98" t="s">
        <v>3175</v>
      </c>
      <c r="D1240" s="92" t="s">
        <v>3176</v>
      </c>
      <c r="E1240" s="90" t="s">
        <v>2657</v>
      </c>
      <c r="F1240" s="99">
        <v>1</v>
      </c>
      <c r="G1240" s="94">
        <v>7890</v>
      </c>
      <c r="H1240" s="94">
        <v>0</v>
      </c>
      <c r="I1240" s="95">
        <v>7890</v>
      </c>
      <c r="J1240" s="95">
        <v>7890</v>
      </c>
      <c r="K1240" s="95">
        <v>0</v>
      </c>
      <c r="L1240" s="95">
        <v>7890</v>
      </c>
      <c r="M1240" s="96">
        <v>0.1837</v>
      </c>
      <c r="N1240" s="95">
        <v>9339.39</v>
      </c>
      <c r="O1240" s="95">
        <v>0</v>
      </c>
      <c r="P1240" s="95">
        <v>9339.39</v>
      </c>
      <c r="Q1240" s="95">
        <v>9339.39</v>
      </c>
      <c r="R1240" s="95">
        <v>0</v>
      </c>
      <c r="S1240" s="95">
        <v>9339.39</v>
      </c>
    </row>
    <row r="1241" spans="1:19" ht="15" x14ac:dyDescent="0.25">
      <c r="A1241" s="90" t="s">
        <v>3177</v>
      </c>
      <c r="B1241" s="90" t="s">
        <v>95</v>
      </c>
      <c r="C1241" s="98" t="s">
        <v>3178</v>
      </c>
      <c r="D1241" s="92" t="s">
        <v>3179</v>
      </c>
      <c r="E1241" s="90" t="s">
        <v>2657</v>
      </c>
      <c r="F1241" s="99">
        <v>1</v>
      </c>
      <c r="G1241" s="94">
        <v>5340</v>
      </c>
      <c r="H1241" s="94">
        <v>0</v>
      </c>
      <c r="I1241" s="95">
        <v>5340</v>
      </c>
      <c r="J1241" s="95">
        <v>5340</v>
      </c>
      <c r="K1241" s="95">
        <v>0</v>
      </c>
      <c r="L1241" s="95">
        <v>5340</v>
      </c>
      <c r="M1241" s="96">
        <v>0.1837</v>
      </c>
      <c r="N1241" s="95">
        <v>6320.96</v>
      </c>
      <c r="O1241" s="95">
        <v>0</v>
      </c>
      <c r="P1241" s="95">
        <v>6320.96</v>
      </c>
      <c r="Q1241" s="95">
        <v>6320.96</v>
      </c>
      <c r="R1241" s="95">
        <v>0</v>
      </c>
      <c r="S1241" s="95">
        <v>6320.96</v>
      </c>
    </row>
    <row r="1242" spans="1:19" ht="15" x14ac:dyDescent="0.25">
      <c r="A1242" s="90" t="s">
        <v>3180</v>
      </c>
      <c r="B1242" s="90" t="s">
        <v>95</v>
      </c>
      <c r="C1242" s="98" t="s">
        <v>3181</v>
      </c>
      <c r="D1242" s="92" t="s">
        <v>3182</v>
      </c>
      <c r="E1242" s="90" t="s">
        <v>2657</v>
      </c>
      <c r="F1242" s="99">
        <v>1</v>
      </c>
      <c r="G1242" s="94">
        <v>3690</v>
      </c>
      <c r="H1242" s="94">
        <v>0</v>
      </c>
      <c r="I1242" s="95">
        <v>3690</v>
      </c>
      <c r="J1242" s="95">
        <v>3690</v>
      </c>
      <c r="K1242" s="95">
        <v>0</v>
      </c>
      <c r="L1242" s="95">
        <v>3690</v>
      </c>
      <c r="M1242" s="96">
        <v>0.1837</v>
      </c>
      <c r="N1242" s="95">
        <v>4367.8500000000004</v>
      </c>
      <c r="O1242" s="95">
        <v>0</v>
      </c>
      <c r="P1242" s="95">
        <v>4367.8500000000004</v>
      </c>
      <c r="Q1242" s="95">
        <v>4367.8500000000004</v>
      </c>
      <c r="R1242" s="95">
        <v>0</v>
      </c>
      <c r="S1242" s="95">
        <v>4367.8500000000004</v>
      </c>
    </row>
    <row r="1243" spans="1:19" ht="15" x14ac:dyDescent="0.25">
      <c r="A1243" s="90" t="s">
        <v>3183</v>
      </c>
      <c r="B1243" s="90" t="s">
        <v>95</v>
      </c>
      <c r="C1243" s="98" t="s">
        <v>3184</v>
      </c>
      <c r="D1243" s="92" t="s">
        <v>3185</v>
      </c>
      <c r="E1243" s="90" t="s">
        <v>2657</v>
      </c>
      <c r="F1243" s="99">
        <v>2</v>
      </c>
      <c r="G1243" s="94">
        <v>4995</v>
      </c>
      <c r="H1243" s="94">
        <v>0</v>
      </c>
      <c r="I1243" s="95">
        <v>4995</v>
      </c>
      <c r="J1243" s="95">
        <v>9990</v>
      </c>
      <c r="K1243" s="95">
        <v>0</v>
      </c>
      <c r="L1243" s="95">
        <v>9990</v>
      </c>
      <c r="M1243" s="96">
        <v>0.1837</v>
      </c>
      <c r="N1243" s="95">
        <v>5912.58</v>
      </c>
      <c r="O1243" s="95">
        <v>0</v>
      </c>
      <c r="P1243" s="95">
        <v>5912.58</v>
      </c>
      <c r="Q1243" s="95">
        <v>11825.16</v>
      </c>
      <c r="R1243" s="95">
        <v>0</v>
      </c>
      <c r="S1243" s="95">
        <v>11825.16</v>
      </c>
    </row>
    <row r="1244" spans="1:19" ht="15" x14ac:dyDescent="0.25">
      <c r="A1244" s="90" t="s">
        <v>3186</v>
      </c>
      <c r="B1244" s="90" t="s">
        <v>95</v>
      </c>
      <c r="C1244" s="98" t="s">
        <v>3187</v>
      </c>
      <c r="D1244" s="92" t="s">
        <v>3188</v>
      </c>
      <c r="E1244" s="90" t="s">
        <v>2657</v>
      </c>
      <c r="F1244" s="99">
        <v>8</v>
      </c>
      <c r="G1244" s="94">
        <v>183.95</v>
      </c>
      <c r="H1244" s="94">
        <v>0</v>
      </c>
      <c r="I1244" s="95">
        <v>183.95</v>
      </c>
      <c r="J1244" s="95">
        <v>1471.6</v>
      </c>
      <c r="K1244" s="95">
        <v>0</v>
      </c>
      <c r="L1244" s="95">
        <v>1471.6</v>
      </c>
      <c r="M1244" s="96">
        <v>0.1837</v>
      </c>
      <c r="N1244" s="95">
        <v>217.74</v>
      </c>
      <c r="O1244" s="95">
        <v>0</v>
      </c>
      <c r="P1244" s="95">
        <v>217.74</v>
      </c>
      <c r="Q1244" s="95">
        <v>1741.92</v>
      </c>
      <c r="R1244" s="95">
        <v>0</v>
      </c>
      <c r="S1244" s="95">
        <v>1741.92</v>
      </c>
    </row>
    <row r="1245" spans="1:19" ht="15" x14ac:dyDescent="0.25">
      <c r="A1245" s="90" t="s">
        <v>3189</v>
      </c>
      <c r="B1245" s="90" t="s">
        <v>95</v>
      </c>
      <c r="C1245" s="98" t="s">
        <v>3190</v>
      </c>
      <c r="D1245" s="92" t="s">
        <v>3191</v>
      </c>
      <c r="E1245" s="90" t="s">
        <v>2657</v>
      </c>
      <c r="F1245" s="99">
        <v>1</v>
      </c>
      <c r="G1245" s="94">
        <v>14726</v>
      </c>
      <c r="H1245" s="94">
        <v>0</v>
      </c>
      <c r="I1245" s="95">
        <v>14726</v>
      </c>
      <c r="J1245" s="95">
        <v>14726</v>
      </c>
      <c r="K1245" s="95">
        <v>0</v>
      </c>
      <c r="L1245" s="95">
        <v>14726</v>
      </c>
      <c r="M1245" s="96">
        <v>0.1837</v>
      </c>
      <c r="N1245" s="95">
        <v>17431.169999999998</v>
      </c>
      <c r="O1245" s="95">
        <v>0</v>
      </c>
      <c r="P1245" s="95">
        <v>17431.169999999998</v>
      </c>
      <c r="Q1245" s="95">
        <v>17431.169999999998</v>
      </c>
      <c r="R1245" s="95">
        <v>0</v>
      </c>
      <c r="S1245" s="95">
        <v>17431.169999999998</v>
      </c>
    </row>
    <row r="1246" spans="1:19" ht="15" x14ac:dyDescent="0.25">
      <c r="A1246" s="90" t="s">
        <v>3192</v>
      </c>
      <c r="B1246" s="90" t="s">
        <v>95</v>
      </c>
      <c r="C1246" s="98" t="s">
        <v>3193</v>
      </c>
      <c r="D1246" s="92" t="s">
        <v>3194</v>
      </c>
      <c r="E1246" s="90" t="s">
        <v>2657</v>
      </c>
      <c r="F1246" s="99">
        <v>1</v>
      </c>
      <c r="G1246" s="94">
        <v>21192</v>
      </c>
      <c r="H1246" s="94">
        <v>0</v>
      </c>
      <c r="I1246" s="95">
        <v>21192</v>
      </c>
      <c r="J1246" s="95">
        <v>21192</v>
      </c>
      <c r="K1246" s="95">
        <v>0</v>
      </c>
      <c r="L1246" s="95">
        <v>21192</v>
      </c>
      <c r="M1246" s="96">
        <v>0.1837</v>
      </c>
      <c r="N1246" s="95">
        <v>25084.97</v>
      </c>
      <c r="O1246" s="95">
        <v>0</v>
      </c>
      <c r="P1246" s="95">
        <v>25084.97</v>
      </c>
      <c r="Q1246" s="95">
        <v>25084.97</v>
      </c>
      <c r="R1246" s="95">
        <v>0</v>
      </c>
      <c r="S1246" s="95">
        <v>25084.97</v>
      </c>
    </row>
    <row r="1247" spans="1:19" ht="15" x14ac:dyDescent="0.25">
      <c r="A1247" s="90" t="s">
        <v>3195</v>
      </c>
      <c r="B1247" s="90" t="s">
        <v>95</v>
      </c>
      <c r="C1247" s="98" t="s">
        <v>3196</v>
      </c>
      <c r="D1247" s="92" t="s">
        <v>3197</v>
      </c>
      <c r="E1247" s="90" t="s">
        <v>2657</v>
      </c>
      <c r="F1247" s="99">
        <v>1</v>
      </c>
      <c r="G1247" s="94">
        <v>70928</v>
      </c>
      <c r="H1247" s="94">
        <v>0</v>
      </c>
      <c r="I1247" s="95">
        <v>70928</v>
      </c>
      <c r="J1247" s="95">
        <v>70928</v>
      </c>
      <c r="K1247" s="95">
        <v>0</v>
      </c>
      <c r="L1247" s="95">
        <v>70928</v>
      </c>
      <c r="M1247" s="96">
        <v>0.1837</v>
      </c>
      <c r="N1247" s="95">
        <v>83957.47</v>
      </c>
      <c r="O1247" s="95">
        <v>0</v>
      </c>
      <c r="P1247" s="95">
        <v>83957.47</v>
      </c>
      <c r="Q1247" s="95">
        <v>83957.47</v>
      </c>
      <c r="R1247" s="95">
        <v>0</v>
      </c>
      <c r="S1247" s="95">
        <v>83957.47</v>
      </c>
    </row>
    <row r="1248" spans="1:19" ht="15" x14ac:dyDescent="0.25">
      <c r="A1248" s="90" t="s">
        <v>3198</v>
      </c>
      <c r="B1248" s="90" t="s">
        <v>95</v>
      </c>
      <c r="C1248" s="98" t="s">
        <v>3199</v>
      </c>
      <c r="D1248" s="92" t="s">
        <v>3200</v>
      </c>
      <c r="E1248" s="90" t="s">
        <v>2657</v>
      </c>
      <c r="F1248" s="99">
        <v>1</v>
      </c>
      <c r="G1248" s="94">
        <v>31064.799999999999</v>
      </c>
      <c r="H1248" s="94">
        <v>0</v>
      </c>
      <c r="I1248" s="95">
        <v>31064.799999999999</v>
      </c>
      <c r="J1248" s="95">
        <v>31064.799999999999</v>
      </c>
      <c r="K1248" s="95">
        <v>0</v>
      </c>
      <c r="L1248" s="95">
        <v>31064.799999999999</v>
      </c>
      <c r="M1248" s="96">
        <v>0.1837</v>
      </c>
      <c r="N1248" s="95">
        <v>36771.4</v>
      </c>
      <c r="O1248" s="95">
        <v>0</v>
      </c>
      <c r="P1248" s="95">
        <v>36771.4</v>
      </c>
      <c r="Q1248" s="95">
        <v>36771.4</v>
      </c>
      <c r="R1248" s="95">
        <v>0</v>
      </c>
      <c r="S1248" s="95">
        <v>36771.4</v>
      </c>
    </row>
    <row r="1249" spans="1:21" ht="15" x14ac:dyDescent="0.25">
      <c r="A1249" s="90" t="s">
        <v>3201</v>
      </c>
      <c r="B1249" s="90" t="s">
        <v>95</v>
      </c>
      <c r="C1249" s="98" t="s">
        <v>3202</v>
      </c>
      <c r="D1249" s="92" t="s">
        <v>3203</v>
      </c>
      <c r="E1249" s="90" t="s">
        <v>2657</v>
      </c>
      <c r="F1249" s="99">
        <v>2</v>
      </c>
      <c r="G1249" s="94">
        <v>39176.800000000003</v>
      </c>
      <c r="H1249" s="94">
        <v>0</v>
      </c>
      <c r="I1249" s="95">
        <v>39176.800000000003</v>
      </c>
      <c r="J1249" s="95">
        <v>78353.600000000006</v>
      </c>
      <c r="K1249" s="95">
        <v>0</v>
      </c>
      <c r="L1249" s="95">
        <v>78353.600000000006</v>
      </c>
      <c r="M1249" s="96">
        <v>0.1837</v>
      </c>
      <c r="N1249" s="95">
        <v>46373.58</v>
      </c>
      <c r="O1249" s="95">
        <v>0</v>
      </c>
      <c r="P1249" s="95">
        <v>46373.58</v>
      </c>
      <c r="Q1249" s="95">
        <v>92747.16</v>
      </c>
      <c r="R1249" s="95">
        <v>0</v>
      </c>
      <c r="S1249" s="95">
        <v>92747.16</v>
      </c>
    </row>
    <row r="1250" spans="1:21" ht="15" x14ac:dyDescent="0.25">
      <c r="A1250" s="90" t="s">
        <v>3204</v>
      </c>
      <c r="B1250" s="90" t="s">
        <v>95</v>
      </c>
      <c r="C1250" s="98" t="s">
        <v>3205</v>
      </c>
      <c r="D1250" s="92" t="s">
        <v>3206</v>
      </c>
      <c r="E1250" s="90" t="s">
        <v>2657</v>
      </c>
      <c r="F1250" s="99">
        <v>10</v>
      </c>
      <c r="G1250" s="94">
        <v>15700</v>
      </c>
      <c r="H1250" s="94">
        <v>0</v>
      </c>
      <c r="I1250" s="95">
        <v>15700</v>
      </c>
      <c r="J1250" s="95">
        <v>157000</v>
      </c>
      <c r="K1250" s="95">
        <v>0</v>
      </c>
      <c r="L1250" s="95">
        <v>157000</v>
      </c>
      <c r="M1250" s="96">
        <v>0.1837</v>
      </c>
      <c r="N1250" s="95">
        <v>18584.09</v>
      </c>
      <c r="O1250" s="95">
        <v>0</v>
      </c>
      <c r="P1250" s="95">
        <v>18584.09</v>
      </c>
      <c r="Q1250" s="95">
        <v>185840.9</v>
      </c>
      <c r="R1250" s="95">
        <v>0</v>
      </c>
      <c r="S1250" s="95">
        <v>185840.9</v>
      </c>
    </row>
    <row r="1251" spans="1:21" ht="15" x14ac:dyDescent="0.25">
      <c r="A1251" s="90" t="s">
        <v>3207</v>
      </c>
      <c r="B1251" s="90" t="s">
        <v>95</v>
      </c>
      <c r="C1251" s="98" t="s">
        <v>3208</v>
      </c>
      <c r="D1251" s="92" t="s">
        <v>3209</v>
      </c>
      <c r="E1251" s="90" t="s">
        <v>2657</v>
      </c>
      <c r="F1251" s="99">
        <v>1</v>
      </c>
      <c r="G1251" s="94">
        <v>7740</v>
      </c>
      <c r="H1251" s="94">
        <v>0</v>
      </c>
      <c r="I1251" s="95">
        <v>7740</v>
      </c>
      <c r="J1251" s="95">
        <v>7740</v>
      </c>
      <c r="K1251" s="95">
        <v>0</v>
      </c>
      <c r="L1251" s="95">
        <v>7740</v>
      </c>
      <c r="M1251" s="96">
        <v>0.1837</v>
      </c>
      <c r="N1251" s="95">
        <v>9161.84</v>
      </c>
      <c r="O1251" s="95">
        <v>0</v>
      </c>
      <c r="P1251" s="95">
        <v>9161.84</v>
      </c>
      <c r="Q1251" s="95">
        <v>9161.84</v>
      </c>
      <c r="R1251" s="95">
        <v>0</v>
      </c>
      <c r="S1251" s="95">
        <v>9161.84</v>
      </c>
    </row>
    <row r="1252" spans="1:21" ht="15" x14ac:dyDescent="0.25">
      <c r="A1252" s="90" t="s">
        <v>3210</v>
      </c>
      <c r="B1252" s="90" t="s">
        <v>95</v>
      </c>
      <c r="C1252" s="98" t="s">
        <v>3211</v>
      </c>
      <c r="D1252" s="92" t="s">
        <v>3212</v>
      </c>
      <c r="E1252" s="90" t="s">
        <v>2657</v>
      </c>
      <c r="F1252" s="99">
        <v>104</v>
      </c>
      <c r="G1252" s="94">
        <v>183.95</v>
      </c>
      <c r="H1252" s="94">
        <v>0</v>
      </c>
      <c r="I1252" s="95">
        <v>183.95</v>
      </c>
      <c r="J1252" s="95">
        <v>19130.8</v>
      </c>
      <c r="K1252" s="95">
        <v>0</v>
      </c>
      <c r="L1252" s="95">
        <v>19130.8</v>
      </c>
      <c r="M1252" s="96">
        <v>0.1837</v>
      </c>
      <c r="N1252" s="95">
        <v>217.74</v>
      </c>
      <c r="O1252" s="95">
        <v>0</v>
      </c>
      <c r="P1252" s="95">
        <v>217.74</v>
      </c>
      <c r="Q1252" s="95">
        <v>22644.959999999999</v>
      </c>
      <c r="R1252" s="95">
        <v>0</v>
      </c>
      <c r="S1252" s="95">
        <v>22644.959999999999</v>
      </c>
    </row>
    <row r="1253" spans="1:21" ht="15" x14ac:dyDescent="0.25">
      <c r="A1253" s="90" t="s">
        <v>3213</v>
      </c>
      <c r="B1253" s="90" t="s">
        <v>95</v>
      </c>
      <c r="C1253" s="98" t="s">
        <v>3214</v>
      </c>
      <c r="D1253" s="92" t="s">
        <v>3215</v>
      </c>
      <c r="E1253" s="90" t="s">
        <v>2657</v>
      </c>
      <c r="F1253" s="99">
        <v>104</v>
      </c>
      <c r="G1253" s="94">
        <v>97.89</v>
      </c>
      <c r="H1253" s="94">
        <v>0</v>
      </c>
      <c r="I1253" s="95">
        <v>97.89</v>
      </c>
      <c r="J1253" s="95">
        <v>10180.56</v>
      </c>
      <c r="K1253" s="95">
        <v>0</v>
      </c>
      <c r="L1253" s="95">
        <v>10180.56</v>
      </c>
      <c r="M1253" s="96">
        <v>0.1837</v>
      </c>
      <c r="N1253" s="95">
        <v>115.87</v>
      </c>
      <c r="O1253" s="95">
        <v>0</v>
      </c>
      <c r="P1253" s="95">
        <v>115.87</v>
      </c>
      <c r="Q1253" s="95">
        <v>12050.48</v>
      </c>
      <c r="R1253" s="95">
        <v>0</v>
      </c>
      <c r="S1253" s="95">
        <v>12050.48</v>
      </c>
    </row>
    <row r="1254" spans="1:21" ht="15" x14ac:dyDescent="0.25">
      <c r="A1254" s="90" t="s">
        <v>3216</v>
      </c>
      <c r="B1254" s="90" t="s">
        <v>95</v>
      </c>
      <c r="C1254" s="98" t="s">
        <v>3217</v>
      </c>
      <c r="D1254" s="92" t="s">
        <v>3218</v>
      </c>
      <c r="E1254" s="90" t="s">
        <v>3018</v>
      </c>
      <c r="F1254" s="99">
        <v>1</v>
      </c>
      <c r="G1254" s="94">
        <v>29870</v>
      </c>
      <c r="H1254" s="94">
        <v>0</v>
      </c>
      <c r="I1254" s="95">
        <v>29870</v>
      </c>
      <c r="J1254" s="95">
        <v>29870</v>
      </c>
      <c r="K1254" s="95">
        <v>0</v>
      </c>
      <c r="L1254" s="95">
        <v>29870</v>
      </c>
      <c r="M1254" s="96">
        <v>0.1837</v>
      </c>
      <c r="N1254" s="95">
        <v>35357.120000000003</v>
      </c>
      <c r="O1254" s="95">
        <v>0</v>
      </c>
      <c r="P1254" s="95">
        <v>35357.120000000003</v>
      </c>
      <c r="Q1254" s="95">
        <v>35357.120000000003</v>
      </c>
      <c r="R1254" s="95">
        <v>0</v>
      </c>
      <c r="S1254" s="95">
        <v>35357.120000000003</v>
      </c>
    </row>
    <row r="1255" spans="1:21" ht="15" x14ac:dyDescent="0.25">
      <c r="A1255" s="90" t="s">
        <v>3219</v>
      </c>
      <c r="B1255" s="90" t="s">
        <v>622</v>
      </c>
      <c r="C1255" s="98" t="s">
        <v>3220</v>
      </c>
      <c r="D1255" s="92" t="s">
        <v>3221</v>
      </c>
      <c r="E1255" s="90" t="s">
        <v>93</v>
      </c>
      <c r="F1255" s="99">
        <v>2120</v>
      </c>
      <c r="G1255" s="94">
        <v>3.75</v>
      </c>
      <c r="H1255" s="94">
        <v>1.57</v>
      </c>
      <c r="I1255" s="95">
        <v>5.32</v>
      </c>
      <c r="J1255" s="95">
        <v>7950</v>
      </c>
      <c r="K1255" s="95">
        <v>3328.3999999999996</v>
      </c>
      <c r="L1255" s="95">
        <v>11278.4</v>
      </c>
      <c r="M1255" s="96">
        <v>0.27529999999999999</v>
      </c>
      <c r="N1255" s="95">
        <v>4.78</v>
      </c>
      <c r="O1255" s="95">
        <v>2</v>
      </c>
      <c r="P1255" s="95">
        <v>6.78</v>
      </c>
      <c r="Q1255" s="95">
        <v>10133.6</v>
      </c>
      <c r="R1255" s="95">
        <v>4240</v>
      </c>
      <c r="S1255" s="95">
        <v>14373.6</v>
      </c>
    </row>
    <row r="1256" spans="1:21" s="89" customFormat="1" ht="38.25" x14ac:dyDescent="0.25">
      <c r="A1256" s="82" t="s">
        <v>3222</v>
      </c>
      <c r="B1256" s="82"/>
      <c r="C1256" s="84" t="s">
        <v>3223</v>
      </c>
      <c r="D1256" s="107"/>
      <c r="E1256" s="85"/>
      <c r="F1256" s="101"/>
      <c r="G1256" s="87"/>
      <c r="H1256" s="87"/>
      <c r="I1256" s="88"/>
      <c r="J1256" s="87">
        <v>27989980.320000038</v>
      </c>
      <c r="K1256" s="87">
        <v>3234250.68</v>
      </c>
      <c r="L1256" s="87">
        <v>31224230.999999974</v>
      </c>
      <c r="M1256" s="87"/>
      <c r="N1256" s="87"/>
      <c r="O1256" s="87"/>
      <c r="P1256" s="87"/>
      <c r="Q1256" s="87">
        <v>34209266.290000014</v>
      </c>
      <c r="R1256" s="87">
        <v>4124653.1300000013</v>
      </c>
      <c r="S1256" s="87">
        <v>38333919.419999935</v>
      </c>
    </row>
    <row r="1257" spans="1:21" x14ac:dyDescent="0.25">
      <c r="A1257" s="90" t="s">
        <v>3224</v>
      </c>
      <c r="B1257" s="90"/>
      <c r="C1257" s="98"/>
      <c r="D1257" s="92" t="s">
        <v>3223</v>
      </c>
      <c r="E1257" s="90"/>
      <c r="F1257" s="93"/>
      <c r="G1257" s="94"/>
      <c r="H1257" s="94"/>
      <c r="I1257" s="95"/>
      <c r="J1257" s="95"/>
      <c r="K1257" s="95"/>
      <c r="L1257" s="95"/>
      <c r="M1257" s="96"/>
      <c r="N1257" s="95"/>
      <c r="O1257" s="95"/>
      <c r="P1257" s="95"/>
      <c r="Q1257" s="95"/>
      <c r="R1257" s="95"/>
      <c r="S1257" s="95"/>
    </row>
    <row r="1258" spans="1:21" ht="51" x14ac:dyDescent="0.25">
      <c r="A1258" s="90" t="s">
        <v>3225</v>
      </c>
      <c r="B1258" s="90" t="s">
        <v>3226</v>
      </c>
      <c r="C1258" s="98" t="s">
        <v>3227</v>
      </c>
      <c r="D1258" s="92" t="s">
        <v>3228</v>
      </c>
      <c r="E1258" s="90" t="s">
        <v>16</v>
      </c>
      <c r="F1258" s="99">
        <v>6</v>
      </c>
      <c r="G1258" s="94">
        <v>38963.121599999999</v>
      </c>
      <c r="H1258" s="94">
        <v>0</v>
      </c>
      <c r="I1258" s="95">
        <v>38963.121599999999</v>
      </c>
      <c r="J1258" s="95">
        <v>233778.73</v>
      </c>
      <c r="K1258" s="95">
        <v>0</v>
      </c>
      <c r="L1258" s="95">
        <v>233778.73</v>
      </c>
      <c r="M1258" s="96">
        <v>0.1837</v>
      </c>
      <c r="N1258" s="95">
        <v>46120.65</v>
      </c>
      <c r="O1258" s="95">
        <v>0</v>
      </c>
      <c r="P1258" s="95">
        <v>46120.65</v>
      </c>
      <c r="Q1258" s="95">
        <v>276723.90000000002</v>
      </c>
      <c r="R1258" s="95">
        <v>0</v>
      </c>
      <c r="S1258" s="95">
        <v>276723.90000000002</v>
      </c>
      <c r="U1258" s="106" t="str">
        <f>_xlfn.XLOOKUP(I1258,'[1]MAPA DE COTAÇÕES'!$D$12:$D$1058,'[1]MAPA DE COTAÇÕES'!$A$12:$A$1058,"")</f>
        <v>CLI_CE-MERCADO 01</v>
      </c>
    </row>
    <row r="1259" spans="1:21" ht="51" x14ac:dyDescent="0.25">
      <c r="A1259" s="90" t="s">
        <v>3229</v>
      </c>
      <c r="B1259" s="90" t="s">
        <v>3226</v>
      </c>
      <c r="C1259" s="98" t="s">
        <v>3230</v>
      </c>
      <c r="D1259" s="92" t="s">
        <v>3231</v>
      </c>
      <c r="E1259" s="90" t="s">
        <v>16</v>
      </c>
      <c r="F1259" s="99">
        <v>9</v>
      </c>
      <c r="G1259" s="94">
        <v>53228.427199999998</v>
      </c>
      <c r="H1259" s="94">
        <v>0</v>
      </c>
      <c r="I1259" s="95">
        <v>53228.427199999998</v>
      </c>
      <c r="J1259" s="95">
        <v>479055.84</v>
      </c>
      <c r="K1259" s="95">
        <v>0</v>
      </c>
      <c r="L1259" s="95">
        <v>479055.84</v>
      </c>
      <c r="M1259" s="96">
        <v>0.1837</v>
      </c>
      <c r="N1259" s="95">
        <v>63006.49</v>
      </c>
      <c r="O1259" s="95">
        <v>0</v>
      </c>
      <c r="P1259" s="95">
        <v>63006.49</v>
      </c>
      <c r="Q1259" s="95">
        <v>567058.41</v>
      </c>
      <c r="R1259" s="95">
        <v>0</v>
      </c>
      <c r="S1259" s="95">
        <v>567058.41</v>
      </c>
      <c r="U1259" s="106" t="str">
        <f>_xlfn.XLOOKUP(I1259,'[1]MAPA DE COTAÇÕES'!$D$12:$D$1058,'[1]MAPA DE COTAÇÕES'!$A$12:$A$1058,"")</f>
        <v>CLI_CE-MERCADO 02</v>
      </c>
    </row>
    <row r="1260" spans="1:21" ht="51" x14ac:dyDescent="0.25">
      <c r="A1260" s="90" t="s">
        <v>3232</v>
      </c>
      <c r="B1260" s="90" t="s">
        <v>3226</v>
      </c>
      <c r="C1260" s="98" t="s">
        <v>3233</v>
      </c>
      <c r="D1260" s="92" t="s">
        <v>3234</v>
      </c>
      <c r="E1260" s="90" t="s">
        <v>16</v>
      </c>
      <c r="F1260" s="99">
        <v>9</v>
      </c>
      <c r="G1260" s="94">
        <v>66739.92</v>
      </c>
      <c r="H1260" s="94">
        <v>0</v>
      </c>
      <c r="I1260" s="95">
        <v>66739.92</v>
      </c>
      <c r="J1260" s="95">
        <v>600659.28</v>
      </c>
      <c r="K1260" s="95">
        <v>0</v>
      </c>
      <c r="L1260" s="95">
        <v>600659.28</v>
      </c>
      <c r="M1260" s="96">
        <v>0.1837</v>
      </c>
      <c r="N1260" s="95">
        <v>79000.039999999994</v>
      </c>
      <c r="O1260" s="95">
        <v>0</v>
      </c>
      <c r="P1260" s="95">
        <v>79000.039999999994</v>
      </c>
      <c r="Q1260" s="95">
        <v>711000.36</v>
      </c>
      <c r="R1260" s="95">
        <v>0</v>
      </c>
      <c r="S1260" s="95">
        <v>711000.36</v>
      </c>
      <c r="U1260" s="106" t="str">
        <f>_xlfn.XLOOKUP(I1260,'[1]MAPA DE COTAÇÕES'!$D$12:$D$1058,'[1]MAPA DE COTAÇÕES'!$A$12:$A$1058,"")</f>
        <v>CLI_CE-MERCADO 03</v>
      </c>
    </row>
    <row r="1261" spans="1:21" ht="51" x14ac:dyDescent="0.25">
      <c r="A1261" s="90" t="s">
        <v>3235</v>
      </c>
      <c r="B1261" s="90" t="s">
        <v>3226</v>
      </c>
      <c r="C1261" s="98" t="s">
        <v>3236</v>
      </c>
      <c r="D1261" s="92" t="s">
        <v>3237</v>
      </c>
      <c r="E1261" s="90" t="s">
        <v>16</v>
      </c>
      <c r="F1261" s="99">
        <v>6</v>
      </c>
      <c r="G1261" s="94">
        <v>80452.27840000001</v>
      </c>
      <c r="H1261" s="94">
        <v>0</v>
      </c>
      <c r="I1261" s="95">
        <v>80452.27840000001</v>
      </c>
      <c r="J1261" s="95">
        <v>482713.67</v>
      </c>
      <c r="K1261" s="95">
        <v>0</v>
      </c>
      <c r="L1261" s="95">
        <v>482713.67</v>
      </c>
      <c r="M1261" s="96">
        <v>0.1837</v>
      </c>
      <c r="N1261" s="95">
        <v>95231.360000000001</v>
      </c>
      <c r="O1261" s="95">
        <v>0</v>
      </c>
      <c r="P1261" s="95">
        <v>95231.360000000001</v>
      </c>
      <c r="Q1261" s="95">
        <v>571388.16000000003</v>
      </c>
      <c r="R1261" s="95">
        <v>0</v>
      </c>
      <c r="S1261" s="95">
        <v>571388.16000000003</v>
      </c>
      <c r="U1261" s="106" t="str">
        <f>_xlfn.XLOOKUP(I1261,'[1]MAPA DE COTAÇÕES'!$D$12:$D$1058,'[1]MAPA DE COTAÇÕES'!$A$12:$A$1058,"")</f>
        <v>CLI_CE-MERCADO 04</v>
      </c>
    </row>
    <row r="1262" spans="1:21" ht="51" x14ac:dyDescent="0.25">
      <c r="A1262" s="90" t="s">
        <v>3238</v>
      </c>
      <c r="B1262" s="90" t="s">
        <v>3226</v>
      </c>
      <c r="C1262" s="98" t="s">
        <v>3239</v>
      </c>
      <c r="D1262" s="92" t="s">
        <v>3240</v>
      </c>
      <c r="E1262" s="90" t="s">
        <v>16</v>
      </c>
      <c r="F1262" s="99">
        <v>4</v>
      </c>
      <c r="G1262" s="94">
        <v>92105.561599999986</v>
      </c>
      <c r="H1262" s="94">
        <v>0</v>
      </c>
      <c r="I1262" s="95">
        <v>92105.561599999986</v>
      </c>
      <c r="J1262" s="95">
        <v>368422.25</v>
      </c>
      <c r="K1262" s="95">
        <v>0</v>
      </c>
      <c r="L1262" s="95">
        <v>368422.25</v>
      </c>
      <c r="M1262" s="96">
        <v>0.1837</v>
      </c>
      <c r="N1262" s="95">
        <v>109025.35</v>
      </c>
      <c r="O1262" s="95">
        <v>0</v>
      </c>
      <c r="P1262" s="95">
        <v>109025.35</v>
      </c>
      <c r="Q1262" s="95">
        <v>436101.4</v>
      </c>
      <c r="R1262" s="95">
        <v>0</v>
      </c>
      <c r="S1262" s="95">
        <v>436101.4</v>
      </c>
      <c r="U1262" s="106" t="str">
        <f>_xlfn.XLOOKUP(I1262,'[1]MAPA DE COTAÇÕES'!$D$12:$D$1058,'[1]MAPA DE COTAÇÕES'!$A$12:$A$1058,"")</f>
        <v>CLI_CE-MERCADO 05</v>
      </c>
    </row>
    <row r="1263" spans="1:21" ht="51" x14ac:dyDescent="0.25">
      <c r="A1263" s="90" t="s">
        <v>3241</v>
      </c>
      <c r="B1263" s="90" t="s">
        <v>3226</v>
      </c>
      <c r="C1263" s="98" t="s">
        <v>3242</v>
      </c>
      <c r="D1263" s="92" t="s">
        <v>3243</v>
      </c>
      <c r="E1263" s="90" t="s">
        <v>16</v>
      </c>
      <c r="F1263" s="99">
        <v>1</v>
      </c>
      <c r="G1263" s="94">
        <v>123563.93919999999</v>
      </c>
      <c r="H1263" s="94">
        <v>0</v>
      </c>
      <c r="I1263" s="95">
        <v>123563.93919999999</v>
      </c>
      <c r="J1263" s="95">
        <v>123563.94</v>
      </c>
      <c r="K1263" s="95">
        <v>0</v>
      </c>
      <c r="L1263" s="95">
        <v>123563.94</v>
      </c>
      <c r="M1263" s="96">
        <v>0.1837</v>
      </c>
      <c r="N1263" s="95">
        <v>146262.63</v>
      </c>
      <c r="O1263" s="95">
        <v>0</v>
      </c>
      <c r="P1263" s="95">
        <v>146262.63</v>
      </c>
      <c r="Q1263" s="95">
        <v>146262.63</v>
      </c>
      <c r="R1263" s="95">
        <v>0</v>
      </c>
      <c r="S1263" s="95">
        <v>146262.63</v>
      </c>
      <c r="U1263" s="106" t="str">
        <f>_xlfn.XLOOKUP(I1263,'[1]MAPA DE COTAÇÕES'!$D$12:$D$1058,'[1]MAPA DE COTAÇÕES'!$A$12:$A$1058,"")</f>
        <v>CLI_CE-MERCADO 06</v>
      </c>
    </row>
    <row r="1264" spans="1:21" ht="51" x14ac:dyDescent="0.25">
      <c r="A1264" s="90" t="s">
        <v>3244</v>
      </c>
      <c r="B1264" s="90" t="s">
        <v>3226</v>
      </c>
      <c r="C1264" s="98" t="s">
        <v>3245</v>
      </c>
      <c r="D1264" s="92" t="s">
        <v>3246</v>
      </c>
      <c r="E1264" s="90" t="s">
        <v>16</v>
      </c>
      <c r="F1264" s="99">
        <v>2</v>
      </c>
      <c r="G1264" s="94">
        <v>108974.73599999999</v>
      </c>
      <c r="H1264" s="94">
        <v>0</v>
      </c>
      <c r="I1264" s="95">
        <v>108974.73599999999</v>
      </c>
      <c r="J1264" s="95">
        <v>217949.47</v>
      </c>
      <c r="K1264" s="95">
        <v>0</v>
      </c>
      <c r="L1264" s="95">
        <v>217949.47</v>
      </c>
      <c r="M1264" s="96">
        <v>0.1837</v>
      </c>
      <c r="N1264" s="95">
        <v>128993.4</v>
      </c>
      <c r="O1264" s="95">
        <v>0</v>
      </c>
      <c r="P1264" s="95">
        <v>128993.4</v>
      </c>
      <c r="Q1264" s="95">
        <v>257986.8</v>
      </c>
      <c r="R1264" s="95">
        <v>0</v>
      </c>
      <c r="S1264" s="95">
        <v>257986.8</v>
      </c>
      <c r="U1264" s="106" t="str">
        <f>_xlfn.XLOOKUP(I1264,'[1]MAPA DE COTAÇÕES'!$D$12:$D$1058,'[1]MAPA DE COTAÇÕES'!$A$12:$A$1058,"")</f>
        <v>CLI_CE-MERCADO 07</v>
      </c>
    </row>
    <row r="1265" spans="1:21" ht="51" x14ac:dyDescent="0.25">
      <c r="A1265" s="90" t="s">
        <v>3247</v>
      </c>
      <c r="B1265" s="90" t="s">
        <v>3226</v>
      </c>
      <c r="C1265" s="98" t="s">
        <v>3248</v>
      </c>
      <c r="D1265" s="92" t="s">
        <v>3249</v>
      </c>
      <c r="E1265" s="90" t="s">
        <v>16</v>
      </c>
      <c r="F1265" s="99">
        <v>6</v>
      </c>
      <c r="G1265" s="94">
        <v>144404.50959999999</v>
      </c>
      <c r="H1265" s="94">
        <v>0</v>
      </c>
      <c r="I1265" s="95">
        <v>144404.50959999999</v>
      </c>
      <c r="J1265" s="95">
        <v>866427.06</v>
      </c>
      <c r="K1265" s="95">
        <v>0</v>
      </c>
      <c r="L1265" s="95">
        <v>866427.06</v>
      </c>
      <c r="M1265" s="96">
        <v>0.1837</v>
      </c>
      <c r="N1265" s="95">
        <v>170931.62</v>
      </c>
      <c r="O1265" s="95">
        <v>0</v>
      </c>
      <c r="P1265" s="95">
        <v>170931.62</v>
      </c>
      <c r="Q1265" s="95">
        <v>1025589.72</v>
      </c>
      <c r="R1265" s="95">
        <v>0</v>
      </c>
      <c r="S1265" s="95">
        <v>1025589.72</v>
      </c>
      <c r="U1265" s="106" t="str">
        <f>_xlfn.XLOOKUP(I1265,'[1]MAPA DE COTAÇÕES'!$D$12:$D$1058,'[1]MAPA DE COTAÇÕES'!$A$12:$A$1058,"")</f>
        <v>CLI_CE-MERCADO 08</v>
      </c>
    </row>
    <row r="1266" spans="1:21" ht="51" x14ac:dyDescent="0.25">
      <c r="A1266" s="90" t="s">
        <v>3250</v>
      </c>
      <c r="B1266" s="90" t="s">
        <v>3226</v>
      </c>
      <c r="C1266" s="98" t="s">
        <v>3251</v>
      </c>
      <c r="D1266" s="92" t="s">
        <v>3252</v>
      </c>
      <c r="E1266" s="90" t="s">
        <v>16</v>
      </c>
      <c r="F1266" s="99">
        <v>1</v>
      </c>
      <c r="G1266" s="94">
        <v>148467.82079999999</v>
      </c>
      <c r="H1266" s="94">
        <v>0</v>
      </c>
      <c r="I1266" s="95">
        <v>148467.82079999999</v>
      </c>
      <c r="J1266" s="95">
        <v>148467.82</v>
      </c>
      <c r="K1266" s="95">
        <v>0</v>
      </c>
      <c r="L1266" s="95">
        <v>148467.82</v>
      </c>
      <c r="M1266" s="96">
        <v>0.1837</v>
      </c>
      <c r="N1266" s="95">
        <v>175741.36</v>
      </c>
      <c r="O1266" s="95">
        <v>0</v>
      </c>
      <c r="P1266" s="95">
        <v>175741.36</v>
      </c>
      <c r="Q1266" s="95">
        <v>175741.36</v>
      </c>
      <c r="R1266" s="95">
        <v>0</v>
      </c>
      <c r="S1266" s="95">
        <v>175741.36</v>
      </c>
      <c r="U1266" s="106" t="str">
        <f>_xlfn.XLOOKUP(I1266,'[1]MAPA DE COTAÇÕES'!$D$12:$D$1058,'[1]MAPA DE COTAÇÕES'!$A$12:$A$1058,"")</f>
        <v>CLI_CE-MERCADO 09</v>
      </c>
    </row>
    <row r="1267" spans="1:21" ht="63.75" x14ac:dyDescent="0.25">
      <c r="A1267" s="90" t="s">
        <v>3253</v>
      </c>
      <c r="B1267" s="90" t="s">
        <v>3226</v>
      </c>
      <c r="C1267" s="98" t="s">
        <v>3254</v>
      </c>
      <c r="D1267" s="92" t="s">
        <v>3255</v>
      </c>
      <c r="E1267" s="90" t="s">
        <v>16</v>
      </c>
      <c r="F1267" s="99">
        <v>10</v>
      </c>
      <c r="G1267" s="94">
        <v>76938.950400000002</v>
      </c>
      <c r="H1267" s="94">
        <v>0</v>
      </c>
      <c r="I1267" s="95">
        <v>76938.950400000002</v>
      </c>
      <c r="J1267" s="95">
        <v>769389.5</v>
      </c>
      <c r="K1267" s="95">
        <v>0</v>
      </c>
      <c r="L1267" s="95">
        <v>769389.5</v>
      </c>
      <c r="M1267" s="96">
        <v>0.1837</v>
      </c>
      <c r="N1267" s="95">
        <v>91072.639999999999</v>
      </c>
      <c r="O1267" s="95">
        <v>0</v>
      </c>
      <c r="P1267" s="95">
        <v>91072.639999999999</v>
      </c>
      <c r="Q1267" s="95">
        <v>910726.4</v>
      </c>
      <c r="R1267" s="95">
        <v>0</v>
      </c>
      <c r="S1267" s="95">
        <v>910726.4</v>
      </c>
      <c r="U1267" s="106" t="str">
        <f>_xlfn.XLOOKUP(I1267,'[1]MAPA DE COTAÇÕES'!$D$12:$D$1058,'[1]MAPA DE COTAÇÕES'!$A$12:$A$1058,"")</f>
        <v>CLI_CE-MERCADO 010</v>
      </c>
    </row>
    <row r="1268" spans="1:21" ht="51" x14ac:dyDescent="0.25">
      <c r="A1268" s="90" t="s">
        <v>3256</v>
      </c>
      <c r="B1268" s="90" t="s">
        <v>3226</v>
      </c>
      <c r="C1268" s="98" t="s">
        <v>3257</v>
      </c>
      <c r="D1268" s="92" t="s">
        <v>3258</v>
      </c>
      <c r="E1268" s="90" t="s">
        <v>16</v>
      </c>
      <c r="F1268" s="99">
        <v>7</v>
      </c>
      <c r="G1268" s="94">
        <v>39594.630400000002</v>
      </c>
      <c r="H1268" s="94">
        <v>0</v>
      </c>
      <c r="I1268" s="95">
        <v>39594.630400000002</v>
      </c>
      <c r="J1268" s="95">
        <v>277162.40999999997</v>
      </c>
      <c r="K1268" s="95">
        <v>0</v>
      </c>
      <c r="L1268" s="95">
        <v>277162.40999999997</v>
      </c>
      <c r="M1268" s="96">
        <v>0.1837</v>
      </c>
      <c r="N1268" s="95">
        <v>46868.160000000003</v>
      </c>
      <c r="O1268" s="95">
        <v>0</v>
      </c>
      <c r="P1268" s="95">
        <v>46868.160000000003</v>
      </c>
      <c r="Q1268" s="95">
        <v>328077.12</v>
      </c>
      <c r="R1268" s="95">
        <v>0</v>
      </c>
      <c r="S1268" s="95">
        <v>328077.12</v>
      </c>
      <c r="U1268" s="106" t="str">
        <f>_xlfn.XLOOKUP(I1268,'[1]MAPA DE COTAÇÕES'!$D$12:$D$1058,'[1]MAPA DE COTAÇÕES'!$A$12:$A$1058,"")</f>
        <v>CLI_CE-MERCADO 011</v>
      </c>
    </row>
    <row r="1269" spans="1:21" ht="51" x14ac:dyDescent="0.25">
      <c r="A1269" s="90" t="s">
        <v>3259</v>
      </c>
      <c r="B1269" s="90" t="s">
        <v>3226</v>
      </c>
      <c r="C1269" s="98" t="s">
        <v>3260</v>
      </c>
      <c r="D1269" s="92" t="s">
        <v>3261</v>
      </c>
      <c r="E1269" s="90" t="s">
        <v>16</v>
      </c>
      <c r="F1269" s="99">
        <v>1</v>
      </c>
      <c r="G1269" s="94">
        <v>72342.399999999994</v>
      </c>
      <c r="H1269" s="94">
        <v>0</v>
      </c>
      <c r="I1269" s="95">
        <v>72342.399999999994</v>
      </c>
      <c r="J1269" s="95">
        <v>72342.399999999994</v>
      </c>
      <c r="K1269" s="95">
        <v>0</v>
      </c>
      <c r="L1269" s="95">
        <v>72342.399999999994</v>
      </c>
      <c r="M1269" s="96">
        <v>0.1837</v>
      </c>
      <c r="N1269" s="95">
        <v>85631.7</v>
      </c>
      <c r="O1269" s="95">
        <v>0</v>
      </c>
      <c r="P1269" s="95">
        <v>85631.7</v>
      </c>
      <c r="Q1269" s="95">
        <v>85631.7</v>
      </c>
      <c r="R1269" s="95">
        <v>0</v>
      </c>
      <c r="S1269" s="95">
        <v>85631.7</v>
      </c>
      <c r="U1269" s="106" t="str">
        <f>_xlfn.XLOOKUP(I1269,'[1]MAPA DE COTAÇÕES'!$D$12:$D$1058,'[1]MAPA DE COTAÇÕES'!$A$12:$A$1058,"")</f>
        <v>CLI_CE-MERCADO 012</v>
      </c>
    </row>
    <row r="1270" spans="1:21" ht="51" x14ac:dyDescent="0.25">
      <c r="A1270" s="90" t="s">
        <v>3262</v>
      </c>
      <c r="B1270" s="90" t="s">
        <v>3226</v>
      </c>
      <c r="C1270" s="98" t="s">
        <v>3263</v>
      </c>
      <c r="D1270" s="92" t="s">
        <v>3264</v>
      </c>
      <c r="E1270" s="90" t="s">
        <v>16</v>
      </c>
      <c r="F1270" s="99">
        <v>2</v>
      </c>
      <c r="G1270" s="94">
        <v>46650.936799999996</v>
      </c>
      <c r="H1270" s="94">
        <v>0</v>
      </c>
      <c r="I1270" s="95">
        <v>46650.936799999996</v>
      </c>
      <c r="J1270" s="95">
        <v>93301.87</v>
      </c>
      <c r="K1270" s="95">
        <v>0</v>
      </c>
      <c r="L1270" s="95">
        <v>93301.87</v>
      </c>
      <c r="M1270" s="96">
        <v>0.1837</v>
      </c>
      <c r="N1270" s="95">
        <v>55220.71</v>
      </c>
      <c r="O1270" s="95">
        <v>0</v>
      </c>
      <c r="P1270" s="95">
        <v>55220.71</v>
      </c>
      <c r="Q1270" s="95">
        <v>110441.42</v>
      </c>
      <c r="R1270" s="95">
        <v>0</v>
      </c>
      <c r="S1270" s="95">
        <v>110441.42</v>
      </c>
      <c r="U1270" s="106" t="str">
        <f>_xlfn.XLOOKUP(I1270,'[1]MAPA DE COTAÇÕES'!$D$12:$D$1058,'[1]MAPA DE COTAÇÕES'!$A$12:$A$1058,"")</f>
        <v>CLI_CE-MERCADO 013</v>
      </c>
    </row>
    <row r="1271" spans="1:21" ht="51" x14ac:dyDescent="0.25">
      <c r="A1271" s="90" t="s">
        <v>3265</v>
      </c>
      <c r="B1271" s="90" t="s">
        <v>3226</v>
      </c>
      <c r="C1271" s="98" t="s">
        <v>3266</v>
      </c>
      <c r="D1271" s="92" t="s">
        <v>3267</v>
      </c>
      <c r="E1271" s="90" t="s">
        <v>16</v>
      </c>
      <c r="F1271" s="99">
        <v>1</v>
      </c>
      <c r="G1271" s="94">
        <v>52526.5</v>
      </c>
      <c r="H1271" s="94">
        <v>0</v>
      </c>
      <c r="I1271" s="95">
        <v>52526.5</v>
      </c>
      <c r="J1271" s="95">
        <v>52526.5</v>
      </c>
      <c r="K1271" s="95">
        <v>0</v>
      </c>
      <c r="L1271" s="95">
        <v>52526.5</v>
      </c>
      <c r="M1271" s="96">
        <v>0.1837</v>
      </c>
      <c r="N1271" s="95">
        <v>62175.62</v>
      </c>
      <c r="O1271" s="95">
        <v>0</v>
      </c>
      <c r="P1271" s="95">
        <v>62175.62</v>
      </c>
      <c r="Q1271" s="95">
        <v>62175.62</v>
      </c>
      <c r="R1271" s="95">
        <v>0</v>
      </c>
      <c r="S1271" s="95">
        <v>62175.62</v>
      </c>
      <c r="U1271" s="106" t="str">
        <f>_xlfn.XLOOKUP(I1271,'[1]MAPA DE COTAÇÕES'!$D$12:$D$1058,'[1]MAPA DE COTAÇÕES'!$A$12:$A$1058,"")</f>
        <v>CLI_CE-MERCADO 014</v>
      </c>
    </row>
    <row r="1272" spans="1:21" ht="51" x14ac:dyDescent="0.25">
      <c r="A1272" s="90" t="s">
        <v>3268</v>
      </c>
      <c r="B1272" s="90" t="s">
        <v>3226</v>
      </c>
      <c r="C1272" s="98" t="s">
        <v>3269</v>
      </c>
      <c r="D1272" s="92" t="s">
        <v>3270</v>
      </c>
      <c r="E1272" s="90" t="s">
        <v>16</v>
      </c>
      <c r="F1272" s="99">
        <v>1</v>
      </c>
      <c r="G1272" s="94">
        <v>56457.127999999997</v>
      </c>
      <c r="H1272" s="94">
        <v>0</v>
      </c>
      <c r="I1272" s="95">
        <v>56457.127999999997</v>
      </c>
      <c r="J1272" s="95">
        <v>56457.13</v>
      </c>
      <c r="K1272" s="95">
        <v>0</v>
      </c>
      <c r="L1272" s="95">
        <v>56457.13</v>
      </c>
      <c r="M1272" s="96">
        <v>0.1837</v>
      </c>
      <c r="N1272" s="95">
        <v>66828.3</v>
      </c>
      <c r="O1272" s="95">
        <v>0</v>
      </c>
      <c r="P1272" s="95">
        <v>66828.3</v>
      </c>
      <c r="Q1272" s="95">
        <v>66828.3</v>
      </c>
      <c r="R1272" s="95">
        <v>0</v>
      </c>
      <c r="S1272" s="95">
        <v>66828.3</v>
      </c>
      <c r="U1272" s="106" t="str">
        <f>_xlfn.XLOOKUP(I1272,'[1]MAPA DE COTAÇÕES'!$D$12:$D$1058,'[1]MAPA DE COTAÇÕES'!$A$12:$A$1058,"")</f>
        <v>CLI_CE-MERCADO 015</v>
      </c>
    </row>
    <row r="1273" spans="1:21" ht="51" x14ac:dyDescent="0.25">
      <c r="A1273" s="90" t="s">
        <v>3271</v>
      </c>
      <c r="B1273" s="90" t="s">
        <v>3226</v>
      </c>
      <c r="C1273" s="98" t="s">
        <v>3272</v>
      </c>
      <c r="D1273" s="92" t="s">
        <v>3273</v>
      </c>
      <c r="E1273" s="90" t="s">
        <v>16</v>
      </c>
      <c r="F1273" s="99">
        <v>4</v>
      </c>
      <c r="G1273" s="94">
        <v>31167.718399999998</v>
      </c>
      <c r="H1273" s="94">
        <v>0</v>
      </c>
      <c r="I1273" s="95">
        <v>31167.718399999998</v>
      </c>
      <c r="J1273" s="95">
        <v>124670.87</v>
      </c>
      <c r="K1273" s="95">
        <v>0</v>
      </c>
      <c r="L1273" s="95">
        <v>124670.87</v>
      </c>
      <c r="M1273" s="96">
        <v>0.1837</v>
      </c>
      <c r="N1273" s="95">
        <v>36893.230000000003</v>
      </c>
      <c r="O1273" s="95">
        <v>0</v>
      </c>
      <c r="P1273" s="95">
        <v>36893.230000000003</v>
      </c>
      <c r="Q1273" s="95">
        <v>147572.92000000001</v>
      </c>
      <c r="R1273" s="95">
        <v>0</v>
      </c>
      <c r="S1273" s="95">
        <v>147572.92000000001</v>
      </c>
      <c r="U1273" s="106" t="str">
        <f>_xlfn.XLOOKUP(I1273,'[1]MAPA DE COTAÇÕES'!$D$12:$D$1058,'[1]MAPA DE COTAÇÕES'!$A$12:$A$1058,"")</f>
        <v/>
      </c>
    </row>
    <row r="1274" spans="1:21" ht="38.25" x14ac:dyDescent="0.25">
      <c r="A1274" s="90" t="s">
        <v>3274</v>
      </c>
      <c r="B1274" s="90" t="s">
        <v>3226</v>
      </c>
      <c r="C1274" s="98" t="s">
        <v>3275</v>
      </c>
      <c r="D1274" s="92" t="s">
        <v>3276</v>
      </c>
      <c r="E1274" s="90" t="s">
        <v>16</v>
      </c>
      <c r="F1274" s="99">
        <v>1</v>
      </c>
      <c r="G1274" s="94">
        <v>68380</v>
      </c>
      <c r="H1274" s="94">
        <v>0</v>
      </c>
      <c r="I1274" s="95">
        <v>68380</v>
      </c>
      <c r="J1274" s="95">
        <v>68380</v>
      </c>
      <c r="K1274" s="95">
        <v>0</v>
      </c>
      <c r="L1274" s="95">
        <v>68380</v>
      </c>
      <c r="M1274" s="96">
        <v>0.1837</v>
      </c>
      <c r="N1274" s="95">
        <v>80941.41</v>
      </c>
      <c r="O1274" s="95">
        <v>0</v>
      </c>
      <c r="P1274" s="95">
        <v>80941.41</v>
      </c>
      <c r="Q1274" s="95">
        <v>80941.41</v>
      </c>
      <c r="R1274" s="95">
        <v>0</v>
      </c>
      <c r="S1274" s="95">
        <v>80941.41</v>
      </c>
      <c r="U1274" s="106" t="str">
        <f>_xlfn.XLOOKUP(I1274,'[1]MAPA DE COTAÇÕES'!$D$12:$D$1058,'[1]MAPA DE COTAÇÕES'!$A$12:$A$1058,"")</f>
        <v>CLI_CE-MERCADO 017</v>
      </c>
    </row>
    <row r="1275" spans="1:21" ht="38.25" x14ac:dyDescent="0.25">
      <c r="A1275" s="90" t="s">
        <v>3277</v>
      </c>
      <c r="B1275" s="90" t="s">
        <v>3226</v>
      </c>
      <c r="C1275" s="98" t="s">
        <v>3278</v>
      </c>
      <c r="D1275" s="92" t="s">
        <v>3279</v>
      </c>
      <c r="E1275" s="90" t="s">
        <v>16</v>
      </c>
      <c r="F1275" s="99">
        <v>1</v>
      </c>
      <c r="G1275" s="94">
        <v>87984.374400000001</v>
      </c>
      <c r="H1275" s="94">
        <v>0</v>
      </c>
      <c r="I1275" s="95">
        <v>87984.374400000001</v>
      </c>
      <c r="J1275" s="95">
        <v>87984.37</v>
      </c>
      <c r="K1275" s="95">
        <v>0</v>
      </c>
      <c r="L1275" s="95">
        <v>87984.37</v>
      </c>
      <c r="M1275" s="96">
        <v>0.1837</v>
      </c>
      <c r="N1275" s="95">
        <v>104147.1</v>
      </c>
      <c r="O1275" s="95">
        <v>0</v>
      </c>
      <c r="P1275" s="95">
        <v>104147.1</v>
      </c>
      <c r="Q1275" s="95">
        <v>104147.1</v>
      </c>
      <c r="R1275" s="95">
        <v>0</v>
      </c>
      <c r="S1275" s="95">
        <v>104147.1</v>
      </c>
      <c r="U1275" s="106" t="str">
        <f>_xlfn.XLOOKUP(I1275,'[1]MAPA DE COTAÇÕES'!$D$12:$D$1058,'[1]MAPA DE COTAÇÕES'!$A$12:$A$1058,"")</f>
        <v>CLI_CE-MERCADO 018</v>
      </c>
    </row>
    <row r="1276" spans="1:21" ht="38.25" x14ac:dyDescent="0.25">
      <c r="A1276" s="90" t="s">
        <v>3280</v>
      </c>
      <c r="B1276" s="90" t="s">
        <v>3226</v>
      </c>
      <c r="C1276" s="98" t="s">
        <v>3281</v>
      </c>
      <c r="D1276" s="92" t="s">
        <v>3282</v>
      </c>
      <c r="E1276" s="90" t="s">
        <v>16</v>
      </c>
      <c r="F1276" s="99">
        <v>1</v>
      </c>
      <c r="G1276" s="94">
        <v>51251.199999999997</v>
      </c>
      <c r="H1276" s="94">
        <v>0</v>
      </c>
      <c r="I1276" s="95">
        <v>51251.199999999997</v>
      </c>
      <c r="J1276" s="95">
        <v>51251.199999999997</v>
      </c>
      <c r="K1276" s="95">
        <v>0</v>
      </c>
      <c r="L1276" s="95">
        <v>51251.199999999997</v>
      </c>
      <c r="M1276" s="96">
        <v>0.1837</v>
      </c>
      <c r="N1276" s="95">
        <v>60666.05</v>
      </c>
      <c r="O1276" s="95">
        <v>0</v>
      </c>
      <c r="P1276" s="95">
        <v>60666.05</v>
      </c>
      <c r="Q1276" s="95">
        <v>60666.05</v>
      </c>
      <c r="R1276" s="95">
        <v>0</v>
      </c>
      <c r="S1276" s="95">
        <v>60666.05</v>
      </c>
      <c r="U1276" s="106" t="str">
        <f>_xlfn.XLOOKUP(I1276,'[1]MAPA DE COTAÇÕES'!$D$12:$D$1058,'[1]MAPA DE COTAÇÕES'!$A$12:$A$1058,"")</f>
        <v/>
      </c>
    </row>
    <row r="1277" spans="1:21" ht="38.25" x14ac:dyDescent="0.25">
      <c r="A1277" s="90" t="s">
        <v>3283</v>
      </c>
      <c r="B1277" s="90" t="s">
        <v>3226</v>
      </c>
      <c r="C1277" s="98" t="s">
        <v>3284</v>
      </c>
      <c r="D1277" s="92" t="s">
        <v>3285</v>
      </c>
      <c r="E1277" s="90" t="s">
        <v>16</v>
      </c>
      <c r="F1277" s="99">
        <v>88</v>
      </c>
      <c r="G1277" s="94">
        <v>21216</v>
      </c>
      <c r="H1277" s="94">
        <v>0</v>
      </c>
      <c r="I1277" s="95">
        <v>21216</v>
      </c>
      <c r="J1277" s="95">
        <v>1867008</v>
      </c>
      <c r="K1277" s="95">
        <v>0</v>
      </c>
      <c r="L1277" s="95">
        <v>1867008</v>
      </c>
      <c r="M1277" s="96">
        <v>0.1837</v>
      </c>
      <c r="N1277" s="95">
        <v>25113.38</v>
      </c>
      <c r="O1277" s="95">
        <v>0</v>
      </c>
      <c r="P1277" s="95">
        <v>25113.38</v>
      </c>
      <c r="Q1277" s="95">
        <v>2209977.44</v>
      </c>
      <c r="R1277" s="95">
        <v>0</v>
      </c>
      <c r="S1277" s="95">
        <v>2209977.44</v>
      </c>
      <c r="U1277" s="106" t="str">
        <f>_xlfn.XLOOKUP(I1277,'[1]MAPA DE COTAÇÕES'!$D$12:$D$1058,'[1]MAPA DE COTAÇÕES'!$A$12:$A$1058,"")</f>
        <v>CLI_CE-MERCADO 020</v>
      </c>
    </row>
    <row r="1278" spans="1:21" ht="38.25" x14ac:dyDescent="0.25">
      <c r="A1278" s="90" t="s">
        <v>3286</v>
      </c>
      <c r="B1278" s="90" t="s">
        <v>3226</v>
      </c>
      <c r="C1278" s="98" t="s">
        <v>3287</v>
      </c>
      <c r="D1278" s="92" t="s">
        <v>3288</v>
      </c>
      <c r="E1278" s="90" t="s">
        <v>16</v>
      </c>
      <c r="F1278" s="99">
        <v>5</v>
      </c>
      <c r="G1278" s="94">
        <v>28683.200000000001</v>
      </c>
      <c r="H1278" s="94">
        <v>0</v>
      </c>
      <c r="I1278" s="95">
        <v>28683.200000000001</v>
      </c>
      <c r="J1278" s="95">
        <v>143416</v>
      </c>
      <c r="K1278" s="95">
        <v>0</v>
      </c>
      <c r="L1278" s="95">
        <v>143416</v>
      </c>
      <c r="M1278" s="96">
        <v>0.1837</v>
      </c>
      <c r="N1278" s="95">
        <v>33952.300000000003</v>
      </c>
      <c r="O1278" s="95">
        <v>0</v>
      </c>
      <c r="P1278" s="95">
        <v>33952.300000000003</v>
      </c>
      <c r="Q1278" s="95">
        <v>169761.5</v>
      </c>
      <c r="R1278" s="95">
        <v>0</v>
      </c>
      <c r="S1278" s="95">
        <v>169761.5</v>
      </c>
      <c r="U1278" s="106" t="str">
        <f>_xlfn.XLOOKUP(I1278,'[1]MAPA DE COTAÇÕES'!$D$12:$D$1058,'[1]MAPA DE COTAÇÕES'!$A$12:$A$1058,"")</f>
        <v>CLI_CE-MERCADO 021</v>
      </c>
    </row>
    <row r="1279" spans="1:21" ht="15" x14ac:dyDescent="0.25">
      <c r="A1279" s="90" t="s">
        <v>3289</v>
      </c>
      <c r="B1279" s="90" t="s">
        <v>3290</v>
      </c>
      <c r="C1279" s="98" t="s">
        <v>3291</v>
      </c>
      <c r="D1279" s="92" t="s">
        <v>3292</v>
      </c>
      <c r="E1279" s="90" t="s">
        <v>16</v>
      </c>
      <c r="F1279" s="99">
        <v>166</v>
      </c>
      <c r="G1279" s="94">
        <v>392.85</v>
      </c>
      <c r="H1279" s="94">
        <v>1438.45</v>
      </c>
      <c r="I1279" s="95">
        <v>1831.3000000000002</v>
      </c>
      <c r="J1279" s="95">
        <v>65213.1</v>
      </c>
      <c r="K1279" s="95">
        <v>238782.7</v>
      </c>
      <c r="L1279" s="95">
        <v>303995.8</v>
      </c>
      <c r="M1279" s="96">
        <v>0.27529999999999999</v>
      </c>
      <c r="N1279" s="95">
        <v>501</v>
      </c>
      <c r="O1279" s="95">
        <v>1834.46</v>
      </c>
      <c r="P1279" s="95">
        <v>2335.46</v>
      </c>
      <c r="Q1279" s="95">
        <v>83166</v>
      </c>
      <c r="R1279" s="95">
        <v>304520.36</v>
      </c>
      <c r="S1279" s="95">
        <v>387686.36</v>
      </c>
      <c r="U1279" s="106" t="str">
        <f>_xlfn.XLOOKUP(I1279,'[1]MAPA DE COTAÇÕES'!$D$12:$D$1058,'[1]MAPA DE COTAÇÕES'!$A$12:$A$1058,"")</f>
        <v/>
      </c>
    </row>
    <row r="1280" spans="1:21" ht="15" x14ac:dyDescent="0.25">
      <c r="A1280" s="90" t="s">
        <v>3293</v>
      </c>
      <c r="B1280" s="90" t="s">
        <v>3226</v>
      </c>
      <c r="C1280" s="98" t="s">
        <v>3294</v>
      </c>
      <c r="D1280" s="92" t="s">
        <v>3295</v>
      </c>
      <c r="E1280" s="90" t="s">
        <v>16</v>
      </c>
      <c r="F1280" s="99">
        <v>14</v>
      </c>
      <c r="G1280" s="94">
        <v>4368</v>
      </c>
      <c r="H1280" s="94">
        <v>0</v>
      </c>
      <c r="I1280" s="95">
        <v>4368</v>
      </c>
      <c r="J1280" s="95">
        <v>61152</v>
      </c>
      <c r="K1280" s="95">
        <v>0</v>
      </c>
      <c r="L1280" s="95">
        <v>61152</v>
      </c>
      <c r="M1280" s="96">
        <v>0.1837</v>
      </c>
      <c r="N1280" s="95">
        <v>5170.3999999999996</v>
      </c>
      <c r="O1280" s="95">
        <v>0</v>
      </c>
      <c r="P1280" s="95">
        <v>5170.3999999999996</v>
      </c>
      <c r="Q1280" s="95">
        <v>72385.600000000006</v>
      </c>
      <c r="R1280" s="95">
        <v>0</v>
      </c>
      <c r="S1280" s="95">
        <v>72385.600000000006</v>
      </c>
      <c r="U1280" s="106" t="str">
        <f>_xlfn.XLOOKUP(I1280,'[1]MAPA DE COTAÇÕES'!$D$12:$D$1058,'[1]MAPA DE COTAÇÕES'!$A$12:$A$1058,"")</f>
        <v>CLI_CE-MERCADO 022</v>
      </c>
    </row>
    <row r="1281" spans="1:21" ht="15" x14ac:dyDescent="0.25">
      <c r="A1281" s="90" t="s">
        <v>3296</v>
      </c>
      <c r="B1281" s="90" t="s">
        <v>3226</v>
      </c>
      <c r="C1281" s="98" t="s">
        <v>3297</v>
      </c>
      <c r="D1281" s="92" t="s">
        <v>3298</v>
      </c>
      <c r="E1281" s="90" t="s">
        <v>16</v>
      </c>
      <c r="F1281" s="99">
        <v>40</v>
      </c>
      <c r="G1281" s="94">
        <v>4472</v>
      </c>
      <c r="H1281" s="94">
        <v>0</v>
      </c>
      <c r="I1281" s="95">
        <v>4472</v>
      </c>
      <c r="J1281" s="95">
        <v>178880</v>
      </c>
      <c r="K1281" s="95">
        <v>0</v>
      </c>
      <c r="L1281" s="95">
        <v>178880</v>
      </c>
      <c r="M1281" s="96">
        <v>0.1837</v>
      </c>
      <c r="N1281" s="95">
        <v>5293.51</v>
      </c>
      <c r="O1281" s="95">
        <v>0</v>
      </c>
      <c r="P1281" s="95">
        <v>5293.51</v>
      </c>
      <c r="Q1281" s="95">
        <v>211740.4</v>
      </c>
      <c r="R1281" s="95">
        <v>0</v>
      </c>
      <c r="S1281" s="95">
        <v>211740.4</v>
      </c>
      <c r="U1281" s="106" t="str">
        <f>_xlfn.XLOOKUP(I1281,'[1]MAPA DE COTAÇÕES'!$D$12:$D$1058,'[1]MAPA DE COTAÇÕES'!$A$12:$A$1058,"")</f>
        <v>CLI_CE-MERCADO 023</v>
      </c>
    </row>
    <row r="1282" spans="1:21" ht="15" x14ac:dyDescent="0.25">
      <c r="A1282" s="90" t="s">
        <v>3299</v>
      </c>
      <c r="B1282" s="90" t="s">
        <v>3226</v>
      </c>
      <c r="C1282" s="98" t="s">
        <v>3300</v>
      </c>
      <c r="D1282" s="92" t="s">
        <v>3301</v>
      </c>
      <c r="E1282" s="90" t="s">
        <v>16</v>
      </c>
      <c r="F1282" s="99">
        <v>49</v>
      </c>
      <c r="G1282" s="94">
        <v>4576</v>
      </c>
      <c r="H1282" s="94">
        <v>0</v>
      </c>
      <c r="I1282" s="95">
        <v>4576</v>
      </c>
      <c r="J1282" s="95">
        <v>224224</v>
      </c>
      <c r="K1282" s="95">
        <v>0</v>
      </c>
      <c r="L1282" s="95">
        <v>224224</v>
      </c>
      <c r="M1282" s="96">
        <v>0.1837</v>
      </c>
      <c r="N1282" s="95">
        <v>5416.61</v>
      </c>
      <c r="O1282" s="95">
        <v>0</v>
      </c>
      <c r="P1282" s="95">
        <v>5416.61</v>
      </c>
      <c r="Q1282" s="95">
        <v>265413.89</v>
      </c>
      <c r="R1282" s="95">
        <v>0</v>
      </c>
      <c r="S1282" s="95">
        <v>265413.89</v>
      </c>
      <c r="U1282" s="106" t="str">
        <f>_xlfn.XLOOKUP(I1282,'[1]MAPA DE COTAÇÕES'!$D$12:$D$1058,'[1]MAPA DE COTAÇÕES'!$A$12:$A$1058,"")</f>
        <v>CLI_CE-MERCADO 024</v>
      </c>
    </row>
    <row r="1283" spans="1:21" ht="15" x14ac:dyDescent="0.25">
      <c r="A1283" s="90" t="s">
        <v>3302</v>
      </c>
      <c r="B1283" s="90" t="s">
        <v>3226</v>
      </c>
      <c r="C1283" s="98" t="s">
        <v>3303</v>
      </c>
      <c r="D1283" s="92" t="s">
        <v>3304</v>
      </c>
      <c r="E1283" s="90" t="s">
        <v>16</v>
      </c>
      <c r="F1283" s="99">
        <v>41</v>
      </c>
      <c r="G1283" s="94">
        <v>6032</v>
      </c>
      <c r="H1283" s="94">
        <v>0</v>
      </c>
      <c r="I1283" s="95">
        <v>6032</v>
      </c>
      <c r="J1283" s="95">
        <v>247312</v>
      </c>
      <c r="K1283" s="95">
        <v>0</v>
      </c>
      <c r="L1283" s="95">
        <v>247312</v>
      </c>
      <c r="M1283" s="96">
        <v>0.1837</v>
      </c>
      <c r="N1283" s="95">
        <v>7140.08</v>
      </c>
      <c r="O1283" s="95">
        <v>0</v>
      </c>
      <c r="P1283" s="95">
        <v>7140.08</v>
      </c>
      <c r="Q1283" s="95">
        <v>292743.28000000003</v>
      </c>
      <c r="R1283" s="95">
        <v>0</v>
      </c>
      <c r="S1283" s="95">
        <v>292743.28000000003</v>
      </c>
      <c r="U1283" s="106" t="str">
        <f>_xlfn.XLOOKUP(I1283,'[1]MAPA DE COTAÇÕES'!$D$12:$D$1058,'[1]MAPA DE COTAÇÕES'!$A$12:$A$1058,"")</f>
        <v>CLI_CE-MERCADO 025</v>
      </c>
    </row>
    <row r="1284" spans="1:21" ht="15" x14ac:dyDescent="0.25">
      <c r="A1284" s="90" t="s">
        <v>3305</v>
      </c>
      <c r="B1284" s="90" t="s">
        <v>3226</v>
      </c>
      <c r="C1284" s="98" t="s">
        <v>3306</v>
      </c>
      <c r="D1284" s="92" t="s">
        <v>3307</v>
      </c>
      <c r="E1284" s="90" t="s">
        <v>16</v>
      </c>
      <c r="F1284" s="99">
        <v>51</v>
      </c>
      <c r="G1284" s="94">
        <v>6656</v>
      </c>
      <c r="H1284" s="94">
        <v>0</v>
      </c>
      <c r="I1284" s="95">
        <v>6656</v>
      </c>
      <c r="J1284" s="95">
        <v>339456</v>
      </c>
      <c r="K1284" s="95">
        <v>0</v>
      </c>
      <c r="L1284" s="95">
        <v>339456</v>
      </c>
      <c r="M1284" s="96">
        <v>0.1837</v>
      </c>
      <c r="N1284" s="95">
        <v>7878.71</v>
      </c>
      <c r="O1284" s="95">
        <v>0</v>
      </c>
      <c r="P1284" s="95">
        <v>7878.71</v>
      </c>
      <c r="Q1284" s="95">
        <v>401814.21</v>
      </c>
      <c r="R1284" s="95">
        <v>0</v>
      </c>
      <c r="S1284" s="95">
        <v>401814.21</v>
      </c>
      <c r="U1284" s="106" t="str">
        <f>_xlfn.XLOOKUP(I1284,'[1]MAPA DE COTAÇÕES'!$D$12:$D$1058,'[1]MAPA DE COTAÇÕES'!$A$12:$A$1058,"")</f>
        <v>CLI_CE-MERCADO 026</v>
      </c>
    </row>
    <row r="1285" spans="1:21" ht="15" x14ac:dyDescent="0.25">
      <c r="A1285" s="90" t="s">
        <v>3308</v>
      </c>
      <c r="B1285" s="90" t="s">
        <v>3226</v>
      </c>
      <c r="C1285" s="98" t="s">
        <v>3309</v>
      </c>
      <c r="D1285" s="92" t="s">
        <v>3310</v>
      </c>
      <c r="E1285" s="90" t="s">
        <v>16</v>
      </c>
      <c r="F1285" s="99">
        <v>36</v>
      </c>
      <c r="G1285" s="94">
        <v>4784</v>
      </c>
      <c r="H1285" s="94">
        <v>0</v>
      </c>
      <c r="I1285" s="95">
        <v>4784</v>
      </c>
      <c r="J1285" s="95">
        <v>172224</v>
      </c>
      <c r="K1285" s="95">
        <v>0</v>
      </c>
      <c r="L1285" s="95">
        <v>172224</v>
      </c>
      <c r="M1285" s="96">
        <v>0.1837</v>
      </c>
      <c r="N1285" s="95">
        <v>5662.82</v>
      </c>
      <c r="O1285" s="95">
        <v>0</v>
      </c>
      <c r="P1285" s="95">
        <v>5662.82</v>
      </c>
      <c r="Q1285" s="95">
        <v>203861.52</v>
      </c>
      <c r="R1285" s="95">
        <v>0</v>
      </c>
      <c r="S1285" s="95">
        <v>203861.52</v>
      </c>
      <c r="U1285" s="106" t="str">
        <f>_xlfn.XLOOKUP(I1285,'[1]MAPA DE COTAÇÕES'!$D$12:$D$1058,'[1]MAPA DE COTAÇÕES'!$A$12:$A$1058,"")</f>
        <v>CLI_CE-MERCADO 027</v>
      </c>
    </row>
    <row r="1286" spans="1:21" ht="15" x14ac:dyDescent="0.25">
      <c r="A1286" s="90" t="s">
        <v>3311</v>
      </c>
      <c r="B1286" s="90" t="s">
        <v>3226</v>
      </c>
      <c r="C1286" s="98" t="s">
        <v>3312</v>
      </c>
      <c r="D1286" s="92" t="s">
        <v>3313</v>
      </c>
      <c r="E1286" s="90" t="s">
        <v>16</v>
      </c>
      <c r="F1286" s="99">
        <v>4</v>
      </c>
      <c r="G1286" s="94">
        <v>1653600</v>
      </c>
      <c r="H1286" s="94">
        <v>0</v>
      </c>
      <c r="I1286" s="95">
        <v>1653600</v>
      </c>
      <c r="J1286" s="95">
        <v>6614400</v>
      </c>
      <c r="K1286" s="95">
        <v>0</v>
      </c>
      <c r="L1286" s="95">
        <v>6614400</v>
      </c>
      <c r="M1286" s="96">
        <v>0.1837</v>
      </c>
      <c r="N1286" s="95">
        <v>1957366.32</v>
      </c>
      <c r="O1286" s="95">
        <v>0</v>
      </c>
      <c r="P1286" s="95">
        <v>1957366.32</v>
      </c>
      <c r="Q1286" s="95">
        <v>7829465.2800000003</v>
      </c>
      <c r="R1286" s="95">
        <v>0</v>
      </c>
      <c r="S1286" s="95">
        <v>7829465.2800000003</v>
      </c>
      <c r="U1286" s="106" t="str">
        <f>_xlfn.XLOOKUP(I1286,'[1]MAPA DE COTAÇÕES'!$D$12:$D$1058,'[1]MAPA DE COTAÇÕES'!$A$12:$A$1058,"")</f>
        <v>CLI_CE-MERCADO 028</v>
      </c>
    </row>
    <row r="1287" spans="1:21" ht="15" x14ac:dyDescent="0.25">
      <c r="A1287" s="90" t="s">
        <v>3314</v>
      </c>
      <c r="B1287" s="90" t="s">
        <v>3290</v>
      </c>
      <c r="C1287" s="98" t="s">
        <v>3315</v>
      </c>
      <c r="D1287" s="92" t="s">
        <v>3316</v>
      </c>
      <c r="E1287" s="90" t="s">
        <v>16</v>
      </c>
      <c r="F1287" s="99">
        <v>1</v>
      </c>
      <c r="G1287" s="94">
        <v>43296.6</v>
      </c>
      <c r="H1287" s="94">
        <v>455.4</v>
      </c>
      <c r="I1287" s="95">
        <v>43752</v>
      </c>
      <c r="J1287" s="95">
        <v>43296.6</v>
      </c>
      <c r="K1287" s="95">
        <v>455.4</v>
      </c>
      <c r="L1287" s="95">
        <v>43752</v>
      </c>
      <c r="M1287" s="96">
        <v>0.27529999999999999</v>
      </c>
      <c r="N1287" s="95">
        <v>55216.15</v>
      </c>
      <c r="O1287" s="95">
        <v>580.77</v>
      </c>
      <c r="P1287" s="95">
        <v>55796.92</v>
      </c>
      <c r="Q1287" s="95">
        <v>55216.15</v>
      </c>
      <c r="R1287" s="95">
        <v>580.77</v>
      </c>
      <c r="S1287" s="95">
        <v>55796.92</v>
      </c>
      <c r="U1287" s="106" t="str">
        <f>_xlfn.XLOOKUP(I1287,'[1]MAPA DE COTAÇÕES'!$D$12:$D$1058,'[1]MAPA DE COTAÇÕES'!$A$12:$A$1058,"")</f>
        <v/>
      </c>
    </row>
    <row r="1288" spans="1:21" ht="15" x14ac:dyDescent="0.25">
      <c r="A1288" s="90" t="s">
        <v>3317</v>
      </c>
      <c r="B1288" s="90" t="s">
        <v>31</v>
      </c>
      <c r="C1288" s="98">
        <v>102617</v>
      </c>
      <c r="D1288" s="92" t="s">
        <v>3318</v>
      </c>
      <c r="E1288" s="90" t="s">
        <v>16</v>
      </c>
      <c r="F1288" s="99">
        <v>1</v>
      </c>
      <c r="G1288" s="94">
        <v>3566.68</v>
      </c>
      <c r="H1288" s="94">
        <v>168.76</v>
      </c>
      <c r="I1288" s="95">
        <v>3735.4399999999996</v>
      </c>
      <c r="J1288" s="95">
        <v>3566.68</v>
      </c>
      <c r="K1288" s="95">
        <v>168.76</v>
      </c>
      <c r="L1288" s="95">
        <v>3735.4399999999996</v>
      </c>
      <c r="M1288" s="96">
        <v>0.27529999999999999</v>
      </c>
      <c r="N1288" s="95">
        <v>4548.59</v>
      </c>
      <c r="O1288" s="95">
        <v>215.22</v>
      </c>
      <c r="P1288" s="95">
        <v>4763.8100000000004</v>
      </c>
      <c r="Q1288" s="95">
        <v>4548.59</v>
      </c>
      <c r="R1288" s="95">
        <v>215.22</v>
      </c>
      <c r="S1288" s="95">
        <v>4763.8100000000004</v>
      </c>
      <c r="U1288" s="106" t="str">
        <f>_xlfn.XLOOKUP(I1288,'[1]MAPA DE COTAÇÕES'!$D$12:$D$1058,'[1]MAPA DE COTAÇÕES'!$A$12:$A$1058,"")</f>
        <v/>
      </c>
    </row>
    <row r="1289" spans="1:21" ht="15" x14ac:dyDescent="0.25">
      <c r="A1289" s="90" t="s">
        <v>3319</v>
      </c>
      <c r="B1289" s="90" t="s">
        <v>3226</v>
      </c>
      <c r="C1289" s="98" t="s">
        <v>3320</v>
      </c>
      <c r="D1289" s="92" t="s">
        <v>3321</v>
      </c>
      <c r="E1289" s="90" t="s">
        <v>16</v>
      </c>
      <c r="F1289" s="99">
        <v>5</v>
      </c>
      <c r="G1289" s="94">
        <v>35060.038</v>
      </c>
      <c r="H1289" s="94">
        <v>0</v>
      </c>
      <c r="I1289" s="95">
        <v>35060.038</v>
      </c>
      <c r="J1289" s="95">
        <v>175300.19</v>
      </c>
      <c r="K1289" s="95">
        <v>0</v>
      </c>
      <c r="L1289" s="95">
        <v>175300.19</v>
      </c>
      <c r="M1289" s="96">
        <v>0.1837</v>
      </c>
      <c r="N1289" s="95">
        <v>41500.57</v>
      </c>
      <c r="O1289" s="95">
        <v>0</v>
      </c>
      <c r="P1289" s="95">
        <v>41500.57</v>
      </c>
      <c r="Q1289" s="95">
        <v>207502.85</v>
      </c>
      <c r="R1289" s="95">
        <v>0</v>
      </c>
      <c r="S1289" s="95">
        <v>207502.85</v>
      </c>
      <c r="U1289" s="106" t="str">
        <f>_xlfn.XLOOKUP(I1289,'[1]MAPA DE COTAÇÕES'!$D$12:$D$1058,'[1]MAPA DE COTAÇÕES'!$A$12:$A$1058,"")</f>
        <v>CLI_CE-MERCADO 029</v>
      </c>
    </row>
    <row r="1290" spans="1:21" ht="15" x14ac:dyDescent="0.25">
      <c r="A1290" s="90" t="s">
        <v>3322</v>
      </c>
      <c r="B1290" s="90" t="s">
        <v>3226</v>
      </c>
      <c r="C1290" s="98" t="s">
        <v>3323</v>
      </c>
      <c r="D1290" s="92" t="s">
        <v>3324</v>
      </c>
      <c r="E1290" s="90" t="s">
        <v>16</v>
      </c>
      <c r="F1290" s="99">
        <v>1</v>
      </c>
      <c r="G1290" s="94">
        <v>81438.864000000001</v>
      </c>
      <c r="H1290" s="94">
        <v>0</v>
      </c>
      <c r="I1290" s="95">
        <v>81438.864000000001</v>
      </c>
      <c r="J1290" s="95">
        <v>81438.86</v>
      </c>
      <c r="K1290" s="95">
        <v>0</v>
      </c>
      <c r="L1290" s="95">
        <v>81438.86</v>
      </c>
      <c r="M1290" s="96">
        <v>0.1837</v>
      </c>
      <c r="N1290" s="95">
        <v>96399.18</v>
      </c>
      <c r="O1290" s="95">
        <v>0</v>
      </c>
      <c r="P1290" s="95">
        <v>96399.18</v>
      </c>
      <c r="Q1290" s="95">
        <v>96399.18</v>
      </c>
      <c r="R1290" s="95">
        <v>0</v>
      </c>
      <c r="S1290" s="95">
        <v>96399.18</v>
      </c>
      <c r="U1290" s="106" t="str">
        <f>_xlfn.XLOOKUP(I1290,'[1]MAPA DE COTAÇÕES'!$D$12:$D$1058,'[1]MAPA DE COTAÇÕES'!$A$12:$A$1058,"")</f>
        <v>CLI_CE-MERCADO 031</v>
      </c>
    </row>
    <row r="1291" spans="1:21" ht="15" x14ac:dyDescent="0.25">
      <c r="A1291" s="90" t="s">
        <v>3325</v>
      </c>
      <c r="B1291" s="90" t="s">
        <v>3226</v>
      </c>
      <c r="C1291" s="98" t="s">
        <v>3326</v>
      </c>
      <c r="D1291" s="92" t="s">
        <v>3327</v>
      </c>
      <c r="E1291" s="90" t="s">
        <v>16</v>
      </c>
      <c r="F1291" s="99">
        <v>1</v>
      </c>
      <c r="G1291" s="94">
        <v>77325.887599999987</v>
      </c>
      <c r="H1291" s="94">
        <v>0</v>
      </c>
      <c r="I1291" s="95">
        <v>77325.887599999987</v>
      </c>
      <c r="J1291" s="95">
        <v>77325.89</v>
      </c>
      <c r="K1291" s="95">
        <v>0</v>
      </c>
      <c r="L1291" s="95">
        <v>77325.89</v>
      </c>
      <c r="M1291" s="96">
        <v>0.1837</v>
      </c>
      <c r="N1291" s="95">
        <v>91530.65</v>
      </c>
      <c r="O1291" s="95">
        <v>0</v>
      </c>
      <c r="P1291" s="95">
        <v>91530.65</v>
      </c>
      <c r="Q1291" s="95">
        <v>91530.65</v>
      </c>
      <c r="R1291" s="95">
        <v>0</v>
      </c>
      <c r="S1291" s="95">
        <v>91530.65</v>
      </c>
      <c r="U1291" s="106" t="str">
        <f>_xlfn.XLOOKUP(I1291,'[1]MAPA DE COTAÇÕES'!$D$12:$D$1058,'[1]MAPA DE COTAÇÕES'!$A$12:$A$1058,"")</f>
        <v>CLI_CE-MERCADO 030</v>
      </c>
    </row>
    <row r="1292" spans="1:21" ht="15" x14ac:dyDescent="0.25">
      <c r="A1292" s="90" t="s">
        <v>3328</v>
      </c>
      <c r="B1292" s="90" t="s">
        <v>3226</v>
      </c>
      <c r="C1292" s="98" t="s">
        <v>3329</v>
      </c>
      <c r="D1292" s="92" t="s">
        <v>3330</v>
      </c>
      <c r="E1292" s="90" t="s">
        <v>16</v>
      </c>
      <c r="F1292" s="99">
        <v>1</v>
      </c>
      <c r="G1292" s="94">
        <v>97216.303599999985</v>
      </c>
      <c r="H1292" s="94">
        <v>0</v>
      </c>
      <c r="I1292" s="95">
        <v>97216.303599999985</v>
      </c>
      <c r="J1292" s="95">
        <v>97216.3</v>
      </c>
      <c r="K1292" s="95">
        <v>0</v>
      </c>
      <c r="L1292" s="95">
        <v>97216.3</v>
      </c>
      <c r="M1292" s="96">
        <v>0.1837</v>
      </c>
      <c r="N1292" s="95">
        <v>115074.94</v>
      </c>
      <c r="O1292" s="95">
        <v>0</v>
      </c>
      <c r="P1292" s="95">
        <v>115074.94</v>
      </c>
      <c r="Q1292" s="95">
        <v>115074.94</v>
      </c>
      <c r="R1292" s="95">
        <v>0</v>
      </c>
      <c r="S1292" s="95">
        <v>115074.94</v>
      </c>
      <c r="U1292" s="106" t="str">
        <f>_xlfn.XLOOKUP(I1292,'[1]MAPA DE COTAÇÕES'!$D$12:$D$1058,'[1]MAPA DE COTAÇÕES'!$A$12:$A$1058,"")</f>
        <v>CLI_CE-MERCADO 033</v>
      </c>
    </row>
    <row r="1293" spans="1:21" ht="15" x14ac:dyDescent="0.25">
      <c r="A1293" s="90" t="s">
        <v>3331</v>
      </c>
      <c r="B1293" s="90" t="s">
        <v>3226</v>
      </c>
      <c r="C1293" s="98" t="s">
        <v>3332</v>
      </c>
      <c r="D1293" s="92" t="s">
        <v>3333</v>
      </c>
      <c r="E1293" s="90" t="s">
        <v>16</v>
      </c>
      <c r="F1293" s="99">
        <v>1</v>
      </c>
      <c r="G1293" s="94">
        <v>107114.2176</v>
      </c>
      <c r="H1293" s="94">
        <v>0</v>
      </c>
      <c r="I1293" s="95">
        <v>107114.2176</v>
      </c>
      <c r="J1293" s="95">
        <v>107114.22</v>
      </c>
      <c r="K1293" s="95">
        <v>0</v>
      </c>
      <c r="L1293" s="95">
        <v>107114.22</v>
      </c>
      <c r="M1293" s="96">
        <v>0.1837</v>
      </c>
      <c r="N1293" s="95">
        <v>126791.1</v>
      </c>
      <c r="O1293" s="95">
        <v>0</v>
      </c>
      <c r="P1293" s="95">
        <v>126791.1</v>
      </c>
      <c r="Q1293" s="95">
        <v>126791.1</v>
      </c>
      <c r="R1293" s="95">
        <v>0</v>
      </c>
      <c r="S1293" s="95">
        <v>126791.1</v>
      </c>
      <c r="U1293" s="106" t="str">
        <f>_xlfn.XLOOKUP(I1293,'[1]MAPA DE COTAÇÕES'!$D$12:$D$1058,'[1]MAPA DE COTAÇÕES'!$A$12:$A$1058,"")</f>
        <v>CLI_CE-MERCADO 032</v>
      </c>
    </row>
    <row r="1294" spans="1:21" ht="15" x14ac:dyDescent="0.25">
      <c r="A1294" s="90" t="s">
        <v>3334</v>
      </c>
      <c r="B1294" s="90" t="s">
        <v>3226</v>
      </c>
      <c r="C1294" s="98" t="s">
        <v>3335</v>
      </c>
      <c r="D1294" s="92" t="s">
        <v>3336</v>
      </c>
      <c r="E1294" s="90" t="s">
        <v>16</v>
      </c>
      <c r="F1294" s="99">
        <v>1</v>
      </c>
      <c r="G1294" s="94">
        <v>151166.14240000001</v>
      </c>
      <c r="H1294" s="94">
        <v>0</v>
      </c>
      <c r="I1294" s="95">
        <v>151166.14240000001</v>
      </c>
      <c r="J1294" s="95">
        <v>151166.14000000001</v>
      </c>
      <c r="K1294" s="95">
        <v>0</v>
      </c>
      <c r="L1294" s="95">
        <v>151166.14000000001</v>
      </c>
      <c r="M1294" s="96">
        <v>0.1837</v>
      </c>
      <c r="N1294" s="95">
        <v>178935.36</v>
      </c>
      <c r="O1294" s="95">
        <v>0</v>
      </c>
      <c r="P1294" s="95">
        <v>178935.36</v>
      </c>
      <c r="Q1294" s="95">
        <v>178935.36</v>
      </c>
      <c r="R1294" s="95">
        <v>0</v>
      </c>
      <c r="S1294" s="95">
        <v>178935.36</v>
      </c>
      <c r="U1294" s="106" t="str">
        <f>_xlfn.XLOOKUP(I1294,'[1]MAPA DE COTAÇÕES'!$D$12:$D$1058,'[1]MAPA DE COTAÇÕES'!$A$12:$A$1058,"")</f>
        <v>CLI_CE-MERCADO 034</v>
      </c>
    </row>
    <row r="1295" spans="1:21" ht="15" x14ac:dyDescent="0.25">
      <c r="A1295" s="90" t="s">
        <v>3337</v>
      </c>
      <c r="B1295" s="90" t="s">
        <v>3226</v>
      </c>
      <c r="C1295" s="98" t="s">
        <v>3338</v>
      </c>
      <c r="D1295" s="92" t="s">
        <v>3339</v>
      </c>
      <c r="E1295" s="90" t="s">
        <v>16</v>
      </c>
      <c r="F1295" s="99">
        <v>22</v>
      </c>
      <c r="G1295" s="94">
        <v>900.1096</v>
      </c>
      <c r="H1295" s="94">
        <v>0</v>
      </c>
      <c r="I1295" s="95">
        <v>900.1096</v>
      </c>
      <c r="J1295" s="95">
        <v>19802.41</v>
      </c>
      <c r="K1295" s="95">
        <v>0</v>
      </c>
      <c r="L1295" s="95">
        <v>19802.41</v>
      </c>
      <c r="M1295" s="96">
        <v>0.1837</v>
      </c>
      <c r="N1295" s="95">
        <v>1065.46</v>
      </c>
      <c r="O1295" s="95">
        <v>0</v>
      </c>
      <c r="P1295" s="95">
        <v>1065.46</v>
      </c>
      <c r="Q1295" s="95">
        <v>23440.12</v>
      </c>
      <c r="R1295" s="95">
        <v>0</v>
      </c>
      <c r="S1295" s="95">
        <v>23440.12</v>
      </c>
      <c r="U1295" s="106" t="str">
        <f>_xlfn.XLOOKUP(I1295,'[1]MAPA DE COTAÇÕES'!$D$12:$D$1058,'[1]MAPA DE COTAÇÕES'!$A$12:$A$1058,"")</f>
        <v/>
      </c>
    </row>
    <row r="1296" spans="1:21" ht="15" x14ac:dyDescent="0.25">
      <c r="A1296" s="90" t="s">
        <v>3340</v>
      </c>
      <c r="B1296" s="90" t="s">
        <v>3226</v>
      </c>
      <c r="C1296" s="98" t="s">
        <v>3341</v>
      </c>
      <c r="D1296" s="92" t="s">
        <v>3342</v>
      </c>
      <c r="E1296" s="90" t="s">
        <v>16</v>
      </c>
      <c r="F1296" s="99">
        <v>28</v>
      </c>
      <c r="G1296" s="94">
        <v>752.39840000000004</v>
      </c>
      <c r="H1296" s="94">
        <v>0</v>
      </c>
      <c r="I1296" s="95">
        <v>752.39840000000004</v>
      </c>
      <c r="J1296" s="95">
        <v>21067.16</v>
      </c>
      <c r="K1296" s="95">
        <v>0</v>
      </c>
      <c r="L1296" s="95">
        <v>21067.16</v>
      </c>
      <c r="M1296" s="96">
        <v>0.1837</v>
      </c>
      <c r="N1296" s="95">
        <v>890.61</v>
      </c>
      <c r="O1296" s="95">
        <v>0</v>
      </c>
      <c r="P1296" s="95">
        <v>890.61</v>
      </c>
      <c r="Q1296" s="95">
        <v>24937.08</v>
      </c>
      <c r="R1296" s="95">
        <v>0</v>
      </c>
      <c r="S1296" s="95">
        <v>24937.08</v>
      </c>
      <c r="U1296" s="106" t="str">
        <f>_xlfn.XLOOKUP(I1296,'[1]MAPA DE COTAÇÕES'!$D$12:$D$1058,'[1]MAPA DE COTAÇÕES'!$A$12:$A$1058,"")</f>
        <v>CLI_CE-MERCADO 036</v>
      </c>
    </row>
    <row r="1297" spans="1:21" ht="15" x14ac:dyDescent="0.25">
      <c r="A1297" s="90" t="s">
        <v>3343</v>
      </c>
      <c r="B1297" s="90" t="s">
        <v>3226</v>
      </c>
      <c r="C1297" s="98" t="s">
        <v>3344</v>
      </c>
      <c r="D1297" s="92" t="s">
        <v>3345</v>
      </c>
      <c r="E1297" s="90" t="s">
        <v>16</v>
      </c>
      <c r="F1297" s="99">
        <v>115</v>
      </c>
      <c r="G1297" s="94">
        <v>507</v>
      </c>
      <c r="H1297" s="94">
        <v>0</v>
      </c>
      <c r="I1297" s="95">
        <v>507</v>
      </c>
      <c r="J1297" s="95">
        <v>58305</v>
      </c>
      <c r="K1297" s="95">
        <v>0</v>
      </c>
      <c r="L1297" s="95">
        <v>58305</v>
      </c>
      <c r="M1297" s="96">
        <v>0.1837</v>
      </c>
      <c r="N1297" s="95">
        <v>600.14</v>
      </c>
      <c r="O1297" s="95">
        <v>0</v>
      </c>
      <c r="P1297" s="95">
        <v>600.14</v>
      </c>
      <c r="Q1297" s="95">
        <v>69016.100000000006</v>
      </c>
      <c r="R1297" s="95">
        <v>0</v>
      </c>
      <c r="S1297" s="95">
        <v>69016.100000000006</v>
      </c>
      <c r="U1297" s="106" t="str">
        <f>_xlfn.XLOOKUP(I1297,'[1]MAPA DE COTAÇÕES'!$D$12:$D$1058,'[1]MAPA DE COTAÇÕES'!$A$12:$A$1058,"")</f>
        <v>CLI_CE-MERCADO 037</v>
      </c>
    </row>
    <row r="1298" spans="1:21" ht="15" x14ac:dyDescent="0.25">
      <c r="A1298" s="90" t="s">
        <v>3346</v>
      </c>
      <c r="B1298" s="90" t="s">
        <v>3226</v>
      </c>
      <c r="C1298" s="98" t="s">
        <v>3347</v>
      </c>
      <c r="D1298" s="92" t="s">
        <v>3348</v>
      </c>
      <c r="E1298" s="90" t="s">
        <v>16</v>
      </c>
      <c r="F1298" s="99">
        <v>19</v>
      </c>
      <c r="G1298" s="94">
        <v>1117.4695999999999</v>
      </c>
      <c r="H1298" s="94">
        <v>0</v>
      </c>
      <c r="I1298" s="95">
        <v>1117.4695999999999</v>
      </c>
      <c r="J1298" s="95">
        <v>21231.919999999998</v>
      </c>
      <c r="K1298" s="95">
        <v>0</v>
      </c>
      <c r="L1298" s="95">
        <v>21231.919999999998</v>
      </c>
      <c r="M1298" s="96">
        <v>0.1837</v>
      </c>
      <c r="N1298" s="95">
        <v>1322.75</v>
      </c>
      <c r="O1298" s="95">
        <v>0</v>
      </c>
      <c r="P1298" s="95">
        <v>1322.75</v>
      </c>
      <c r="Q1298" s="95">
        <v>25132.25</v>
      </c>
      <c r="R1298" s="95">
        <v>0</v>
      </c>
      <c r="S1298" s="95">
        <v>25132.25</v>
      </c>
      <c r="U1298" s="106" t="str">
        <f>_xlfn.XLOOKUP(I1298,'[1]MAPA DE COTAÇÕES'!$D$12:$D$1058,'[1]MAPA DE COTAÇÕES'!$A$12:$A$1058,"")</f>
        <v>CLI_CE-MERCADO 038</v>
      </c>
    </row>
    <row r="1299" spans="1:21" ht="15" x14ac:dyDescent="0.25">
      <c r="A1299" s="90" t="s">
        <v>3349</v>
      </c>
      <c r="B1299" s="90" t="s">
        <v>3290</v>
      </c>
      <c r="C1299" s="98" t="s">
        <v>3350</v>
      </c>
      <c r="D1299" s="92" t="s">
        <v>3351</v>
      </c>
      <c r="E1299" s="90" t="s">
        <v>16</v>
      </c>
      <c r="F1299" s="99">
        <v>8</v>
      </c>
      <c r="G1299" s="94">
        <v>556.46</v>
      </c>
      <c r="H1299" s="94">
        <v>647.70000000000005</v>
      </c>
      <c r="I1299" s="95">
        <v>1204.1600000000001</v>
      </c>
      <c r="J1299" s="95">
        <v>4451.68</v>
      </c>
      <c r="K1299" s="95">
        <v>5181.6000000000004</v>
      </c>
      <c r="L1299" s="95">
        <v>9633.2800000000007</v>
      </c>
      <c r="M1299" s="96">
        <v>0.27529999999999999</v>
      </c>
      <c r="N1299" s="95">
        <v>709.65</v>
      </c>
      <c r="O1299" s="95">
        <v>826.01</v>
      </c>
      <c r="P1299" s="95">
        <v>1535.6599999999999</v>
      </c>
      <c r="Q1299" s="95">
        <v>5677.2</v>
      </c>
      <c r="R1299" s="95">
        <v>6608.08</v>
      </c>
      <c r="S1299" s="95">
        <v>12285.279999999999</v>
      </c>
      <c r="U1299" s="106" t="str">
        <f>_xlfn.XLOOKUP(I1299,'[1]MAPA DE COTAÇÕES'!$D$12:$D$1058,'[1]MAPA DE COTAÇÕES'!$A$12:$A$1058,"")</f>
        <v/>
      </c>
    </row>
    <row r="1300" spans="1:21" ht="15" x14ac:dyDescent="0.25">
      <c r="A1300" s="90" t="s">
        <v>3352</v>
      </c>
      <c r="B1300" s="90" t="s">
        <v>3290</v>
      </c>
      <c r="C1300" s="98" t="s">
        <v>3353</v>
      </c>
      <c r="D1300" s="92" t="s">
        <v>3354</v>
      </c>
      <c r="E1300" s="90" t="s">
        <v>16</v>
      </c>
      <c r="F1300" s="99">
        <v>4</v>
      </c>
      <c r="G1300" s="94">
        <v>1350.04</v>
      </c>
      <c r="H1300" s="94">
        <v>647.70000000000005</v>
      </c>
      <c r="I1300" s="95">
        <v>1997.74</v>
      </c>
      <c r="J1300" s="95">
        <v>5400.16</v>
      </c>
      <c r="K1300" s="95">
        <v>2590.8000000000002</v>
      </c>
      <c r="L1300" s="95">
        <v>7990.96</v>
      </c>
      <c r="M1300" s="96">
        <v>0.27529999999999999</v>
      </c>
      <c r="N1300" s="95">
        <v>1721.71</v>
      </c>
      <c r="O1300" s="95">
        <v>826.01</v>
      </c>
      <c r="P1300" s="95">
        <v>2547.7200000000003</v>
      </c>
      <c r="Q1300" s="95">
        <v>6886.84</v>
      </c>
      <c r="R1300" s="95">
        <v>3304.04</v>
      </c>
      <c r="S1300" s="95">
        <v>10190.880000000001</v>
      </c>
      <c r="U1300" s="106" t="str">
        <f>_xlfn.XLOOKUP(I1300,'[1]MAPA DE COTAÇÕES'!$D$12:$D$1058,'[1]MAPA DE COTAÇÕES'!$A$12:$A$1058,"")</f>
        <v/>
      </c>
    </row>
    <row r="1301" spans="1:21" ht="25.5" x14ac:dyDescent="0.25">
      <c r="A1301" s="90" t="s">
        <v>3355</v>
      </c>
      <c r="B1301" s="90" t="s">
        <v>3290</v>
      </c>
      <c r="C1301" s="98" t="s">
        <v>3356</v>
      </c>
      <c r="D1301" s="92" t="s">
        <v>3357</v>
      </c>
      <c r="E1301" s="90" t="s">
        <v>16</v>
      </c>
      <c r="F1301" s="99">
        <v>1</v>
      </c>
      <c r="G1301" s="94">
        <v>32159.55</v>
      </c>
      <c r="H1301" s="94">
        <v>739.35</v>
      </c>
      <c r="I1301" s="95">
        <v>32898.9</v>
      </c>
      <c r="J1301" s="95">
        <v>32159.55</v>
      </c>
      <c r="K1301" s="95">
        <v>739.35</v>
      </c>
      <c r="L1301" s="95">
        <v>32898.9</v>
      </c>
      <c r="M1301" s="96">
        <v>0.27529999999999999</v>
      </c>
      <c r="N1301" s="95">
        <v>41013.07</v>
      </c>
      <c r="O1301" s="95">
        <v>942.89</v>
      </c>
      <c r="P1301" s="95">
        <v>41955.96</v>
      </c>
      <c r="Q1301" s="95">
        <v>41013.07</v>
      </c>
      <c r="R1301" s="95">
        <v>942.89</v>
      </c>
      <c r="S1301" s="95">
        <v>41955.96</v>
      </c>
      <c r="U1301" s="106" t="str">
        <f>_xlfn.XLOOKUP(I1301,'[1]MAPA DE COTAÇÕES'!$D$12:$D$1058,'[1]MAPA DE COTAÇÕES'!$A$12:$A$1058,"")</f>
        <v/>
      </c>
    </row>
    <row r="1302" spans="1:21" ht="25.5" x14ac:dyDescent="0.25">
      <c r="A1302" s="90" t="s">
        <v>3358</v>
      </c>
      <c r="B1302" s="90" t="s">
        <v>3290</v>
      </c>
      <c r="C1302" s="98" t="s">
        <v>3359</v>
      </c>
      <c r="D1302" s="92" t="s">
        <v>3360</v>
      </c>
      <c r="E1302" s="90" t="s">
        <v>16</v>
      </c>
      <c r="F1302" s="99">
        <v>1</v>
      </c>
      <c r="G1302" s="94">
        <v>30921.95</v>
      </c>
      <c r="H1302" s="94">
        <v>739.35</v>
      </c>
      <c r="I1302" s="95">
        <v>31661.3</v>
      </c>
      <c r="J1302" s="95">
        <v>30921.95</v>
      </c>
      <c r="K1302" s="95">
        <v>739.35</v>
      </c>
      <c r="L1302" s="95">
        <v>31661.3</v>
      </c>
      <c r="M1302" s="96">
        <v>0.27529999999999999</v>
      </c>
      <c r="N1302" s="95">
        <v>39434.76</v>
      </c>
      <c r="O1302" s="95">
        <v>942.89</v>
      </c>
      <c r="P1302" s="95">
        <v>40377.65</v>
      </c>
      <c r="Q1302" s="95">
        <v>39434.76</v>
      </c>
      <c r="R1302" s="95">
        <v>942.89</v>
      </c>
      <c r="S1302" s="95">
        <v>40377.65</v>
      </c>
      <c r="U1302" s="106" t="str">
        <f>_xlfn.XLOOKUP(I1302,'[1]MAPA DE COTAÇÕES'!$D$12:$D$1058,'[1]MAPA DE COTAÇÕES'!$A$12:$A$1058,"")</f>
        <v/>
      </c>
    </row>
    <row r="1303" spans="1:21" ht="25.5" x14ac:dyDescent="0.25">
      <c r="A1303" s="90" t="s">
        <v>3361</v>
      </c>
      <c r="B1303" s="90" t="s">
        <v>3290</v>
      </c>
      <c r="C1303" s="98" t="s">
        <v>3362</v>
      </c>
      <c r="D1303" s="92" t="s">
        <v>3363</v>
      </c>
      <c r="E1303" s="90" t="s">
        <v>16</v>
      </c>
      <c r="F1303" s="99">
        <v>2</v>
      </c>
      <c r="G1303" s="94">
        <v>15890.83</v>
      </c>
      <c r="H1303" s="94">
        <v>739.35</v>
      </c>
      <c r="I1303" s="95">
        <v>16630.18</v>
      </c>
      <c r="J1303" s="95">
        <v>31781.66</v>
      </c>
      <c r="K1303" s="95">
        <v>1478.7</v>
      </c>
      <c r="L1303" s="95">
        <v>33260.36</v>
      </c>
      <c r="M1303" s="96">
        <v>0.27529999999999999</v>
      </c>
      <c r="N1303" s="95">
        <v>20265.580000000002</v>
      </c>
      <c r="O1303" s="95">
        <v>942.89</v>
      </c>
      <c r="P1303" s="95">
        <v>21208.47</v>
      </c>
      <c r="Q1303" s="95">
        <v>40531.160000000003</v>
      </c>
      <c r="R1303" s="95">
        <v>1885.78</v>
      </c>
      <c r="S1303" s="95">
        <v>42416.94</v>
      </c>
      <c r="U1303" s="106" t="str">
        <f>_xlfn.XLOOKUP(I1303,'[1]MAPA DE COTAÇÕES'!$D$12:$D$1058,'[1]MAPA DE COTAÇÕES'!$A$12:$A$1058,"")</f>
        <v/>
      </c>
    </row>
    <row r="1304" spans="1:21" ht="25.5" x14ac:dyDescent="0.25">
      <c r="A1304" s="90" t="s">
        <v>3364</v>
      </c>
      <c r="B1304" s="90" t="s">
        <v>3290</v>
      </c>
      <c r="C1304" s="98" t="s">
        <v>3365</v>
      </c>
      <c r="D1304" s="92" t="s">
        <v>3366</v>
      </c>
      <c r="E1304" s="90" t="s">
        <v>16</v>
      </c>
      <c r="F1304" s="99">
        <v>1</v>
      </c>
      <c r="G1304" s="94">
        <v>19000.66</v>
      </c>
      <c r="H1304" s="94">
        <v>739.35</v>
      </c>
      <c r="I1304" s="95">
        <v>19740.009999999998</v>
      </c>
      <c r="J1304" s="95">
        <v>19000.66</v>
      </c>
      <c r="K1304" s="95">
        <v>739.35</v>
      </c>
      <c r="L1304" s="95">
        <v>19740.009999999998</v>
      </c>
      <c r="M1304" s="96">
        <v>0.27529999999999999</v>
      </c>
      <c r="N1304" s="95">
        <v>24231.54</v>
      </c>
      <c r="O1304" s="95">
        <v>942.89</v>
      </c>
      <c r="P1304" s="95">
        <v>25174.43</v>
      </c>
      <c r="Q1304" s="95">
        <v>24231.54</v>
      </c>
      <c r="R1304" s="95">
        <v>942.89</v>
      </c>
      <c r="S1304" s="95">
        <v>25174.43</v>
      </c>
      <c r="U1304" s="106" t="str">
        <f>_xlfn.XLOOKUP(I1304,'[1]MAPA DE COTAÇÕES'!$D$12:$D$1058,'[1]MAPA DE COTAÇÕES'!$A$12:$A$1058,"")</f>
        <v/>
      </c>
    </row>
    <row r="1305" spans="1:21" ht="25.5" x14ac:dyDescent="0.25">
      <c r="A1305" s="90" t="s">
        <v>3367</v>
      </c>
      <c r="B1305" s="90" t="s">
        <v>3290</v>
      </c>
      <c r="C1305" s="98" t="s">
        <v>3368</v>
      </c>
      <c r="D1305" s="92" t="s">
        <v>3369</v>
      </c>
      <c r="E1305" s="90" t="s">
        <v>16</v>
      </c>
      <c r="F1305" s="99">
        <v>1</v>
      </c>
      <c r="G1305" s="94">
        <v>26044.35</v>
      </c>
      <c r="H1305" s="94">
        <v>739.35</v>
      </c>
      <c r="I1305" s="95">
        <v>26783.699999999997</v>
      </c>
      <c r="J1305" s="95">
        <v>26044.35</v>
      </c>
      <c r="K1305" s="95">
        <v>739.35</v>
      </c>
      <c r="L1305" s="95">
        <v>26783.699999999997</v>
      </c>
      <c r="M1305" s="96">
        <v>0.27529999999999999</v>
      </c>
      <c r="N1305" s="95">
        <v>33214.36</v>
      </c>
      <c r="O1305" s="95">
        <v>942.89</v>
      </c>
      <c r="P1305" s="95">
        <v>34157.25</v>
      </c>
      <c r="Q1305" s="95">
        <v>33214.36</v>
      </c>
      <c r="R1305" s="95">
        <v>942.89</v>
      </c>
      <c r="S1305" s="95">
        <v>34157.25</v>
      </c>
      <c r="U1305" s="106" t="str">
        <f>_xlfn.XLOOKUP(I1305,'[1]MAPA DE COTAÇÕES'!$D$12:$D$1058,'[1]MAPA DE COTAÇÕES'!$A$12:$A$1058,"")</f>
        <v/>
      </c>
    </row>
    <row r="1306" spans="1:21" ht="15" x14ac:dyDescent="0.25">
      <c r="A1306" s="90" t="s">
        <v>3370</v>
      </c>
      <c r="B1306" s="90" t="s">
        <v>31</v>
      </c>
      <c r="C1306" s="98">
        <v>103244</v>
      </c>
      <c r="D1306" s="92" t="s">
        <v>3371</v>
      </c>
      <c r="E1306" s="90" t="s">
        <v>16</v>
      </c>
      <c r="F1306" s="99">
        <v>2</v>
      </c>
      <c r="G1306" s="94">
        <v>2351.1999999999998</v>
      </c>
      <c r="H1306" s="94">
        <v>100.75</v>
      </c>
      <c r="I1306" s="95">
        <v>2451.9499999999998</v>
      </c>
      <c r="J1306" s="95">
        <v>4702.3999999999996</v>
      </c>
      <c r="K1306" s="95">
        <v>201.5</v>
      </c>
      <c r="L1306" s="95">
        <v>4903.8999999999996</v>
      </c>
      <c r="M1306" s="96">
        <v>0.27529999999999999</v>
      </c>
      <c r="N1306" s="95">
        <v>2998.49</v>
      </c>
      <c r="O1306" s="95">
        <v>128.49</v>
      </c>
      <c r="P1306" s="95">
        <v>3126.9799999999996</v>
      </c>
      <c r="Q1306" s="95">
        <v>5996.98</v>
      </c>
      <c r="R1306" s="95">
        <v>256.98</v>
      </c>
      <c r="S1306" s="95">
        <v>6253.9599999999991</v>
      </c>
      <c r="U1306" s="106" t="str">
        <f>_xlfn.XLOOKUP(I1306,'[1]MAPA DE COTAÇÕES'!$D$12:$D$1058,'[1]MAPA DE COTAÇÕES'!$A$12:$A$1058,"")</f>
        <v/>
      </c>
    </row>
    <row r="1307" spans="1:21" ht="15" x14ac:dyDescent="0.25">
      <c r="A1307" s="90" t="s">
        <v>3372</v>
      </c>
      <c r="B1307" s="90" t="s">
        <v>31</v>
      </c>
      <c r="C1307" s="98">
        <v>103253</v>
      </c>
      <c r="D1307" s="92" t="s">
        <v>3373</v>
      </c>
      <c r="E1307" s="90" t="s">
        <v>16</v>
      </c>
      <c r="F1307" s="99">
        <v>3</v>
      </c>
      <c r="G1307" s="94">
        <v>5273.11</v>
      </c>
      <c r="H1307" s="94">
        <v>113.71</v>
      </c>
      <c r="I1307" s="95">
        <v>5386.82</v>
      </c>
      <c r="J1307" s="95">
        <v>15819.33</v>
      </c>
      <c r="K1307" s="95">
        <v>341.13</v>
      </c>
      <c r="L1307" s="95">
        <v>16160.46</v>
      </c>
      <c r="M1307" s="96">
        <v>0.27529999999999999</v>
      </c>
      <c r="N1307" s="95">
        <v>6724.8</v>
      </c>
      <c r="O1307" s="95">
        <v>145.01</v>
      </c>
      <c r="P1307" s="95">
        <v>6869.81</v>
      </c>
      <c r="Q1307" s="95">
        <v>20174.400000000001</v>
      </c>
      <c r="R1307" s="95">
        <v>435.03</v>
      </c>
      <c r="S1307" s="95">
        <v>20609.43</v>
      </c>
      <c r="U1307" s="106" t="str">
        <f>_xlfn.XLOOKUP(I1307,'[1]MAPA DE COTAÇÕES'!$D$12:$D$1058,'[1]MAPA DE COTAÇÕES'!$A$12:$A$1058,"")</f>
        <v/>
      </c>
    </row>
    <row r="1308" spans="1:21" ht="15" x14ac:dyDescent="0.25">
      <c r="A1308" s="90" t="s">
        <v>3374</v>
      </c>
      <c r="B1308" s="90"/>
      <c r="C1308" s="98"/>
      <c r="D1308" s="92" t="s">
        <v>3375</v>
      </c>
      <c r="E1308" s="90"/>
      <c r="F1308" s="99"/>
      <c r="G1308" s="94"/>
      <c r="H1308" s="94"/>
      <c r="I1308" s="95"/>
      <c r="J1308" s="95"/>
      <c r="K1308" s="95"/>
      <c r="L1308" s="95"/>
      <c r="M1308" s="96"/>
      <c r="N1308" s="95"/>
      <c r="O1308" s="95"/>
      <c r="P1308" s="95"/>
      <c r="Q1308" s="95"/>
      <c r="R1308" s="95"/>
      <c r="S1308" s="95"/>
      <c r="U1308" s="106">
        <f>_xlfn.XLOOKUP(I1308,'[1]MAPA DE COTAÇÕES'!$D$12:$D$1058,'[1]MAPA DE COTAÇÕES'!$A$12:$A$1058,"")</f>
        <v>0</v>
      </c>
    </row>
    <row r="1309" spans="1:21" ht="15" customHeight="1" x14ac:dyDescent="0.25">
      <c r="A1309" s="90" t="s">
        <v>3376</v>
      </c>
      <c r="B1309" s="90" t="s">
        <v>3226</v>
      </c>
      <c r="C1309" s="98" t="s">
        <v>3377</v>
      </c>
      <c r="D1309" s="92" t="s">
        <v>3378</v>
      </c>
      <c r="E1309" s="90" t="s">
        <v>16</v>
      </c>
      <c r="F1309" s="99">
        <v>1</v>
      </c>
      <c r="G1309" s="94">
        <v>5595.2</v>
      </c>
      <c r="H1309" s="94">
        <v>0</v>
      </c>
      <c r="I1309" s="95">
        <v>5595.2</v>
      </c>
      <c r="J1309" s="95">
        <v>5595.2</v>
      </c>
      <c r="K1309" s="95">
        <v>0</v>
      </c>
      <c r="L1309" s="95">
        <v>5595.2</v>
      </c>
      <c r="M1309" s="96">
        <v>0.1837</v>
      </c>
      <c r="N1309" s="95">
        <v>6623.04</v>
      </c>
      <c r="O1309" s="95">
        <v>0</v>
      </c>
      <c r="P1309" s="95">
        <v>6623.04</v>
      </c>
      <c r="Q1309" s="95">
        <v>6623.04</v>
      </c>
      <c r="R1309" s="95">
        <v>0</v>
      </c>
      <c r="S1309" s="95">
        <v>6623.04</v>
      </c>
      <c r="U1309" s="106" t="str">
        <f>_xlfn.XLOOKUP(I1309,'[1]MAPA DE COTAÇÕES'!$D$12:$D$1058,'[1]MAPA DE COTAÇÕES'!$A$12:$A$1058,"")</f>
        <v>CLI_CE-MERCADO 039</v>
      </c>
    </row>
    <row r="1310" spans="1:21" ht="15" customHeight="1" x14ac:dyDescent="0.25">
      <c r="A1310" s="90" t="s">
        <v>3379</v>
      </c>
      <c r="B1310" s="90" t="s">
        <v>3226</v>
      </c>
      <c r="C1310" s="98" t="s">
        <v>3380</v>
      </c>
      <c r="D1310" s="92" t="s">
        <v>3381</v>
      </c>
      <c r="E1310" s="90" t="s">
        <v>16</v>
      </c>
      <c r="F1310" s="99">
        <v>6</v>
      </c>
      <c r="G1310" s="94">
        <v>8280.48</v>
      </c>
      <c r="H1310" s="94">
        <v>0</v>
      </c>
      <c r="I1310" s="95">
        <v>8280.48</v>
      </c>
      <c r="J1310" s="95">
        <v>49682.879999999997</v>
      </c>
      <c r="K1310" s="95">
        <v>0</v>
      </c>
      <c r="L1310" s="95">
        <v>49682.879999999997</v>
      </c>
      <c r="M1310" s="96">
        <v>0.1837</v>
      </c>
      <c r="N1310" s="95">
        <v>9801.6</v>
      </c>
      <c r="O1310" s="95">
        <v>0</v>
      </c>
      <c r="P1310" s="95">
        <v>9801.6</v>
      </c>
      <c r="Q1310" s="95">
        <v>58809.599999999999</v>
      </c>
      <c r="R1310" s="95">
        <v>0</v>
      </c>
      <c r="S1310" s="95">
        <v>58809.599999999999</v>
      </c>
      <c r="U1310" s="106" t="str">
        <f>_xlfn.XLOOKUP(I1310,'[1]MAPA DE COTAÇÕES'!$D$12:$D$1058,'[1]MAPA DE COTAÇÕES'!$A$12:$A$1058,"")</f>
        <v>CLI_CE-MERCADO 040</v>
      </c>
    </row>
    <row r="1311" spans="1:21" ht="15" customHeight="1" x14ac:dyDescent="0.25">
      <c r="A1311" s="90" t="s">
        <v>3382</v>
      </c>
      <c r="B1311" s="90" t="s">
        <v>3226</v>
      </c>
      <c r="C1311" s="98" t="s">
        <v>3383</v>
      </c>
      <c r="D1311" s="92" t="s">
        <v>3384</v>
      </c>
      <c r="E1311" s="90" t="s">
        <v>16</v>
      </c>
      <c r="F1311" s="99">
        <v>1</v>
      </c>
      <c r="G1311" s="94">
        <v>7124</v>
      </c>
      <c r="H1311" s="94">
        <v>0</v>
      </c>
      <c r="I1311" s="95">
        <v>7124</v>
      </c>
      <c r="J1311" s="95">
        <v>7124</v>
      </c>
      <c r="K1311" s="95">
        <v>0</v>
      </c>
      <c r="L1311" s="95">
        <v>7124</v>
      </c>
      <c r="M1311" s="96">
        <v>0.1837</v>
      </c>
      <c r="N1311" s="95">
        <v>8432.68</v>
      </c>
      <c r="O1311" s="95">
        <v>0</v>
      </c>
      <c r="P1311" s="95">
        <v>8432.68</v>
      </c>
      <c r="Q1311" s="95">
        <v>8432.68</v>
      </c>
      <c r="R1311" s="95">
        <v>0</v>
      </c>
      <c r="S1311" s="95">
        <v>8432.68</v>
      </c>
      <c r="U1311" s="106" t="str">
        <f>_xlfn.XLOOKUP(I1311,'[1]MAPA DE COTAÇÕES'!$D$12:$D$1058,'[1]MAPA DE COTAÇÕES'!$A$12:$A$1058,"")</f>
        <v>CLI_CE-MERCADO 041</v>
      </c>
    </row>
    <row r="1312" spans="1:21" ht="15" customHeight="1" x14ac:dyDescent="0.25">
      <c r="A1312" s="90" t="s">
        <v>3385</v>
      </c>
      <c r="B1312" s="90" t="s">
        <v>3226</v>
      </c>
      <c r="C1312" s="98" t="s">
        <v>3386</v>
      </c>
      <c r="D1312" s="92" t="s">
        <v>3387</v>
      </c>
      <c r="E1312" s="90" t="s">
        <v>16</v>
      </c>
      <c r="F1312" s="99">
        <v>1</v>
      </c>
      <c r="G1312" s="94">
        <v>9557.6</v>
      </c>
      <c r="H1312" s="94">
        <v>0</v>
      </c>
      <c r="I1312" s="95">
        <v>9557.6</v>
      </c>
      <c r="J1312" s="95">
        <v>9557.6</v>
      </c>
      <c r="K1312" s="95">
        <v>0</v>
      </c>
      <c r="L1312" s="95">
        <v>9557.6</v>
      </c>
      <c r="M1312" s="96">
        <v>0.1837</v>
      </c>
      <c r="N1312" s="95">
        <v>11313.33</v>
      </c>
      <c r="O1312" s="95">
        <v>0</v>
      </c>
      <c r="P1312" s="95">
        <v>11313.33</v>
      </c>
      <c r="Q1312" s="95">
        <v>11313.33</v>
      </c>
      <c r="R1312" s="95">
        <v>0</v>
      </c>
      <c r="S1312" s="95">
        <v>11313.33</v>
      </c>
      <c r="U1312" s="106" t="str">
        <f>_xlfn.XLOOKUP(I1312,'[1]MAPA DE COTAÇÕES'!$D$12:$D$1058,'[1]MAPA DE COTAÇÕES'!$A$12:$A$1058,"")</f>
        <v>CLI_CE-MERCADO 042</v>
      </c>
    </row>
    <row r="1313" spans="1:21" ht="25.5" x14ac:dyDescent="0.25">
      <c r="A1313" s="90" t="s">
        <v>3388</v>
      </c>
      <c r="B1313" s="90" t="s">
        <v>3226</v>
      </c>
      <c r="C1313" s="98" t="s">
        <v>3389</v>
      </c>
      <c r="D1313" s="92" t="s">
        <v>3390</v>
      </c>
      <c r="E1313" s="90" t="s">
        <v>16</v>
      </c>
      <c r="F1313" s="99">
        <v>1</v>
      </c>
      <c r="G1313" s="94">
        <v>9831.4216000000015</v>
      </c>
      <c r="H1313" s="94">
        <v>0</v>
      </c>
      <c r="I1313" s="95">
        <v>9831.4216000000015</v>
      </c>
      <c r="J1313" s="95">
        <v>9831.42</v>
      </c>
      <c r="K1313" s="95">
        <v>0</v>
      </c>
      <c r="L1313" s="95">
        <v>9831.42</v>
      </c>
      <c r="M1313" s="96">
        <v>0.1837</v>
      </c>
      <c r="N1313" s="95">
        <v>11637.45</v>
      </c>
      <c r="O1313" s="95">
        <v>0</v>
      </c>
      <c r="P1313" s="95">
        <v>11637.45</v>
      </c>
      <c r="Q1313" s="95">
        <v>11637.45</v>
      </c>
      <c r="R1313" s="95">
        <v>0</v>
      </c>
      <c r="S1313" s="95">
        <v>11637.45</v>
      </c>
      <c r="U1313" s="106" t="str">
        <f>_xlfn.XLOOKUP(I1313,'[1]MAPA DE COTAÇÕES'!$D$12:$D$1058,'[1]MAPA DE COTAÇÕES'!$A$12:$A$1058,"")</f>
        <v>CLI_CE-MERCADO 043</v>
      </c>
    </row>
    <row r="1314" spans="1:21" ht="25.5" x14ac:dyDescent="0.25">
      <c r="A1314" s="90" t="s">
        <v>3391</v>
      </c>
      <c r="B1314" s="90" t="s">
        <v>3226</v>
      </c>
      <c r="C1314" s="98" t="s">
        <v>3392</v>
      </c>
      <c r="D1314" s="92" t="s">
        <v>3393</v>
      </c>
      <c r="E1314" s="90" t="s">
        <v>16</v>
      </c>
      <c r="F1314" s="99">
        <v>1</v>
      </c>
      <c r="G1314" s="94">
        <v>14166.204000000002</v>
      </c>
      <c r="H1314" s="94">
        <v>0</v>
      </c>
      <c r="I1314" s="95">
        <v>14166.204000000002</v>
      </c>
      <c r="J1314" s="95">
        <v>14166.2</v>
      </c>
      <c r="K1314" s="95">
        <v>0</v>
      </c>
      <c r="L1314" s="95">
        <v>14166.2</v>
      </c>
      <c r="M1314" s="96">
        <v>0.1837</v>
      </c>
      <c r="N1314" s="95">
        <v>16768.54</v>
      </c>
      <c r="O1314" s="95">
        <v>0</v>
      </c>
      <c r="P1314" s="95">
        <v>16768.54</v>
      </c>
      <c r="Q1314" s="95">
        <v>16768.54</v>
      </c>
      <c r="R1314" s="95">
        <v>0</v>
      </c>
      <c r="S1314" s="95">
        <v>16768.54</v>
      </c>
      <c r="U1314" s="106" t="str">
        <f>_xlfn.XLOOKUP(I1314,'[1]MAPA DE COTAÇÕES'!$D$12:$D$1058,'[1]MAPA DE COTAÇÕES'!$A$12:$A$1058,"")</f>
        <v/>
      </c>
    </row>
    <row r="1315" spans="1:21" ht="25.5" x14ac:dyDescent="0.25">
      <c r="A1315" s="90" t="s">
        <v>3394</v>
      </c>
      <c r="B1315" s="90" t="s">
        <v>3226</v>
      </c>
      <c r="C1315" s="98" t="s">
        <v>3395</v>
      </c>
      <c r="D1315" s="92" t="s">
        <v>3396</v>
      </c>
      <c r="E1315" s="90" t="s">
        <v>16</v>
      </c>
      <c r="F1315" s="99">
        <v>1</v>
      </c>
      <c r="G1315" s="94">
        <v>11229.92</v>
      </c>
      <c r="H1315" s="94">
        <v>0</v>
      </c>
      <c r="I1315" s="95">
        <v>11229.92</v>
      </c>
      <c r="J1315" s="95">
        <v>11229.92</v>
      </c>
      <c r="K1315" s="95">
        <v>0</v>
      </c>
      <c r="L1315" s="95">
        <v>11229.92</v>
      </c>
      <c r="M1315" s="96">
        <v>0.1837</v>
      </c>
      <c r="N1315" s="95">
        <v>13292.86</v>
      </c>
      <c r="O1315" s="95">
        <v>0</v>
      </c>
      <c r="P1315" s="95">
        <v>13292.86</v>
      </c>
      <c r="Q1315" s="95">
        <v>13292.86</v>
      </c>
      <c r="R1315" s="95">
        <v>0</v>
      </c>
      <c r="S1315" s="95">
        <v>13292.86</v>
      </c>
      <c r="U1315" s="106" t="str">
        <f>_xlfn.XLOOKUP(I1315,'[1]MAPA DE COTAÇÕES'!$D$12:$D$1058,'[1]MAPA DE COTAÇÕES'!$A$12:$A$1058,"")</f>
        <v/>
      </c>
    </row>
    <row r="1316" spans="1:21" ht="25.5" x14ac:dyDescent="0.25">
      <c r="A1316" s="90" t="s">
        <v>3397</v>
      </c>
      <c r="B1316" s="90" t="s">
        <v>3226</v>
      </c>
      <c r="C1316" s="98" t="s">
        <v>3398</v>
      </c>
      <c r="D1316" s="92" t="s">
        <v>3399</v>
      </c>
      <c r="E1316" s="90" t="s">
        <v>16</v>
      </c>
      <c r="F1316" s="99">
        <v>1</v>
      </c>
      <c r="G1316" s="94">
        <v>14031.004000000001</v>
      </c>
      <c r="H1316" s="94">
        <v>0</v>
      </c>
      <c r="I1316" s="95">
        <v>14031.004000000001</v>
      </c>
      <c r="J1316" s="95">
        <v>14031</v>
      </c>
      <c r="K1316" s="95">
        <v>0</v>
      </c>
      <c r="L1316" s="95">
        <v>14031</v>
      </c>
      <c r="M1316" s="96">
        <v>0.1837</v>
      </c>
      <c r="N1316" s="95">
        <v>16608.5</v>
      </c>
      <c r="O1316" s="95">
        <v>0</v>
      </c>
      <c r="P1316" s="95">
        <v>16608.5</v>
      </c>
      <c r="Q1316" s="95">
        <v>16608.5</v>
      </c>
      <c r="R1316" s="95">
        <v>0</v>
      </c>
      <c r="S1316" s="95">
        <v>16608.5</v>
      </c>
      <c r="U1316" s="106" t="str">
        <f>_xlfn.XLOOKUP(I1316,'[1]MAPA DE COTAÇÕES'!$D$12:$D$1058,'[1]MAPA DE COTAÇÕES'!$A$12:$A$1058,"")</f>
        <v/>
      </c>
    </row>
    <row r="1317" spans="1:21" ht="25.5" x14ac:dyDescent="0.25">
      <c r="A1317" s="90" t="s">
        <v>3400</v>
      </c>
      <c r="B1317" s="90" t="s">
        <v>3226</v>
      </c>
      <c r="C1317" s="98" t="s">
        <v>3401</v>
      </c>
      <c r="D1317" s="92" t="s">
        <v>3402</v>
      </c>
      <c r="E1317" s="90" t="s">
        <v>16</v>
      </c>
      <c r="F1317" s="99">
        <v>1</v>
      </c>
      <c r="G1317" s="94">
        <v>14700.5144</v>
      </c>
      <c r="H1317" s="94">
        <v>0</v>
      </c>
      <c r="I1317" s="95">
        <v>14700.5144</v>
      </c>
      <c r="J1317" s="95">
        <v>14700.51</v>
      </c>
      <c r="K1317" s="95">
        <v>0</v>
      </c>
      <c r="L1317" s="95">
        <v>14700.51</v>
      </c>
      <c r="M1317" s="96">
        <v>0.1837</v>
      </c>
      <c r="N1317" s="95">
        <v>17401</v>
      </c>
      <c r="O1317" s="95">
        <v>0</v>
      </c>
      <c r="P1317" s="95">
        <v>17401</v>
      </c>
      <c r="Q1317" s="95">
        <v>17401</v>
      </c>
      <c r="R1317" s="95">
        <v>0</v>
      </c>
      <c r="S1317" s="95">
        <v>17401</v>
      </c>
      <c r="U1317" s="106" t="str">
        <f>_xlfn.XLOOKUP(I1317,'[1]MAPA DE COTAÇÕES'!$D$12:$D$1058,'[1]MAPA DE COTAÇÕES'!$A$12:$A$1058,"")</f>
        <v/>
      </c>
    </row>
    <row r="1318" spans="1:21" ht="25.5" x14ac:dyDescent="0.25">
      <c r="A1318" s="90" t="s">
        <v>3403</v>
      </c>
      <c r="B1318" s="90" t="s">
        <v>3226</v>
      </c>
      <c r="C1318" s="98" t="s">
        <v>3404</v>
      </c>
      <c r="D1318" s="92" t="s">
        <v>3405</v>
      </c>
      <c r="E1318" s="90" t="s">
        <v>16</v>
      </c>
      <c r="F1318" s="99">
        <v>1</v>
      </c>
      <c r="G1318" s="94">
        <v>23025.599999999999</v>
      </c>
      <c r="H1318" s="94">
        <v>0</v>
      </c>
      <c r="I1318" s="95">
        <v>23025.599999999999</v>
      </c>
      <c r="J1318" s="95">
        <v>23025.599999999999</v>
      </c>
      <c r="K1318" s="95">
        <v>0</v>
      </c>
      <c r="L1318" s="95">
        <v>23025.599999999999</v>
      </c>
      <c r="M1318" s="96">
        <v>0.1837</v>
      </c>
      <c r="N1318" s="95">
        <v>27255.4</v>
      </c>
      <c r="O1318" s="95">
        <v>0</v>
      </c>
      <c r="P1318" s="95">
        <v>27255.4</v>
      </c>
      <c r="Q1318" s="95">
        <v>27255.4</v>
      </c>
      <c r="R1318" s="95">
        <v>0</v>
      </c>
      <c r="S1318" s="95">
        <v>27255.4</v>
      </c>
      <c r="U1318" s="106" t="str">
        <f>_xlfn.XLOOKUP(I1318,'[1]MAPA DE COTAÇÕES'!$D$12:$D$1058,'[1]MAPA DE COTAÇÕES'!$A$12:$A$1058,"")</f>
        <v>CLI_CE-MERCADO 048</v>
      </c>
    </row>
    <row r="1319" spans="1:21" ht="25.5" x14ac:dyDescent="0.25">
      <c r="A1319" s="90" t="s">
        <v>3406</v>
      </c>
      <c r="B1319" s="90" t="s">
        <v>3226</v>
      </c>
      <c r="C1319" s="98" t="s">
        <v>3407</v>
      </c>
      <c r="D1319" s="92" t="s">
        <v>3408</v>
      </c>
      <c r="E1319" s="90" t="s">
        <v>16</v>
      </c>
      <c r="F1319" s="99">
        <v>1</v>
      </c>
      <c r="G1319" s="94">
        <v>14801.638800000001</v>
      </c>
      <c r="H1319" s="94">
        <v>0</v>
      </c>
      <c r="I1319" s="95">
        <v>14801.638800000001</v>
      </c>
      <c r="J1319" s="95">
        <v>14801.64</v>
      </c>
      <c r="K1319" s="95">
        <v>0</v>
      </c>
      <c r="L1319" s="95">
        <v>14801.64</v>
      </c>
      <c r="M1319" s="96">
        <v>0.1837</v>
      </c>
      <c r="N1319" s="95">
        <v>17520.7</v>
      </c>
      <c r="O1319" s="95">
        <v>0</v>
      </c>
      <c r="P1319" s="95">
        <v>17520.7</v>
      </c>
      <c r="Q1319" s="95">
        <v>17520.7</v>
      </c>
      <c r="R1319" s="95">
        <v>0</v>
      </c>
      <c r="S1319" s="95">
        <v>17520.7</v>
      </c>
      <c r="U1319" s="106" t="str">
        <f>_xlfn.XLOOKUP(I1319,'[1]MAPA DE COTAÇÕES'!$D$12:$D$1058,'[1]MAPA DE COTAÇÕES'!$A$12:$A$1058,"")</f>
        <v/>
      </c>
    </row>
    <row r="1320" spans="1:21" ht="25.5" x14ac:dyDescent="0.25">
      <c r="A1320" s="90" t="s">
        <v>3409</v>
      </c>
      <c r="B1320" s="90" t="s">
        <v>3226</v>
      </c>
      <c r="C1320" s="98" t="s">
        <v>3398</v>
      </c>
      <c r="D1320" s="92" t="s">
        <v>3410</v>
      </c>
      <c r="E1320" s="90" t="s">
        <v>16</v>
      </c>
      <c r="F1320" s="99">
        <v>1</v>
      </c>
      <c r="G1320" s="94">
        <v>14031.004000000001</v>
      </c>
      <c r="H1320" s="94">
        <v>0</v>
      </c>
      <c r="I1320" s="95">
        <v>14031.004000000001</v>
      </c>
      <c r="J1320" s="95">
        <v>14031</v>
      </c>
      <c r="K1320" s="95">
        <v>0</v>
      </c>
      <c r="L1320" s="95">
        <v>14031</v>
      </c>
      <c r="M1320" s="96">
        <v>0.1837</v>
      </c>
      <c r="N1320" s="95">
        <v>16608.5</v>
      </c>
      <c r="O1320" s="95">
        <v>0</v>
      </c>
      <c r="P1320" s="95">
        <v>16608.5</v>
      </c>
      <c r="Q1320" s="95">
        <v>16608.5</v>
      </c>
      <c r="R1320" s="95">
        <v>0</v>
      </c>
      <c r="S1320" s="95">
        <v>16608.5</v>
      </c>
      <c r="U1320" s="106" t="str">
        <f>_xlfn.XLOOKUP(I1320,'[1]MAPA DE COTAÇÕES'!$D$12:$D$1058,'[1]MAPA DE COTAÇÕES'!$A$12:$A$1058,"")</f>
        <v/>
      </c>
    </row>
    <row r="1321" spans="1:21" ht="15" x14ac:dyDescent="0.25">
      <c r="A1321" s="90" t="s">
        <v>3411</v>
      </c>
      <c r="B1321" s="90" t="s">
        <v>3226</v>
      </c>
      <c r="C1321" s="98" t="s">
        <v>3412</v>
      </c>
      <c r="D1321" s="92" t="s">
        <v>3413</v>
      </c>
      <c r="E1321" s="90" t="s">
        <v>16</v>
      </c>
      <c r="F1321" s="99">
        <v>1</v>
      </c>
      <c r="G1321" s="94">
        <v>4499.7263999999996</v>
      </c>
      <c r="H1321" s="94">
        <v>0</v>
      </c>
      <c r="I1321" s="95">
        <v>4499.7263999999996</v>
      </c>
      <c r="J1321" s="95">
        <v>4499.7299999999996</v>
      </c>
      <c r="K1321" s="95">
        <v>0</v>
      </c>
      <c r="L1321" s="95">
        <v>4499.7299999999996</v>
      </c>
      <c r="M1321" s="96">
        <v>0.1837</v>
      </c>
      <c r="N1321" s="95">
        <v>5326.33</v>
      </c>
      <c r="O1321" s="95">
        <v>0</v>
      </c>
      <c r="P1321" s="95">
        <v>5326.33</v>
      </c>
      <c r="Q1321" s="95">
        <v>5326.33</v>
      </c>
      <c r="R1321" s="95">
        <v>0</v>
      </c>
      <c r="S1321" s="95">
        <v>5326.33</v>
      </c>
      <c r="U1321" s="106" t="str">
        <f>_xlfn.XLOOKUP(I1321,'[1]MAPA DE COTAÇÕES'!$D$12:$D$1058,'[1]MAPA DE COTAÇÕES'!$A$12:$A$1058,"")</f>
        <v/>
      </c>
    </row>
    <row r="1322" spans="1:21" ht="15" x14ac:dyDescent="0.25">
      <c r="A1322" s="90" t="s">
        <v>3414</v>
      </c>
      <c r="B1322" s="90" t="s">
        <v>3226</v>
      </c>
      <c r="C1322" s="98" t="s">
        <v>3415</v>
      </c>
      <c r="D1322" s="92" t="s">
        <v>3416</v>
      </c>
      <c r="E1322" s="90" t="s">
        <v>16</v>
      </c>
      <c r="F1322" s="99">
        <v>1</v>
      </c>
      <c r="G1322" s="94">
        <v>4624.6304</v>
      </c>
      <c r="H1322" s="94">
        <v>0</v>
      </c>
      <c r="I1322" s="95">
        <v>4624.6304</v>
      </c>
      <c r="J1322" s="95">
        <v>4624.63</v>
      </c>
      <c r="K1322" s="95">
        <v>0</v>
      </c>
      <c r="L1322" s="95">
        <v>4624.63</v>
      </c>
      <c r="M1322" s="96">
        <v>0.1837</v>
      </c>
      <c r="N1322" s="95">
        <v>5474.18</v>
      </c>
      <c r="O1322" s="95">
        <v>0</v>
      </c>
      <c r="P1322" s="95">
        <v>5474.18</v>
      </c>
      <c r="Q1322" s="95">
        <v>5474.18</v>
      </c>
      <c r="R1322" s="95">
        <v>0</v>
      </c>
      <c r="S1322" s="95">
        <v>5474.18</v>
      </c>
      <c r="U1322" s="106" t="str">
        <f>_xlfn.XLOOKUP(I1322,'[1]MAPA DE COTAÇÕES'!$D$12:$D$1058,'[1]MAPA DE COTAÇÕES'!$A$12:$A$1058,"")</f>
        <v/>
      </c>
    </row>
    <row r="1323" spans="1:21" ht="15" x14ac:dyDescent="0.25">
      <c r="A1323" s="90" t="s">
        <v>3417</v>
      </c>
      <c r="B1323" s="90" t="s">
        <v>3226</v>
      </c>
      <c r="C1323" s="98" t="s">
        <v>3418</v>
      </c>
      <c r="D1323" s="92" t="s">
        <v>3419</v>
      </c>
      <c r="E1323" s="90" t="s">
        <v>16</v>
      </c>
      <c r="F1323" s="99">
        <v>6</v>
      </c>
      <c r="G1323" s="94">
        <v>9699.4248000000007</v>
      </c>
      <c r="H1323" s="94">
        <v>0</v>
      </c>
      <c r="I1323" s="95">
        <v>9699.4248000000007</v>
      </c>
      <c r="J1323" s="95">
        <v>58196.55</v>
      </c>
      <c r="K1323" s="95">
        <v>0</v>
      </c>
      <c r="L1323" s="95">
        <v>58196.55</v>
      </c>
      <c r="M1323" s="96">
        <v>0.1837</v>
      </c>
      <c r="N1323" s="95">
        <v>11481.21</v>
      </c>
      <c r="O1323" s="95">
        <v>0</v>
      </c>
      <c r="P1323" s="95">
        <v>11481.21</v>
      </c>
      <c r="Q1323" s="95">
        <v>68887.259999999995</v>
      </c>
      <c r="R1323" s="95">
        <v>0</v>
      </c>
      <c r="S1323" s="95">
        <v>68887.259999999995</v>
      </c>
      <c r="U1323" s="106" t="str">
        <f>_xlfn.XLOOKUP(I1323,'[1]MAPA DE COTAÇÕES'!$D$12:$D$1058,'[1]MAPA DE COTAÇÕES'!$A$12:$A$1058,"")</f>
        <v/>
      </c>
    </row>
    <row r="1324" spans="1:21" ht="15" x14ac:dyDescent="0.25">
      <c r="A1324" s="90" t="s">
        <v>3420</v>
      </c>
      <c r="B1324" s="90" t="s">
        <v>3226</v>
      </c>
      <c r="C1324" s="98" t="s">
        <v>3421</v>
      </c>
      <c r="D1324" s="92" t="s">
        <v>3422</v>
      </c>
      <c r="E1324" s="90" t="s">
        <v>16</v>
      </c>
      <c r="F1324" s="99">
        <v>1</v>
      </c>
      <c r="G1324" s="94">
        <v>4303.0364</v>
      </c>
      <c r="H1324" s="94">
        <v>0</v>
      </c>
      <c r="I1324" s="95">
        <v>4303.0364</v>
      </c>
      <c r="J1324" s="95">
        <v>4303.04</v>
      </c>
      <c r="K1324" s="95">
        <v>0</v>
      </c>
      <c r="L1324" s="95">
        <v>4303.04</v>
      </c>
      <c r="M1324" s="96">
        <v>0.1837</v>
      </c>
      <c r="N1324" s="95">
        <v>5093.5</v>
      </c>
      <c r="O1324" s="95">
        <v>0</v>
      </c>
      <c r="P1324" s="95">
        <v>5093.5</v>
      </c>
      <c r="Q1324" s="95">
        <v>5093.5</v>
      </c>
      <c r="R1324" s="95">
        <v>0</v>
      </c>
      <c r="S1324" s="95">
        <v>5093.5</v>
      </c>
      <c r="U1324" s="106" t="str">
        <f>_xlfn.XLOOKUP(I1324,'[1]MAPA DE COTAÇÕES'!$D$12:$D$1058,'[1]MAPA DE COTAÇÕES'!$A$12:$A$1058,"")</f>
        <v>CLI_CE-MERCADO 054</v>
      </c>
    </row>
    <row r="1325" spans="1:21" ht="15" x14ac:dyDescent="0.25">
      <c r="A1325" s="90" t="s">
        <v>3423</v>
      </c>
      <c r="B1325" s="90" t="s">
        <v>3226</v>
      </c>
      <c r="C1325" s="98" t="s">
        <v>3424</v>
      </c>
      <c r="D1325" s="92" t="s">
        <v>3425</v>
      </c>
      <c r="E1325" s="90" t="s">
        <v>16</v>
      </c>
      <c r="F1325" s="99">
        <v>1</v>
      </c>
      <c r="G1325" s="94">
        <v>5036.4236000000001</v>
      </c>
      <c r="H1325" s="94">
        <v>0</v>
      </c>
      <c r="I1325" s="95">
        <v>5036.4236000000001</v>
      </c>
      <c r="J1325" s="95">
        <v>5036.42</v>
      </c>
      <c r="K1325" s="95">
        <v>0</v>
      </c>
      <c r="L1325" s="95">
        <v>5036.42</v>
      </c>
      <c r="M1325" s="96">
        <v>0.1837</v>
      </c>
      <c r="N1325" s="95">
        <v>5961.61</v>
      </c>
      <c r="O1325" s="95">
        <v>0</v>
      </c>
      <c r="P1325" s="95">
        <v>5961.61</v>
      </c>
      <c r="Q1325" s="95">
        <v>5961.61</v>
      </c>
      <c r="R1325" s="95">
        <v>0</v>
      </c>
      <c r="S1325" s="95">
        <v>5961.61</v>
      </c>
      <c r="U1325" s="106" t="str">
        <f>_xlfn.XLOOKUP(I1325,'[1]MAPA DE COTAÇÕES'!$D$12:$D$1058,'[1]MAPA DE COTAÇÕES'!$A$12:$A$1058,"")</f>
        <v/>
      </c>
    </row>
    <row r="1326" spans="1:21" ht="15" x14ac:dyDescent="0.25">
      <c r="A1326" s="90" t="s">
        <v>3426</v>
      </c>
      <c r="B1326" s="90" t="s">
        <v>3226</v>
      </c>
      <c r="C1326" s="98" t="s">
        <v>3427</v>
      </c>
      <c r="D1326" s="92" t="s">
        <v>3428</v>
      </c>
      <c r="E1326" s="90" t="s">
        <v>16</v>
      </c>
      <c r="F1326" s="99">
        <v>1</v>
      </c>
      <c r="G1326" s="94">
        <v>5226.4836000000005</v>
      </c>
      <c r="H1326" s="94">
        <v>0</v>
      </c>
      <c r="I1326" s="95">
        <v>5226.4836000000005</v>
      </c>
      <c r="J1326" s="95">
        <v>5226.4799999999996</v>
      </c>
      <c r="K1326" s="95">
        <v>0</v>
      </c>
      <c r="L1326" s="95">
        <v>5226.4799999999996</v>
      </c>
      <c r="M1326" s="96">
        <v>0.1837</v>
      </c>
      <c r="N1326" s="95">
        <v>6186.59</v>
      </c>
      <c r="O1326" s="95">
        <v>0</v>
      </c>
      <c r="P1326" s="95">
        <v>6186.59</v>
      </c>
      <c r="Q1326" s="95">
        <v>6186.59</v>
      </c>
      <c r="R1326" s="95">
        <v>0</v>
      </c>
      <c r="S1326" s="95">
        <v>6186.59</v>
      </c>
      <c r="U1326" s="106" t="str">
        <f>_xlfn.XLOOKUP(I1326,'[1]MAPA DE COTAÇÕES'!$D$12:$D$1058,'[1]MAPA DE COTAÇÕES'!$A$12:$A$1058,"")</f>
        <v/>
      </c>
    </row>
    <row r="1327" spans="1:21" ht="15" x14ac:dyDescent="0.25">
      <c r="A1327" s="90" t="s">
        <v>3429</v>
      </c>
      <c r="B1327" s="90" t="s">
        <v>3226</v>
      </c>
      <c r="C1327" s="98" t="s">
        <v>3430</v>
      </c>
      <c r="D1327" s="92" t="s">
        <v>3431</v>
      </c>
      <c r="E1327" s="90" t="s">
        <v>16</v>
      </c>
      <c r="F1327" s="99">
        <v>1</v>
      </c>
      <c r="G1327" s="94">
        <v>5716.4380000000001</v>
      </c>
      <c r="H1327" s="94">
        <v>0</v>
      </c>
      <c r="I1327" s="95">
        <v>5716.4380000000001</v>
      </c>
      <c r="J1327" s="95">
        <v>5716.44</v>
      </c>
      <c r="K1327" s="95">
        <v>0</v>
      </c>
      <c r="L1327" s="95">
        <v>5716.44</v>
      </c>
      <c r="M1327" s="96">
        <v>0.1837</v>
      </c>
      <c r="N1327" s="95">
        <v>6766.55</v>
      </c>
      <c r="O1327" s="95">
        <v>0</v>
      </c>
      <c r="P1327" s="95">
        <v>6766.55</v>
      </c>
      <c r="Q1327" s="95">
        <v>6766.55</v>
      </c>
      <c r="R1327" s="95">
        <v>0</v>
      </c>
      <c r="S1327" s="95">
        <v>6766.55</v>
      </c>
      <c r="U1327" s="106" t="str">
        <f>_xlfn.XLOOKUP(I1327,'[1]MAPA DE COTAÇÕES'!$D$12:$D$1058,'[1]MAPA DE COTAÇÕES'!$A$12:$A$1058,"")</f>
        <v/>
      </c>
    </row>
    <row r="1328" spans="1:21" ht="15" x14ac:dyDescent="0.25">
      <c r="A1328" s="90" t="s">
        <v>3432</v>
      </c>
      <c r="B1328" s="90" t="s">
        <v>3226</v>
      </c>
      <c r="C1328" s="98" t="s">
        <v>3433</v>
      </c>
      <c r="D1328" s="92" t="s">
        <v>3434</v>
      </c>
      <c r="E1328" s="90" t="s">
        <v>16</v>
      </c>
      <c r="F1328" s="99">
        <v>1</v>
      </c>
      <c r="G1328" s="94">
        <v>5716.4380000000001</v>
      </c>
      <c r="H1328" s="94">
        <v>0</v>
      </c>
      <c r="I1328" s="95">
        <v>5716.4380000000001</v>
      </c>
      <c r="J1328" s="95">
        <v>5716.44</v>
      </c>
      <c r="K1328" s="95">
        <v>0</v>
      </c>
      <c r="L1328" s="95">
        <v>5716.44</v>
      </c>
      <c r="M1328" s="96">
        <v>0.1837</v>
      </c>
      <c r="N1328" s="95">
        <v>6766.55</v>
      </c>
      <c r="O1328" s="95">
        <v>0</v>
      </c>
      <c r="P1328" s="95">
        <v>6766.55</v>
      </c>
      <c r="Q1328" s="95">
        <v>6766.55</v>
      </c>
      <c r="R1328" s="95">
        <v>0</v>
      </c>
      <c r="S1328" s="95">
        <v>6766.55</v>
      </c>
      <c r="U1328" s="106" t="str">
        <f>_xlfn.XLOOKUP(I1328,'[1]MAPA DE COTAÇÕES'!$D$12:$D$1058,'[1]MAPA DE COTAÇÕES'!$A$12:$A$1058,"")</f>
        <v/>
      </c>
    </row>
    <row r="1329" spans="1:21" ht="15" x14ac:dyDescent="0.25">
      <c r="A1329" s="90" t="s">
        <v>3435</v>
      </c>
      <c r="B1329" s="90" t="s">
        <v>3226</v>
      </c>
      <c r="C1329" s="98" t="s">
        <v>3436</v>
      </c>
      <c r="D1329" s="92" t="s">
        <v>3437</v>
      </c>
      <c r="E1329" s="90" t="s">
        <v>16</v>
      </c>
      <c r="F1329" s="99">
        <v>1</v>
      </c>
      <c r="G1329" s="94">
        <v>6410.0607999999993</v>
      </c>
      <c r="H1329" s="94">
        <v>0</v>
      </c>
      <c r="I1329" s="95">
        <v>6410.0607999999993</v>
      </c>
      <c r="J1329" s="95">
        <v>6410.06</v>
      </c>
      <c r="K1329" s="95">
        <v>0</v>
      </c>
      <c r="L1329" s="95">
        <v>6410.06</v>
      </c>
      <c r="M1329" s="96">
        <v>0.1837</v>
      </c>
      <c r="N1329" s="95">
        <v>7587.59</v>
      </c>
      <c r="O1329" s="95">
        <v>0</v>
      </c>
      <c r="P1329" s="95">
        <v>7587.59</v>
      </c>
      <c r="Q1329" s="95">
        <v>7587.59</v>
      </c>
      <c r="R1329" s="95">
        <v>0</v>
      </c>
      <c r="S1329" s="95">
        <v>7587.59</v>
      </c>
      <c r="U1329" s="106" t="str">
        <f>_xlfn.XLOOKUP(I1329,'[1]MAPA DE COTAÇÕES'!$D$12:$D$1058,'[1]MAPA DE COTAÇÕES'!$A$12:$A$1058,"")</f>
        <v/>
      </c>
    </row>
    <row r="1330" spans="1:21" ht="15" x14ac:dyDescent="0.25">
      <c r="A1330" s="90" t="s">
        <v>3438</v>
      </c>
      <c r="B1330" s="90" t="s">
        <v>3226</v>
      </c>
      <c r="C1330" s="98" t="s">
        <v>3439</v>
      </c>
      <c r="D1330" s="92" t="s">
        <v>3440</v>
      </c>
      <c r="E1330" s="90" t="s">
        <v>16</v>
      </c>
      <c r="F1330" s="99">
        <v>1</v>
      </c>
      <c r="G1330" s="94">
        <v>6649.9420000000009</v>
      </c>
      <c r="H1330" s="94">
        <v>0</v>
      </c>
      <c r="I1330" s="95">
        <v>6649.9420000000009</v>
      </c>
      <c r="J1330" s="95">
        <v>6649.94</v>
      </c>
      <c r="K1330" s="95">
        <v>0</v>
      </c>
      <c r="L1330" s="95">
        <v>6649.94</v>
      </c>
      <c r="M1330" s="96">
        <v>0.1837</v>
      </c>
      <c r="N1330" s="95">
        <v>7871.54</v>
      </c>
      <c r="O1330" s="95">
        <v>0</v>
      </c>
      <c r="P1330" s="95">
        <v>7871.54</v>
      </c>
      <c r="Q1330" s="95">
        <v>7871.54</v>
      </c>
      <c r="R1330" s="95">
        <v>0</v>
      </c>
      <c r="S1330" s="95">
        <v>7871.54</v>
      </c>
      <c r="U1330" s="106" t="str">
        <f>_xlfn.XLOOKUP(I1330,'[1]MAPA DE COTAÇÕES'!$D$12:$D$1058,'[1]MAPA DE COTAÇÕES'!$A$12:$A$1058,"")</f>
        <v/>
      </c>
    </row>
    <row r="1331" spans="1:21" ht="15" x14ac:dyDescent="0.25">
      <c r="A1331" s="90" t="s">
        <v>3441</v>
      </c>
      <c r="B1331" s="90" t="s">
        <v>3226</v>
      </c>
      <c r="C1331" s="98" t="s">
        <v>3442</v>
      </c>
      <c r="D1331" s="92" t="s">
        <v>3443</v>
      </c>
      <c r="E1331" s="90" t="s">
        <v>16</v>
      </c>
      <c r="F1331" s="99">
        <v>1</v>
      </c>
      <c r="G1331" s="94">
        <v>6668</v>
      </c>
      <c r="H1331" s="94">
        <v>0</v>
      </c>
      <c r="I1331" s="95">
        <v>6668</v>
      </c>
      <c r="J1331" s="95">
        <v>6668</v>
      </c>
      <c r="K1331" s="95">
        <v>0</v>
      </c>
      <c r="L1331" s="95">
        <v>6668</v>
      </c>
      <c r="M1331" s="96">
        <v>0.1837</v>
      </c>
      <c r="N1331" s="95">
        <v>7892.91</v>
      </c>
      <c r="O1331" s="95">
        <v>0</v>
      </c>
      <c r="P1331" s="95">
        <v>7892.91</v>
      </c>
      <c r="Q1331" s="95">
        <v>7892.91</v>
      </c>
      <c r="R1331" s="95">
        <v>0</v>
      </c>
      <c r="S1331" s="95">
        <v>7892.91</v>
      </c>
      <c r="U1331" s="106" t="str">
        <f>_xlfn.XLOOKUP(I1331,'[1]MAPA DE COTAÇÕES'!$D$12:$D$1058,'[1]MAPA DE COTAÇÕES'!$A$12:$A$1058,"")</f>
        <v/>
      </c>
    </row>
    <row r="1332" spans="1:21" ht="15" x14ac:dyDescent="0.25">
      <c r="A1332" s="90" t="s">
        <v>3444</v>
      </c>
      <c r="B1332" s="90" t="s">
        <v>3226</v>
      </c>
      <c r="C1332" s="98" t="s">
        <v>3445</v>
      </c>
      <c r="D1332" s="92" t="s">
        <v>3446</v>
      </c>
      <c r="E1332" s="90" t="s">
        <v>16</v>
      </c>
      <c r="F1332" s="99">
        <v>1</v>
      </c>
      <c r="G1332" s="94">
        <v>8356.1816000000017</v>
      </c>
      <c r="H1332" s="94">
        <v>0</v>
      </c>
      <c r="I1332" s="95">
        <v>8356.1816000000017</v>
      </c>
      <c r="J1332" s="95">
        <v>8356.18</v>
      </c>
      <c r="K1332" s="95">
        <v>0</v>
      </c>
      <c r="L1332" s="95">
        <v>8356.18</v>
      </c>
      <c r="M1332" s="96">
        <v>0.1837</v>
      </c>
      <c r="N1332" s="95">
        <v>9891.2099999999991</v>
      </c>
      <c r="O1332" s="95">
        <v>0</v>
      </c>
      <c r="P1332" s="95">
        <v>9891.2099999999991</v>
      </c>
      <c r="Q1332" s="95">
        <v>9891.2099999999991</v>
      </c>
      <c r="R1332" s="95">
        <v>0</v>
      </c>
      <c r="S1332" s="95">
        <v>9891.2099999999991</v>
      </c>
      <c r="U1332" s="106" t="str">
        <f>_xlfn.XLOOKUP(I1332,'[1]MAPA DE COTAÇÕES'!$D$12:$D$1058,'[1]MAPA DE COTAÇÕES'!$A$12:$A$1058,"")</f>
        <v/>
      </c>
    </row>
    <row r="1333" spans="1:21" ht="15" x14ac:dyDescent="0.25">
      <c r="A1333" s="90" t="s">
        <v>3447</v>
      </c>
      <c r="B1333" s="90" t="s">
        <v>3226</v>
      </c>
      <c r="C1333" s="98" t="s">
        <v>3448</v>
      </c>
      <c r="D1333" s="92" t="s">
        <v>3449</v>
      </c>
      <c r="E1333" s="90" t="s">
        <v>16</v>
      </c>
      <c r="F1333" s="99">
        <v>1</v>
      </c>
      <c r="G1333" s="94">
        <v>9080.9541333333327</v>
      </c>
      <c r="H1333" s="94">
        <v>0</v>
      </c>
      <c r="I1333" s="95">
        <v>9080.9541333333327</v>
      </c>
      <c r="J1333" s="95">
        <v>9080.9500000000007</v>
      </c>
      <c r="K1333" s="95">
        <v>0</v>
      </c>
      <c r="L1333" s="95">
        <v>9080.9500000000007</v>
      </c>
      <c r="M1333" s="96">
        <v>0.1837</v>
      </c>
      <c r="N1333" s="95">
        <v>10749.13</v>
      </c>
      <c r="O1333" s="95">
        <v>0</v>
      </c>
      <c r="P1333" s="95">
        <v>10749.13</v>
      </c>
      <c r="Q1333" s="95">
        <v>10749.13</v>
      </c>
      <c r="R1333" s="95">
        <v>0</v>
      </c>
      <c r="S1333" s="95">
        <v>10749.13</v>
      </c>
      <c r="U1333" s="106" t="str">
        <f>_xlfn.XLOOKUP(I1333,'[1]MAPA DE COTAÇÕES'!$D$12:$D$1058,'[1]MAPA DE COTAÇÕES'!$A$12:$A$1058,"")</f>
        <v/>
      </c>
    </row>
    <row r="1334" spans="1:21" ht="15" x14ac:dyDescent="0.25">
      <c r="A1334" s="90" t="s">
        <v>3450</v>
      </c>
      <c r="B1334" s="90" t="s">
        <v>3226</v>
      </c>
      <c r="C1334" s="98" t="s">
        <v>3395</v>
      </c>
      <c r="D1334" s="92" t="s">
        <v>3451</v>
      </c>
      <c r="E1334" s="90" t="s">
        <v>16</v>
      </c>
      <c r="F1334" s="99">
        <v>1</v>
      </c>
      <c r="G1334" s="94">
        <v>11229.92</v>
      </c>
      <c r="H1334" s="94">
        <v>0</v>
      </c>
      <c r="I1334" s="95">
        <v>11229.92</v>
      </c>
      <c r="J1334" s="95">
        <v>11229.92</v>
      </c>
      <c r="K1334" s="95">
        <v>0</v>
      </c>
      <c r="L1334" s="95">
        <v>11229.92</v>
      </c>
      <c r="M1334" s="96">
        <v>0.1837</v>
      </c>
      <c r="N1334" s="95">
        <v>13292.86</v>
      </c>
      <c r="O1334" s="95">
        <v>0</v>
      </c>
      <c r="P1334" s="95">
        <v>13292.86</v>
      </c>
      <c r="Q1334" s="95">
        <v>13292.86</v>
      </c>
      <c r="R1334" s="95">
        <v>0</v>
      </c>
      <c r="S1334" s="95">
        <v>13292.86</v>
      </c>
      <c r="U1334" s="106" t="str">
        <f>_xlfn.XLOOKUP(I1334,'[1]MAPA DE COTAÇÕES'!$D$12:$D$1058,'[1]MAPA DE COTAÇÕES'!$A$12:$A$1058,"")</f>
        <v/>
      </c>
    </row>
    <row r="1335" spans="1:21" ht="15" x14ac:dyDescent="0.25">
      <c r="A1335" s="90" t="s">
        <v>3452</v>
      </c>
      <c r="B1335" s="90" t="s">
        <v>3226</v>
      </c>
      <c r="C1335" s="98" t="s">
        <v>3453</v>
      </c>
      <c r="D1335" s="92" t="s">
        <v>3454</v>
      </c>
      <c r="E1335" s="90" t="s">
        <v>16</v>
      </c>
      <c r="F1335" s="99">
        <v>1</v>
      </c>
      <c r="G1335" s="94">
        <v>21868.714400000001</v>
      </c>
      <c r="H1335" s="94">
        <v>0</v>
      </c>
      <c r="I1335" s="95">
        <v>21868.714400000001</v>
      </c>
      <c r="J1335" s="95">
        <v>21868.71</v>
      </c>
      <c r="K1335" s="95">
        <v>0</v>
      </c>
      <c r="L1335" s="95">
        <v>21868.71</v>
      </c>
      <c r="M1335" s="96">
        <v>0.1837</v>
      </c>
      <c r="N1335" s="95">
        <v>25886</v>
      </c>
      <c r="O1335" s="95">
        <v>0</v>
      </c>
      <c r="P1335" s="95">
        <v>25886</v>
      </c>
      <c r="Q1335" s="95">
        <v>25886</v>
      </c>
      <c r="R1335" s="95">
        <v>0</v>
      </c>
      <c r="S1335" s="95">
        <v>25886</v>
      </c>
      <c r="U1335" s="106" t="str">
        <f>_xlfn.XLOOKUP(I1335,'[1]MAPA DE COTAÇÕES'!$D$12:$D$1058,'[1]MAPA DE COTAÇÕES'!$A$12:$A$1058,"")</f>
        <v/>
      </c>
    </row>
    <row r="1336" spans="1:21" ht="15" x14ac:dyDescent="0.25">
      <c r="A1336" s="90" t="s">
        <v>3455</v>
      </c>
      <c r="B1336" s="90" t="s">
        <v>3226</v>
      </c>
      <c r="C1336" s="98" t="s">
        <v>3456</v>
      </c>
      <c r="D1336" s="92" t="s">
        <v>3457</v>
      </c>
      <c r="E1336" s="90" t="s">
        <v>16</v>
      </c>
      <c r="F1336" s="99">
        <v>1</v>
      </c>
      <c r="G1336" s="94">
        <v>12126.4</v>
      </c>
      <c r="H1336" s="94">
        <v>0</v>
      </c>
      <c r="I1336" s="95">
        <v>12126.4</v>
      </c>
      <c r="J1336" s="95">
        <v>12126.4</v>
      </c>
      <c r="K1336" s="95">
        <v>0</v>
      </c>
      <c r="L1336" s="95">
        <v>12126.4</v>
      </c>
      <c r="M1336" s="96">
        <v>0.1837</v>
      </c>
      <c r="N1336" s="95">
        <v>14354.02</v>
      </c>
      <c r="O1336" s="95">
        <v>0</v>
      </c>
      <c r="P1336" s="95">
        <v>14354.02</v>
      </c>
      <c r="Q1336" s="95">
        <v>14354.02</v>
      </c>
      <c r="R1336" s="95">
        <v>0</v>
      </c>
      <c r="S1336" s="95">
        <v>14354.02</v>
      </c>
      <c r="U1336" s="106" t="str">
        <f>_xlfn.XLOOKUP(I1336,'[1]MAPA DE COTAÇÕES'!$D$12:$D$1058,'[1]MAPA DE COTAÇÕES'!$A$12:$A$1058,"")</f>
        <v/>
      </c>
    </row>
    <row r="1337" spans="1:21" ht="15" x14ac:dyDescent="0.25">
      <c r="A1337" s="90" t="s">
        <v>3458</v>
      </c>
      <c r="B1337" s="90" t="s">
        <v>3226</v>
      </c>
      <c r="C1337" s="98" t="s">
        <v>3459</v>
      </c>
      <c r="D1337" s="92" t="s">
        <v>3460</v>
      </c>
      <c r="E1337" s="90" t="s">
        <v>16</v>
      </c>
      <c r="F1337" s="99">
        <v>72</v>
      </c>
      <c r="G1337" s="94">
        <v>418.08</v>
      </c>
      <c r="H1337" s="94">
        <v>0</v>
      </c>
      <c r="I1337" s="95">
        <v>418.08</v>
      </c>
      <c r="J1337" s="95">
        <v>30101.759999999998</v>
      </c>
      <c r="K1337" s="95">
        <v>0</v>
      </c>
      <c r="L1337" s="95">
        <v>30101.759999999998</v>
      </c>
      <c r="M1337" s="96">
        <v>0.1837</v>
      </c>
      <c r="N1337" s="95">
        <v>494.88</v>
      </c>
      <c r="O1337" s="95">
        <v>0</v>
      </c>
      <c r="P1337" s="95">
        <v>494.88</v>
      </c>
      <c r="Q1337" s="95">
        <v>35631.360000000001</v>
      </c>
      <c r="R1337" s="95">
        <v>0</v>
      </c>
      <c r="S1337" s="95">
        <v>35631.360000000001</v>
      </c>
      <c r="U1337" s="106" t="str">
        <f>_xlfn.XLOOKUP(I1337,'[1]MAPA DE COTAÇÕES'!$D$12:$D$1058,'[1]MAPA DE COTAÇÕES'!$A$12:$A$1058,"")</f>
        <v>CLI_CE-MERCADO 067</v>
      </c>
    </row>
    <row r="1338" spans="1:21" ht="15" x14ac:dyDescent="0.25">
      <c r="A1338" s="90" t="s">
        <v>3461</v>
      </c>
      <c r="B1338" s="90" t="s">
        <v>3226</v>
      </c>
      <c r="C1338" s="98" t="s">
        <v>3462</v>
      </c>
      <c r="D1338" s="92" t="s">
        <v>3463</v>
      </c>
      <c r="E1338" s="90" t="s">
        <v>16</v>
      </c>
      <c r="F1338" s="99">
        <v>1</v>
      </c>
      <c r="G1338" s="94">
        <v>746.9384</v>
      </c>
      <c r="H1338" s="94">
        <v>0</v>
      </c>
      <c r="I1338" s="95">
        <v>746.9384</v>
      </c>
      <c r="J1338" s="95">
        <v>746.94</v>
      </c>
      <c r="K1338" s="95">
        <v>0</v>
      </c>
      <c r="L1338" s="95">
        <v>746.94</v>
      </c>
      <c r="M1338" s="96">
        <v>0.1837</v>
      </c>
      <c r="N1338" s="95">
        <v>884.15</v>
      </c>
      <c r="O1338" s="95">
        <v>0</v>
      </c>
      <c r="P1338" s="95">
        <v>884.15</v>
      </c>
      <c r="Q1338" s="95">
        <v>884.15</v>
      </c>
      <c r="R1338" s="95">
        <v>0</v>
      </c>
      <c r="S1338" s="95">
        <v>884.15</v>
      </c>
      <c r="U1338" s="106" t="str">
        <f>_xlfn.XLOOKUP(I1338,'[1]MAPA DE COTAÇÕES'!$D$12:$D$1058,'[1]MAPA DE COTAÇÕES'!$A$12:$A$1058,"")</f>
        <v/>
      </c>
    </row>
    <row r="1339" spans="1:21" ht="15" x14ac:dyDescent="0.25">
      <c r="A1339" s="90" t="s">
        <v>3464</v>
      </c>
      <c r="B1339" s="90"/>
      <c r="C1339" s="98"/>
      <c r="D1339" s="92" t="s">
        <v>3465</v>
      </c>
      <c r="E1339" s="90"/>
      <c r="F1339" s="99"/>
      <c r="G1339" s="94"/>
      <c r="H1339" s="94"/>
      <c r="I1339" s="95"/>
      <c r="J1339" s="95"/>
      <c r="K1339" s="95"/>
      <c r="L1339" s="95"/>
      <c r="M1339" s="96"/>
      <c r="N1339" s="95"/>
      <c r="O1339" s="95"/>
      <c r="P1339" s="95"/>
      <c r="Q1339" s="95"/>
      <c r="R1339" s="95"/>
      <c r="S1339" s="95"/>
      <c r="U1339" s="106">
        <f>_xlfn.XLOOKUP(I1339,'[1]MAPA DE COTAÇÕES'!$D$12:$D$1058,'[1]MAPA DE COTAÇÕES'!$A$12:$A$1058,"")</f>
        <v>0</v>
      </c>
    </row>
    <row r="1340" spans="1:21" ht="15" x14ac:dyDescent="0.25">
      <c r="A1340" s="90" t="s">
        <v>3466</v>
      </c>
      <c r="B1340" s="90" t="s">
        <v>3290</v>
      </c>
      <c r="C1340" s="98" t="s">
        <v>3467</v>
      </c>
      <c r="D1340" s="92" t="s">
        <v>3468</v>
      </c>
      <c r="E1340" s="90" t="s">
        <v>16</v>
      </c>
      <c r="F1340" s="99">
        <v>3608.5</v>
      </c>
      <c r="G1340" s="94">
        <v>20.59</v>
      </c>
      <c r="H1340" s="94">
        <v>30.66</v>
      </c>
      <c r="I1340" s="95">
        <v>51.25</v>
      </c>
      <c r="J1340" s="95">
        <v>74299.02</v>
      </c>
      <c r="K1340" s="95">
        <v>110636.61</v>
      </c>
      <c r="L1340" s="95">
        <v>184935.63</v>
      </c>
      <c r="M1340" s="96">
        <v>0.27529999999999999</v>
      </c>
      <c r="N1340" s="95">
        <v>26.26</v>
      </c>
      <c r="O1340" s="95">
        <v>39.1</v>
      </c>
      <c r="P1340" s="95">
        <v>65.36</v>
      </c>
      <c r="Q1340" s="95">
        <v>94759.21</v>
      </c>
      <c r="R1340" s="95">
        <v>141092.35</v>
      </c>
      <c r="S1340" s="95">
        <v>235851.56</v>
      </c>
      <c r="U1340" s="106" t="str">
        <f>_xlfn.XLOOKUP(I1340,'[1]MAPA DE COTAÇÕES'!$D$12:$D$1058,'[1]MAPA DE COTAÇÕES'!$A$12:$A$1058,"")</f>
        <v/>
      </c>
    </row>
    <row r="1341" spans="1:21" ht="15" x14ac:dyDescent="0.25">
      <c r="A1341" s="90" t="s">
        <v>3469</v>
      </c>
      <c r="B1341" s="90" t="s">
        <v>3290</v>
      </c>
      <c r="C1341" s="98" t="s">
        <v>3470</v>
      </c>
      <c r="D1341" s="92" t="s">
        <v>3471</v>
      </c>
      <c r="E1341" s="90" t="s">
        <v>16</v>
      </c>
      <c r="F1341" s="99">
        <v>7448</v>
      </c>
      <c r="G1341" s="94">
        <v>36.799999999999997</v>
      </c>
      <c r="H1341" s="94">
        <v>17.36</v>
      </c>
      <c r="I1341" s="95">
        <v>54.16</v>
      </c>
      <c r="J1341" s="95">
        <v>274086.40000000002</v>
      </c>
      <c r="K1341" s="95">
        <v>129297.28</v>
      </c>
      <c r="L1341" s="95">
        <v>403383.68000000005</v>
      </c>
      <c r="M1341" s="96">
        <v>0.27529999999999999</v>
      </c>
      <c r="N1341" s="95">
        <v>46.93</v>
      </c>
      <c r="O1341" s="95">
        <v>22.14</v>
      </c>
      <c r="P1341" s="95">
        <v>69.069999999999993</v>
      </c>
      <c r="Q1341" s="95">
        <v>349534.64</v>
      </c>
      <c r="R1341" s="95">
        <v>164898.72</v>
      </c>
      <c r="S1341" s="95">
        <v>514433.36</v>
      </c>
      <c r="U1341" s="106" t="str">
        <f>_xlfn.XLOOKUP(I1341,'[1]MAPA DE COTAÇÕES'!$D$12:$D$1058,'[1]MAPA DE COTAÇÕES'!$A$12:$A$1058,"")</f>
        <v/>
      </c>
    </row>
    <row r="1342" spans="1:21" ht="15" x14ac:dyDescent="0.25">
      <c r="A1342" s="90" t="s">
        <v>3472</v>
      </c>
      <c r="B1342" s="90" t="s">
        <v>3290</v>
      </c>
      <c r="C1342" s="98" t="s">
        <v>3473</v>
      </c>
      <c r="D1342" s="92" t="s">
        <v>3474</v>
      </c>
      <c r="E1342" s="90" t="s">
        <v>16</v>
      </c>
      <c r="F1342" s="99">
        <v>198</v>
      </c>
      <c r="G1342" s="94">
        <v>144.32</v>
      </c>
      <c r="H1342" s="94">
        <v>115.74</v>
      </c>
      <c r="I1342" s="95">
        <v>260.06</v>
      </c>
      <c r="J1342" s="95">
        <v>28575.360000000001</v>
      </c>
      <c r="K1342" s="95">
        <v>22916.52</v>
      </c>
      <c r="L1342" s="95">
        <v>51491.880000000005</v>
      </c>
      <c r="M1342" s="96">
        <v>0.27529999999999999</v>
      </c>
      <c r="N1342" s="95">
        <v>184.05</v>
      </c>
      <c r="O1342" s="95">
        <v>147.6</v>
      </c>
      <c r="P1342" s="95">
        <v>331.65</v>
      </c>
      <c r="Q1342" s="95">
        <v>36441.9</v>
      </c>
      <c r="R1342" s="95">
        <v>29224.799999999999</v>
      </c>
      <c r="S1342" s="95">
        <v>65666.7</v>
      </c>
      <c r="U1342" s="106" t="str">
        <f>_xlfn.XLOOKUP(I1342,'[1]MAPA DE COTAÇÕES'!$D$12:$D$1058,'[1]MAPA DE COTAÇÕES'!$A$12:$A$1058,"")</f>
        <v/>
      </c>
    </row>
    <row r="1343" spans="1:21" ht="15" x14ac:dyDescent="0.25">
      <c r="A1343" s="90" t="s">
        <v>3475</v>
      </c>
      <c r="B1343" s="90" t="s">
        <v>3290</v>
      </c>
      <c r="C1343" s="98" t="s">
        <v>3476</v>
      </c>
      <c r="D1343" s="92" t="s">
        <v>3477</v>
      </c>
      <c r="E1343" s="90" t="s">
        <v>16</v>
      </c>
      <c r="F1343" s="99">
        <v>38</v>
      </c>
      <c r="G1343" s="94">
        <v>77</v>
      </c>
      <c r="H1343" s="94">
        <v>115.74</v>
      </c>
      <c r="I1343" s="95">
        <v>192.74</v>
      </c>
      <c r="J1343" s="95">
        <v>2926</v>
      </c>
      <c r="K1343" s="95">
        <v>4398.12</v>
      </c>
      <c r="L1343" s="95">
        <v>7324.12</v>
      </c>
      <c r="M1343" s="96">
        <v>0.27529999999999999</v>
      </c>
      <c r="N1343" s="95">
        <v>98.2</v>
      </c>
      <c r="O1343" s="95">
        <v>147.6</v>
      </c>
      <c r="P1343" s="95">
        <v>245.8</v>
      </c>
      <c r="Q1343" s="95">
        <v>3731.6</v>
      </c>
      <c r="R1343" s="95">
        <v>5608.8</v>
      </c>
      <c r="S1343" s="95">
        <v>9340.4</v>
      </c>
      <c r="U1343" s="106" t="str">
        <f>_xlfn.XLOOKUP(I1343,'[1]MAPA DE COTAÇÕES'!$D$12:$D$1058,'[1]MAPA DE COTAÇÕES'!$A$12:$A$1058,"")</f>
        <v/>
      </c>
    </row>
    <row r="1344" spans="1:21" ht="15" x14ac:dyDescent="0.25">
      <c r="A1344" s="90" t="s">
        <v>3478</v>
      </c>
      <c r="B1344" s="90" t="s">
        <v>3290</v>
      </c>
      <c r="C1344" s="98" t="s">
        <v>3479</v>
      </c>
      <c r="D1344" s="92" t="s">
        <v>3480</v>
      </c>
      <c r="E1344" s="90" t="s">
        <v>16</v>
      </c>
      <c r="F1344" s="99">
        <v>38</v>
      </c>
      <c r="G1344" s="94">
        <v>489.5</v>
      </c>
      <c r="H1344" s="94">
        <v>23.15</v>
      </c>
      <c r="I1344" s="95">
        <v>512.65</v>
      </c>
      <c r="J1344" s="95">
        <v>18601</v>
      </c>
      <c r="K1344" s="95">
        <v>879.7</v>
      </c>
      <c r="L1344" s="95">
        <v>19480.7</v>
      </c>
      <c r="M1344" s="96">
        <v>0.27529999999999999</v>
      </c>
      <c r="N1344" s="95">
        <v>624.26</v>
      </c>
      <c r="O1344" s="95">
        <v>29.52</v>
      </c>
      <c r="P1344" s="95">
        <v>653.78</v>
      </c>
      <c r="Q1344" s="95">
        <v>23721.88</v>
      </c>
      <c r="R1344" s="95">
        <v>1121.76</v>
      </c>
      <c r="S1344" s="95">
        <v>24843.64</v>
      </c>
      <c r="U1344" s="106" t="str">
        <f>_xlfn.XLOOKUP(I1344,'[1]MAPA DE COTAÇÕES'!$D$12:$D$1058,'[1]MAPA DE COTAÇÕES'!$A$12:$A$1058,"")</f>
        <v/>
      </c>
    </row>
    <row r="1345" spans="1:21" ht="15" x14ac:dyDescent="0.25">
      <c r="A1345" s="90" t="s">
        <v>3481</v>
      </c>
      <c r="B1345" s="90" t="s">
        <v>3290</v>
      </c>
      <c r="C1345" s="98" t="s">
        <v>3482</v>
      </c>
      <c r="D1345" s="92" t="s">
        <v>3483</v>
      </c>
      <c r="E1345" s="90" t="s">
        <v>16</v>
      </c>
      <c r="F1345" s="99">
        <v>72</v>
      </c>
      <c r="G1345" s="94">
        <v>142.55000000000001</v>
      </c>
      <c r="H1345" s="94">
        <v>104.17</v>
      </c>
      <c r="I1345" s="95">
        <v>246.72000000000003</v>
      </c>
      <c r="J1345" s="95">
        <v>10263.6</v>
      </c>
      <c r="K1345" s="95">
        <v>7500.24</v>
      </c>
      <c r="L1345" s="95">
        <v>17763.84</v>
      </c>
      <c r="M1345" s="96">
        <v>0.27529999999999999</v>
      </c>
      <c r="N1345" s="95">
        <v>181.79</v>
      </c>
      <c r="O1345" s="95">
        <v>132.85</v>
      </c>
      <c r="P1345" s="95">
        <v>314.64</v>
      </c>
      <c r="Q1345" s="95">
        <v>13088.88</v>
      </c>
      <c r="R1345" s="95">
        <v>9565.2000000000007</v>
      </c>
      <c r="S1345" s="95">
        <v>22654.080000000002</v>
      </c>
      <c r="U1345" s="106" t="str">
        <f>_xlfn.XLOOKUP(I1345,'[1]MAPA DE COTAÇÕES'!$D$12:$D$1058,'[1]MAPA DE COTAÇÕES'!$A$12:$A$1058,"")</f>
        <v/>
      </c>
    </row>
    <row r="1346" spans="1:21" ht="15" x14ac:dyDescent="0.25">
      <c r="A1346" s="90" t="s">
        <v>3484</v>
      </c>
      <c r="B1346" s="90"/>
      <c r="C1346" s="98"/>
      <c r="D1346" s="92" t="s">
        <v>3485</v>
      </c>
      <c r="E1346" s="90"/>
      <c r="F1346" s="99"/>
      <c r="G1346" s="94"/>
      <c r="H1346" s="94"/>
      <c r="I1346" s="95"/>
      <c r="J1346" s="95"/>
      <c r="K1346" s="95"/>
      <c r="L1346" s="95"/>
      <c r="M1346" s="96"/>
      <c r="N1346" s="95"/>
      <c r="O1346" s="95"/>
      <c r="P1346" s="95"/>
      <c r="Q1346" s="95"/>
      <c r="R1346" s="95"/>
      <c r="S1346" s="95"/>
      <c r="U1346" s="106">
        <f>_xlfn.XLOOKUP(I1346,'[1]MAPA DE COTAÇÕES'!$D$12:$D$1058,'[1]MAPA DE COTAÇÕES'!$A$12:$A$1058,"")</f>
        <v>0</v>
      </c>
    </row>
    <row r="1347" spans="1:21" ht="15" x14ac:dyDescent="0.25">
      <c r="A1347" s="90" t="s">
        <v>3486</v>
      </c>
      <c r="B1347" s="90" t="s">
        <v>1221</v>
      </c>
      <c r="C1347" s="98">
        <v>141211</v>
      </c>
      <c r="D1347" s="92" t="s">
        <v>3487</v>
      </c>
      <c r="E1347" s="90" t="s">
        <v>93</v>
      </c>
      <c r="F1347" s="99">
        <v>1953</v>
      </c>
      <c r="G1347" s="94">
        <v>41.71</v>
      </c>
      <c r="H1347" s="94">
        <v>35.53</v>
      </c>
      <c r="I1347" s="95">
        <v>77.240000000000009</v>
      </c>
      <c r="J1347" s="95">
        <v>81459.63</v>
      </c>
      <c r="K1347" s="95">
        <v>69390.09</v>
      </c>
      <c r="L1347" s="95">
        <v>150849.72</v>
      </c>
      <c r="M1347" s="96">
        <v>0.27529999999999999</v>
      </c>
      <c r="N1347" s="95">
        <v>53.19</v>
      </c>
      <c r="O1347" s="95">
        <v>45.31</v>
      </c>
      <c r="P1347" s="95">
        <v>98.5</v>
      </c>
      <c r="Q1347" s="95">
        <v>103880.07</v>
      </c>
      <c r="R1347" s="95">
        <v>88490.43</v>
      </c>
      <c r="S1347" s="95">
        <v>192370.5</v>
      </c>
      <c r="U1347" s="106" t="str">
        <f>_xlfn.XLOOKUP(I1347,'[1]MAPA DE COTAÇÕES'!$D$12:$D$1058,'[1]MAPA DE COTAÇÕES'!$A$12:$A$1058,"")</f>
        <v/>
      </c>
    </row>
    <row r="1348" spans="1:21" ht="15" x14ac:dyDescent="0.25">
      <c r="A1348" s="90" t="s">
        <v>3488</v>
      </c>
      <c r="B1348" s="90" t="s">
        <v>3489</v>
      </c>
      <c r="C1348" s="98" t="s">
        <v>3490</v>
      </c>
      <c r="D1348" s="92" t="s">
        <v>1880</v>
      </c>
      <c r="E1348" s="90" t="s">
        <v>93</v>
      </c>
      <c r="F1348" s="99">
        <v>840</v>
      </c>
      <c r="G1348" s="94">
        <v>77.709999999999994</v>
      </c>
      <c r="H1348" s="94">
        <v>63.9</v>
      </c>
      <c r="I1348" s="95">
        <v>141.60999999999999</v>
      </c>
      <c r="J1348" s="95">
        <v>65276.4</v>
      </c>
      <c r="K1348" s="95">
        <v>53676</v>
      </c>
      <c r="L1348" s="95">
        <v>118952.4</v>
      </c>
      <c r="M1348" s="96">
        <v>0.27529999999999999</v>
      </c>
      <c r="N1348" s="95">
        <v>99.1</v>
      </c>
      <c r="O1348" s="95">
        <v>81.489999999999995</v>
      </c>
      <c r="P1348" s="95">
        <v>180.58999999999997</v>
      </c>
      <c r="Q1348" s="95">
        <v>83244</v>
      </c>
      <c r="R1348" s="95">
        <v>68451.600000000006</v>
      </c>
      <c r="S1348" s="95">
        <v>151695.6</v>
      </c>
      <c r="U1348" s="106" t="str">
        <f>_xlfn.XLOOKUP(I1348,'[1]MAPA DE COTAÇÕES'!$D$12:$D$1058,'[1]MAPA DE COTAÇÕES'!$A$12:$A$1058,"")</f>
        <v/>
      </c>
    </row>
    <row r="1349" spans="1:21" ht="15" x14ac:dyDescent="0.25">
      <c r="A1349" s="90" t="s">
        <v>3491</v>
      </c>
      <c r="B1349" s="90" t="s">
        <v>3489</v>
      </c>
      <c r="C1349" s="98" t="s">
        <v>3492</v>
      </c>
      <c r="D1349" s="92" t="s">
        <v>1883</v>
      </c>
      <c r="E1349" s="90" t="s">
        <v>93</v>
      </c>
      <c r="F1349" s="99">
        <v>540</v>
      </c>
      <c r="G1349" s="94">
        <v>101.17</v>
      </c>
      <c r="H1349" s="94">
        <v>73.03</v>
      </c>
      <c r="I1349" s="95">
        <v>174.2</v>
      </c>
      <c r="J1349" s="95">
        <v>54631.8</v>
      </c>
      <c r="K1349" s="95">
        <v>39436.199999999997</v>
      </c>
      <c r="L1349" s="95">
        <v>94068</v>
      </c>
      <c r="M1349" s="96">
        <v>0.27529999999999999</v>
      </c>
      <c r="N1349" s="95">
        <v>129.02000000000001</v>
      </c>
      <c r="O1349" s="95">
        <v>93.14</v>
      </c>
      <c r="P1349" s="95">
        <v>222.16000000000003</v>
      </c>
      <c r="Q1349" s="95">
        <v>69670.8</v>
      </c>
      <c r="R1349" s="95">
        <v>50295.6</v>
      </c>
      <c r="S1349" s="95">
        <v>119966.39999999999</v>
      </c>
      <c r="U1349" s="106" t="str">
        <f>_xlfn.XLOOKUP(I1349,'[1]MAPA DE COTAÇÕES'!$D$12:$D$1058,'[1]MAPA DE COTAÇÕES'!$A$12:$A$1058,"")</f>
        <v/>
      </c>
    </row>
    <row r="1350" spans="1:21" ht="15" x14ac:dyDescent="0.25">
      <c r="A1350" s="90" t="s">
        <v>3493</v>
      </c>
      <c r="B1350" s="90" t="s">
        <v>3489</v>
      </c>
      <c r="C1350" s="98" t="s">
        <v>3494</v>
      </c>
      <c r="D1350" s="92" t="s">
        <v>3495</v>
      </c>
      <c r="E1350" s="90" t="s">
        <v>93</v>
      </c>
      <c r="F1350" s="99">
        <v>572</v>
      </c>
      <c r="G1350" s="94">
        <v>102.58</v>
      </c>
      <c r="H1350" s="94">
        <v>73.03</v>
      </c>
      <c r="I1350" s="95">
        <v>175.61</v>
      </c>
      <c r="J1350" s="95">
        <v>58675.76</v>
      </c>
      <c r="K1350" s="95">
        <v>41773.160000000003</v>
      </c>
      <c r="L1350" s="95">
        <v>100448.92000000001</v>
      </c>
      <c r="M1350" s="96">
        <v>0.27529999999999999</v>
      </c>
      <c r="N1350" s="95">
        <v>130.82</v>
      </c>
      <c r="O1350" s="95">
        <v>93.14</v>
      </c>
      <c r="P1350" s="95">
        <v>223.95999999999998</v>
      </c>
      <c r="Q1350" s="95">
        <v>74829.039999999994</v>
      </c>
      <c r="R1350" s="95">
        <v>53276.08</v>
      </c>
      <c r="S1350" s="95">
        <v>128105.12</v>
      </c>
      <c r="U1350" s="106" t="str">
        <f>_xlfn.XLOOKUP(I1350,'[1]MAPA DE COTAÇÕES'!$D$12:$D$1058,'[1]MAPA DE COTAÇÕES'!$A$12:$A$1058,"")</f>
        <v/>
      </c>
    </row>
    <row r="1351" spans="1:21" ht="15" x14ac:dyDescent="0.25">
      <c r="A1351" s="90" t="s">
        <v>3496</v>
      </c>
      <c r="B1351" s="90" t="s">
        <v>3489</v>
      </c>
      <c r="C1351" s="98" t="s">
        <v>3497</v>
      </c>
      <c r="D1351" s="92" t="s">
        <v>3498</v>
      </c>
      <c r="E1351" s="90" t="s">
        <v>93</v>
      </c>
      <c r="F1351" s="99">
        <v>798</v>
      </c>
      <c r="G1351" s="94">
        <v>125.33</v>
      </c>
      <c r="H1351" s="94">
        <v>100.48</v>
      </c>
      <c r="I1351" s="95">
        <v>225.81</v>
      </c>
      <c r="J1351" s="95">
        <v>100013.34</v>
      </c>
      <c r="K1351" s="95">
        <v>80183.039999999994</v>
      </c>
      <c r="L1351" s="95">
        <v>180196.38</v>
      </c>
      <c r="M1351" s="96">
        <v>0.27529999999999999</v>
      </c>
      <c r="N1351" s="95">
        <v>159.83000000000001</v>
      </c>
      <c r="O1351" s="95">
        <v>128.13999999999999</v>
      </c>
      <c r="P1351" s="95">
        <v>287.97000000000003</v>
      </c>
      <c r="Q1351" s="95">
        <v>127544.34</v>
      </c>
      <c r="R1351" s="95">
        <v>102255.72</v>
      </c>
      <c r="S1351" s="95">
        <v>229800.06</v>
      </c>
      <c r="U1351" s="106" t="str">
        <f>_xlfn.XLOOKUP(I1351,'[1]MAPA DE COTAÇÕES'!$D$12:$D$1058,'[1]MAPA DE COTAÇÕES'!$A$12:$A$1058,"")</f>
        <v/>
      </c>
    </row>
    <row r="1352" spans="1:21" ht="15" x14ac:dyDescent="0.25">
      <c r="A1352" s="90" t="s">
        <v>3499</v>
      </c>
      <c r="B1352" s="90" t="s">
        <v>3489</v>
      </c>
      <c r="C1352" s="98" t="s">
        <v>3500</v>
      </c>
      <c r="D1352" s="92" t="s">
        <v>3501</v>
      </c>
      <c r="E1352" s="90" t="s">
        <v>93</v>
      </c>
      <c r="F1352" s="99">
        <v>808</v>
      </c>
      <c r="G1352" s="94">
        <v>207.99</v>
      </c>
      <c r="H1352" s="94">
        <v>111.66</v>
      </c>
      <c r="I1352" s="95">
        <v>319.64999999999998</v>
      </c>
      <c r="J1352" s="95">
        <v>168055.92</v>
      </c>
      <c r="K1352" s="95">
        <v>90221.28</v>
      </c>
      <c r="L1352" s="95">
        <v>258277.2</v>
      </c>
      <c r="M1352" s="96">
        <v>0.27529999999999999</v>
      </c>
      <c r="N1352" s="95">
        <v>265.25</v>
      </c>
      <c r="O1352" s="95">
        <v>142.4</v>
      </c>
      <c r="P1352" s="95">
        <v>407.65</v>
      </c>
      <c r="Q1352" s="95">
        <v>214322</v>
      </c>
      <c r="R1352" s="95">
        <v>115059.2</v>
      </c>
      <c r="S1352" s="95">
        <v>329381.2</v>
      </c>
      <c r="U1352" s="106" t="str">
        <f>_xlfn.XLOOKUP(I1352,'[1]MAPA DE COTAÇÕES'!$D$12:$D$1058,'[1]MAPA DE COTAÇÕES'!$A$12:$A$1058,"")</f>
        <v/>
      </c>
    </row>
    <row r="1353" spans="1:21" ht="15" x14ac:dyDescent="0.25">
      <c r="A1353" s="90" t="s">
        <v>3502</v>
      </c>
      <c r="B1353" s="90" t="s">
        <v>3489</v>
      </c>
      <c r="C1353" s="98" t="s">
        <v>3503</v>
      </c>
      <c r="D1353" s="92" t="s">
        <v>3504</v>
      </c>
      <c r="E1353" s="90" t="s">
        <v>93</v>
      </c>
      <c r="F1353" s="99">
        <v>367</v>
      </c>
      <c r="G1353" s="94">
        <v>229.04</v>
      </c>
      <c r="H1353" s="94">
        <v>125.61</v>
      </c>
      <c r="I1353" s="95">
        <v>354.65</v>
      </c>
      <c r="J1353" s="95">
        <v>84057.68</v>
      </c>
      <c r="K1353" s="95">
        <v>46098.87</v>
      </c>
      <c r="L1353" s="95">
        <v>130156.54999999999</v>
      </c>
      <c r="M1353" s="96">
        <v>0.27529999999999999</v>
      </c>
      <c r="N1353" s="95">
        <v>292.08999999999997</v>
      </c>
      <c r="O1353" s="95">
        <v>160.19</v>
      </c>
      <c r="P1353" s="95">
        <v>452.28</v>
      </c>
      <c r="Q1353" s="95">
        <v>107197.03</v>
      </c>
      <c r="R1353" s="95">
        <v>58789.73</v>
      </c>
      <c r="S1353" s="95">
        <v>165986.76</v>
      </c>
      <c r="U1353" s="106" t="str">
        <f>_xlfn.XLOOKUP(I1353,'[1]MAPA DE COTAÇÕES'!$D$12:$D$1058,'[1]MAPA DE COTAÇÕES'!$A$12:$A$1058,"")</f>
        <v/>
      </c>
    </row>
    <row r="1354" spans="1:21" ht="15" x14ac:dyDescent="0.25">
      <c r="A1354" s="90" t="s">
        <v>3505</v>
      </c>
      <c r="B1354" s="90" t="s">
        <v>3489</v>
      </c>
      <c r="C1354" s="98" t="s">
        <v>3506</v>
      </c>
      <c r="D1354" s="92" t="s">
        <v>3507</v>
      </c>
      <c r="E1354" s="90" t="s">
        <v>93</v>
      </c>
      <c r="F1354" s="99">
        <v>406</v>
      </c>
      <c r="G1354" s="94">
        <v>318.12</v>
      </c>
      <c r="H1354" s="94">
        <v>139.57</v>
      </c>
      <c r="I1354" s="95">
        <v>457.69</v>
      </c>
      <c r="J1354" s="95">
        <v>129156.72</v>
      </c>
      <c r="K1354" s="95">
        <v>56665.42</v>
      </c>
      <c r="L1354" s="95">
        <v>185822.14</v>
      </c>
      <c r="M1354" s="96">
        <v>0.27529999999999999</v>
      </c>
      <c r="N1354" s="95">
        <v>405.7</v>
      </c>
      <c r="O1354" s="95">
        <v>177.99</v>
      </c>
      <c r="P1354" s="95">
        <v>583.69000000000005</v>
      </c>
      <c r="Q1354" s="95">
        <v>164714.20000000001</v>
      </c>
      <c r="R1354" s="95">
        <v>72263.94</v>
      </c>
      <c r="S1354" s="95">
        <v>236978.14</v>
      </c>
      <c r="U1354" s="106" t="str">
        <f>_xlfn.XLOOKUP(I1354,'[1]MAPA DE COTAÇÕES'!$D$12:$D$1058,'[1]MAPA DE COTAÇÕES'!$A$12:$A$1058,"")</f>
        <v/>
      </c>
    </row>
    <row r="1355" spans="1:21" ht="15" x14ac:dyDescent="0.25">
      <c r="A1355" s="90" t="s">
        <v>3508</v>
      </c>
      <c r="B1355" s="90" t="s">
        <v>3489</v>
      </c>
      <c r="C1355" s="98" t="s">
        <v>3509</v>
      </c>
      <c r="D1355" s="92" t="s">
        <v>3510</v>
      </c>
      <c r="E1355" s="90" t="s">
        <v>93</v>
      </c>
      <c r="F1355" s="99">
        <v>48</v>
      </c>
      <c r="G1355" s="94">
        <v>438.77</v>
      </c>
      <c r="H1355" s="94">
        <v>147.94</v>
      </c>
      <c r="I1355" s="95">
        <v>586.71</v>
      </c>
      <c r="J1355" s="95">
        <v>21060.959999999999</v>
      </c>
      <c r="K1355" s="95">
        <v>7101.12</v>
      </c>
      <c r="L1355" s="95">
        <v>28162.079999999998</v>
      </c>
      <c r="M1355" s="96">
        <v>0.27529999999999999</v>
      </c>
      <c r="N1355" s="95">
        <v>559.55999999999995</v>
      </c>
      <c r="O1355" s="95">
        <v>188.67</v>
      </c>
      <c r="P1355" s="95">
        <v>748.2299999999999</v>
      </c>
      <c r="Q1355" s="95">
        <v>26858.880000000001</v>
      </c>
      <c r="R1355" s="95">
        <v>9056.16</v>
      </c>
      <c r="S1355" s="95">
        <v>35915.040000000001</v>
      </c>
      <c r="U1355" s="106" t="str">
        <f>_xlfn.XLOOKUP(I1355,'[1]MAPA DE COTAÇÕES'!$D$12:$D$1058,'[1]MAPA DE COTAÇÕES'!$A$12:$A$1058,"")</f>
        <v/>
      </c>
    </row>
    <row r="1356" spans="1:21" ht="15" x14ac:dyDescent="0.25">
      <c r="A1356" s="90" t="s">
        <v>3511</v>
      </c>
      <c r="B1356" s="90" t="s">
        <v>3489</v>
      </c>
      <c r="C1356" s="98" t="s">
        <v>3512</v>
      </c>
      <c r="D1356" s="92" t="s">
        <v>3513</v>
      </c>
      <c r="E1356" s="90" t="s">
        <v>93</v>
      </c>
      <c r="F1356" s="99">
        <v>776</v>
      </c>
      <c r="G1356" s="94">
        <v>577.57000000000005</v>
      </c>
      <c r="H1356" s="94">
        <v>153.53</v>
      </c>
      <c r="I1356" s="95">
        <v>731.1</v>
      </c>
      <c r="J1356" s="95">
        <v>448194.32</v>
      </c>
      <c r="K1356" s="95">
        <v>119139.28</v>
      </c>
      <c r="L1356" s="95">
        <v>567333.6</v>
      </c>
      <c r="M1356" s="96">
        <v>0.27529999999999999</v>
      </c>
      <c r="N1356" s="95">
        <v>736.58</v>
      </c>
      <c r="O1356" s="95">
        <v>195.8</v>
      </c>
      <c r="P1356" s="95">
        <v>932.38000000000011</v>
      </c>
      <c r="Q1356" s="95">
        <v>571586.07999999996</v>
      </c>
      <c r="R1356" s="95">
        <v>151940.79999999999</v>
      </c>
      <c r="S1356" s="95">
        <v>723526.87999999989</v>
      </c>
      <c r="U1356" s="106" t="str">
        <f>_xlfn.XLOOKUP(I1356,'[1]MAPA DE COTAÇÕES'!$D$12:$D$1058,'[1]MAPA DE COTAÇÕES'!$A$12:$A$1058,"")</f>
        <v/>
      </c>
    </row>
    <row r="1357" spans="1:21" ht="15" x14ac:dyDescent="0.25">
      <c r="A1357" s="90" t="s">
        <v>3514</v>
      </c>
      <c r="B1357" s="90" t="s">
        <v>3489</v>
      </c>
      <c r="C1357" s="98" t="s">
        <v>3515</v>
      </c>
      <c r="D1357" s="92" t="s">
        <v>3516</v>
      </c>
      <c r="E1357" s="90" t="s">
        <v>93</v>
      </c>
      <c r="F1357" s="99">
        <v>85</v>
      </c>
      <c r="G1357" s="94">
        <v>832.17</v>
      </c>
      <c r="H1357" s="94">
        <v>167.49</v>
      </c>
      <c r="I1357" s="95">
        <v>999.66</v>
      </c>
      <c r="J1357" s="95">
        <v>70734.45</v>
      </c>
      <c r="K1357" s="95">
        <v>14236.65</v>
      </c>
      <c r="L1357" s="95">
        <v>84971.099999999991</v>
      </c>
      <c r="M1357" s="96">
        <v>0.27529999999999999</v>
      </c>
      <c r="N1357" s="95">
        <v>1061.27</v>
      </c>
      <c r="O1357" s="95">
        <v>213.6</v>
      </c>
      <c r="P1357" s="95">
        <v>1274.8699999999999</v>
      </c>
      <c r="Q1357" s="95">
        <v>90207.95</v>
      </c>
      <c r="R1357" s="95">
        <v>18156</v>
      </c>
      <c r="S1357" s="95">
        <v>108363.95</v>
      </c>
      <c r="U1357" s="106" t="str">
        <f>_xlfn.XLOOKUP(I1357,'[1]MAPA DE COTAÇÕES'!$D$12:$D$1058,'[1]MAPA DE COTAÇÕES'!$A$12:$A$1058,"")</f>
        <v/>
      </c>
    </row>
    <row r="1358" spans="1:21" ht="15" x14ac:dyDescent="0.25">
      <c r="A1358" s="90" t="s">
        <v>3517</v>
      </c>
      <c r="B1358" s="90" t="s">
        <v>3489</v>
      </c>
      <c r="C1358" s="98" t="s">
        <v>3518</v>
      </c>
      <c r="D1358" s="92" t="s">
        <v>3519</v>
      </c>
      <c r="E1358" s="90" t="s">
        <v>93</v>
      </c>
      <c r="F1358" s="99">
        <v>6</v>
      </c>
      <c r="G1358" s="94">
        <v>938.47</v>
      </c>
      <c r="H1358" s="94">
        <v>195.4</v>
      </c>
      <c r="I1358" s="95">
        <v>1133.8700000000001</v>
      </c>
      <c r="J1358" s="95">
        <v>5630.82</v>
      </c>
      <c r="K1358" s="95">
        <v>1172.4000000000001</v>
      </c>
      <c r="L1358" s="95">
        <v>6803.2199999999993</v>
      </c>
      <c r="M1358" s="96">
        <v>0.27529999999999999</v>
      </c>
      <c r="N1358" s="95">
        <v>1196.83</v>
      </c>
      <c r="O1358" s="95">
        <v>249.19</v>
      </c>
      <c r="P1358" s="95">
        <v>1446.02</v>
      </c>
      <c r="Q1358" s="95">
        <v>7180.98</v>
      </c>
      <c r="R1358" s="95">
        <v>1495.14</v>
      </c>
      <c r="S1358" s="95">
        <v>8676.119999999999</v>
      </c>
      <c r="U1358" s="106" t="str">
        <f>_xlfn.XLOOKUP(I1358,'[1]MAPA DE COTAÇÕES'!$D$12:$D$1058,'[1]MAPA DE COTAÇÕES'!$A$12:$A$1058,"")</f>
        <v/>
      </c>
    </row>
    <row r="1359" spans="1:21" ht="15" x14ac:dyDescent="0.25">
      <c r="A1359" s="90" t="s">
        <v>3520</v>
      </c>
      <c r="B1359" s="90" t="s">
        <v>3290</v>
      </c>
      <c r="C1359" s="98" t="s">
        <v>3521</v>
      </c>
      <c r="D1359" s="92" t="s">
        <v>3522</v>
      </c>
      <c r="E1359" s="90" t="s">
        <v>93</v>
      </c>
      <c r="F1359" s="99">
        <v>18</v>
      </c>
      <c r="G1359" s="94">
        <v>2482.06</v>
      </c>
      <c r="H1359" s="94">
        <v>211.3</v>
      </c>
      <c r="I1359" s="95">
        <v>2693.36</v>
      </c>
      <c r="J1359" s="95">
        <v>44677.08</v>
      </c>
      <c r="K1359" s="95">
        <v>3803.4</v>
      </c>
      <c r="L1359" s="95">
        <v>48480.480000000003</v>
      </c>
      <c r="M1359" s="96">
        <v>0.27529999999999999</v>
      </c>
      <c r="N1359" s="95">
        <v>3165.37</v>
      </c>
      <c r="O1359" s="95">
        <v>269.47000000000003</v>
      </c>
      <c r="P1359" s="95">
        <v>3434.84</v>
      </c>
      <c r="Q1359" s="95">
        <v>56976.66</v>
      </c>
      <c r="R1359" s="95">
        <v>4850.46</v>
      </c>
      <c r="S1359" s="95">
        <v>61827.12</v>
      </c>
      <c r="U1359" s="106" t="str">
        <f>_xlfn.XLOOKUP(I1359,'[1]MAPA DE COTAÇÕES'!$D$12:$D$1058,'[1]MAPA DE COTAÇÕES'!$A$12:$A$1058,"")</f>
        <v/>
      </c>
    </row>
    <row r="1360" spans="1:21" ht="15" x14ac:dyDescent="0.25">
      <c r="A1360" s="90" t="s">
        <v>3523</v>
      </c>
      <c r="B1360" s="90" t="s">
        <v>31</v>
      </c>
      <c r="C1360" s="98">
        <v>39740</v>
      </c>
      <c r="D1360" s="92" t="s">
        <v>3524</v>
      </c>
      <c r="E1360" s="90" t="s">
        <v>93</v>
      </c>
      <c r="F1360" s="99">
        <v>1439</v>
      </c>
      <c r="G1360" s="94">
        <v>57.39</v>
      </c>
      <c r="H1360" s="94">
        <v>0</v>
      </c>
      <c r="I1360" s="95">
        <v>57.39</v>
      </c>
      <c r="J1360" s="95">
        <v>82584.210000000006</v>
      </c>
      <c r="K1360" s="95">
        <v>0</v>
      </c>
      <c r="L1360" s="95">
        <v>82584.210000000006</v>
      </c>
      <c r="M1360" s="96">
        <v>0.27529999999999999</v>
      </c>
      <c r="N1360" s="95">
        <v>73.19</v>
      </c>
      <c r="O1360" s="95">
        <v>0</v>
      </c>
      <c r="P1360" s="95">
        <v>73.19</v>
      </c>
      <c r="Q1360" s="95">
        <v>105320.41</v>
      </c>
      <c r="R1360" s="95">
        <v>0</v>
      </c>
      <c r="S1360" s="95">
        <v>105320.41</v>
      </c>
      <c r="U1360" s="106" t="str">
        <f>_xlfn.XLOOKUP(I1360,'[1]MAPA DE COTAÇÕES'!$D$12:$D$1058,'[1]MAPA DE COTAÇÕES'!$A$12:$A$1058,"")</f>
        <v/>
      </c>
    </row>
    <row r="1361" spans="1:21" ht="15" x14ac:dyDescent="0.25">
      <c r="A1361" s="90" t="s">
        <v>3525</v>
      </c>
      <c r="B1361" s="90" t="s">
        <v>31</v>
      </c>
      <c r="C1361" s="98">
        <v>39739</v>
      </c>
      <c r="D1361" s="92" t="s">
        <v>3526</v>
      </c>
      <c r="E1361" s="90" t="s">
        <v>93</v>
      </c>
      <c r="F1361" s="99">
        <v>644</v>
      </c>
      <c r="G1361" s="94">
        <v>51.9</v>
      </c>
      <c r="H1361" s="94">
        <v>0</v>
      </c>
      <c r="I1361" s="95">
        <v>51.9</v>
      </c>
      <c r="J1361" s="95">
        <v>33423.599999999999</v>
      </c>
      <c r="K1361" s="95">
        <v>0</v>
      </c>
      <c r="L1361" s="95">
        <v>33423.599999999999</v>
      </c>
      <c r="M1361" s="96">
        <v>0.27529999999999999</v>
      </c>
      <c r="N1361" s="95">
        <v>66.19</v>
      </c>
      <c r="O1361" s="95">
        <v>0</v>
      </c>
      <c r="P1361" s="95">
        <v>66.19</v>
      </c>
      <c r="Q1361" s="95">
        <v>42626.36</v>
      </c>
      <c r="R1361" s="95">
        <v>0</v>
      </c>
      <c r="S1361" s="95">
        <v>42626.36</v>
      </c>
      <c r="U1361" s="106" t="str">
        <f>_xlfn.XLOOKUP(I1361,'[1]MAPA DE COTAÇÕES'!$D$12:$D$1058,'[1]MAPA DE COTAÇÕES'!$A$12:$A$1058,"")</f>
        <v/>
      </c>
    </row>
    <row r="1362" spans="1:21" ht="15" x14ac:dyDescent="0.25">
      <c r="A1362" s="90" t="s">
        <v>3527</v>
      </c>
      <c r="B1362" s="90" t="s">
        <v>31</v>
      </c>
      <c r="C1362" s="98">
        <v>39739</v>
      </c>
      <c r="D1362" s="92" t="s">
        <v>3528</v>
      </c>
      <c r="E1362" s="90" t="s">
        <v>93</v>
      </c>
      <c r="F1362" s="99">
        <v>536</v>
      </c>
      <c r="G1362" s="94">
        <v>65.760000000000005</v>
      </c>
      <c r="H1362" s="94">
        <v>0</v>
      </c>
      <c r="I1362" s="95">
        <v>65.760000000000005</v>
      </c>
      <c r="J1362" s="95">
        <v>35247.360000000001</v>
      </c>
      <c r="K1362" s="95">
        <v>0</v>
      </c>
      <c r="L1362" s="95">
        <v>35247.360000000001</v>
      </c>
      <c r="M1362" s="96">
        <v>0.27529999999999999</v>
      </c>
      <c r="N1362" s="95">
        <v>83.86</v>
      </c>
      <c r="O1362" s="95">
        <v>0</v>
      </c>
      <c r="P1362" s="95">
        <v>83.86</v>
      </c>
      <c r="Q1362" s="95">
        <v>44948.959999999999</v>
      </c>
      <c r="R1362" s="95">
        <v>0</v>
      </c>
      <c r="S1362" s="95">
        <v>44948.959999999999</v>
      </c>
      <c r="U1362" s="106" t="str">
        <f>_xlfn.XLOOKUP(I1362,'[1]MAPA DE COTAÇÕES'!$D$12:$D$1058,'[1]MAPA DE COTAÇÕES'!$A$12:$A$1058,"")</f>
        <v/>
      </c>
    </row>
    <row r="1363" spans="1:21" ht="15" x14ac:dyDescent="0.25">
      <c r="A1363" s="90" t="s">
        <v>3529</v>
      </c>
      <c r="B1363" s="90" t="s">
        <v>31</v>
      </c>
      <c r="C1363" s="98">
        <v>39734</v>
      </c>
      <c r="D1363" s="92" t="s">
        <v>3530</v>
      </c>
      <c r="E1363" s="90" t="s">
        <v>93</v>
      </c>
      <c r="F1363" s="99">
        <v>487</v>
      </c>
      <c r="G1363" s="94">
        <v>75.05</v>
      </c>
      <c r="H1363" s="94">
        <v>0</v>
      </c>
      <c r="I1363" s="95">
        <v>75.05</v>
      </c>
      <c r="J1363" s="95">
        <v>36549.35</v>
      </c>
      <c r="K1363" s="95">
        <v>0</v>
      </c>
      <c r="L1363" s="95">
        <v>36549.35</v>
      </c>
      <c r="M1363" s="96">
        <v>0.27529999999999999</v>
      </c>
      <c r="N1363" s="95">
        <v>95.71</v>
      </c>
      <c r="O1363" s="95">
        <v>0</v>
      </c>
      <c r="P1363" s="95">
        <v>95.71</v>
      </c>
      <c r="Q1363" s="95">
        <v>46610.77</v>
      </c>
      <c r="R1363" s="95">
        <v>0</v>
      </c>
      <c r="S1363" s="95">
        <v>46610.77</v>
      </c>
      <c r="U1363" s="106" t="str">
        <f>_xlfn.XLOOKUP(I1363,'[1]MAPA DE COTAÇÕES'!$D$12:$D$1058,'[1]MAPA DE COTAÇÕES'!$A$12:$A$1058,"")</f>
        <v/>
      </c>
    </row>
    <row r="1364" spans="1:21" ht="15" x14ac:dyDescent="0.25">
      <c r="A1364" s="90" t="s">
        <v>3531</v>
      </c>
      <c r="B1364" s="90" t="s">
        <v>31</v>
      </c>
      <c r="C1364" s="98">
        <v>39733</v>
      </c>
      <c r="D1364" s="92" t="s">
        <v>3532</v>
      </c>
      <c r="E1364" s="90" t="s">
        <v>93</v>
      </c>
      <c r="F1364" s="99">
        <v>921</v>
      </c>
      <c r="G1364" s="94">
        <v>89.82</v>
      </c>
      <c r="H1364" s="94">
        <v>0</v>
      </c>
      <c r="I1364" s="95">
        <v>89.82</v>
      </c>
      <c r="J1364" s="95">
        <v>82724.22</v>
      </c>
      <c r="K1364" s="95">
        <v>0</v>
      </c>
      <c r="L1364" s="95">
        <v>82724.22</v>
      </c>
      <c r="M1364" s="96">
        <v>0.27529999999999999</v>
      </c>
      <c r="N1364" s="95">
        <v>114.55</v>
      </c>
      <c r="O1364" s="95">
        <v>0</v>
      </c>
      <c r="P1364" s="95">
        <v>114.55</v>
      </c>
      <c r="Q1364" s="95">
        <v>105500.55</v>
      </c>
      <c r="R1364" s="95">
        <v>0</v>
      </c>
      <c r="S1364" s="95">
        <v>105500.55</v>
      </c>
      <c r="U1364" s="106" t="str">
        <f>_xlfn.XLOOKUP(I1364,'[1]MAPA DE COTAÇÕES'!$D$12:$D$1058,'[1]MAPA DE COTAÇÕES'!$A$12:$A$1058,"")</f>
        <v/>
      </c>
    </row>
    <row r="1365" spans="1:21" ht="15" x14ac:dyDescent="0.25">
      <c r="A1365" s="90" t="s">
        <v>3533</v>
      </c>
      <c r="B1365" s="90" t="s">
        <v>31</v>
      </c>
      <c r="C1365" s="98">
        <v>39854</v>
      </c>
      <c r="D1365" s="92" t="s">
        <v>3534</v>
      </c>
      <c r="E1365" s="90" t="s">
        <v>93</v>
      </c>
      <c r="F1365" s="99">
        <v>808</v>
      </c>
      <c r="G1365" s="94">
        <v>91.09</v>
      </c>
      <c r="H1365" s="94">
        <v>0</v>
      </c>
      <c r="I1365" s="95">
        <v>91.09</v>
      </c>
      <c r="J1365" s="95">
        <v>73600.72</v>
      </c>
      <c r="K1365" s="95">
        <v>0</v>
      </c>
      <c r="L1365" s="95">
        <v>73600.72</v>
      </c>
      <c r="M1365" s="96">
        <v>0.27529999999999999</v>
      </c>
      <c r="N1365" s="95">
        <v>116.17</v>
      </c>
      <c r="O1365" s="95">
        <v>0</v>
      </c>
      <c r="P1365" s="95">
        <v>116.17</v>
      </c>
      <c r="Q1365" s="95">
        <v>93865.36</v>
      </c>
      <c r="R1365" s="95">
        <v>0</v>
      </c>
      <c r="S1365" s="95">
        <v>93865.36</v>
      </c>
      <c r="U1365" s="106" t="str">
        <f>_xlfn.XLOOKUP(I1365,'[1]MAPA DE COTAÇÕES'!$D$12:$D$1058,'[1]MAPA DE COTAÇÕES'!$A$12:$A$1058,"")</f>
        <v/>
      </c>
    </row>
    <row r="1366" spans="1:21" ht="15" x14ac:dyDescent="0.25">
      <c r="A1366" s="90" t="s">
        <v>3535</v>
      </c>
      <c r="B1366" s="90" t="s">
        <v>3226</v>
      </c>
      <c r="C1366" s="98" t="s">
        <v>3536</v>
      </c>
      <c r="D1366" s="92" t="s">
        <v>3537</v>
      </c>
      <c r="E1366" s="90" t="s">
        <v>93</v>
      </c>
      <c r="F1366" s="99">
        <v>344</v>
      </c>
      <c r="G1366" s="94">
        <v>94.681600000000003</v>
      </c>
      <c r="H1366" s="94">
        <v>0</v>
      </c>
      <c r="I1366" s="95">
        <v>94.681600000000003</v>
      </c>
      <c r="J1366" s="95">
        <v>32570.47</v>
      </c>
      <c r="K1366" s="95">
        <v>0</v>
      </c>
      <c r="L1366" s="95">
        <v>32570.47</v>
      </c>
      <c r="M1366" s="96">
        <v>0.27529999999999999</v>
      </c>
      <c r="N1366" s="95">
        <v>120.75</v>
      </c>
      <c r="O1366" s="95">
        <v>0</v>
      </c>
      <c r="P1366" s="95">
        <v>120.75</v>
      </c>
      <c r="Q1366" s="95">
        <v>41538</v>
      </c>
      <c r="R1366" s="95">
        <v>0</v>
      </c>
      <c r="S1366" s="95">
        <v>41538</v>
      </c>
      <c r="U1366" s="106" t="str">
        <f>_xlfn.XLOOKUP(I1366,'[1]MAPA DE COTAÇÕES'!$D$12:$D$1058,'[1]MAPA DE COTAÇÕES'!$A$12:$A$1058,"")</f>
        <v>CLI_CE-MERCADO 01003</v>
      </c>
    </row>
    <row r="1367" spans="1:21" ht="15" x14ac:dyDescent="0.25">
      <c r="A1367" s="90" t="s">
        <v>3538</v>
      </c>
      <c r="B1367" s="90" t="s">
        <v>3226</v>
      </c>
      <c r="C1367" s="98" t="s">
        <v>3536</v>
      </c>
      <c r="D1367" s="92" t="s">
        <v>3539</v>
      </c>
      <c r="E1367" s="90" t="s">
        <v>249</v>
      </c>
      <c r="F1367" s="99">
        <v>398</v>
      </c>
      <c r="G1367" s="94">
        <v>270.49359999999996</v>
      </c>
      <c r="H1367" s="94">
        <v>0</v>
      </c>
      <c r="I1367" s="95">
        <v>270.49359999999996</v>
      </c>
      <c r="J1367" s="95">
        <v>107656.45</v>
      </c>
      <c r="K1367" s="95">
        <v>0</v>
      </c>
      <c r="L1367" s="95">
        <v>107656.45</v>
      </c>
      <c r="M1367" s="96">
        <v>0.27529999999999999</v>
      </c>
      <c r="N1367" s="95">
        <v>344.96</v>
      </c>
      <c r="O1367" s="95">
        <v>0</v>
      </c>
      <c r="P1367" s="95">
        <v>344.96</v>
      </c>
      <c r="Q1367" s="95">
        <v>137294.07999999999</v>
      </c>
      <c r="R1367" s="95">
        <v>0</v>
      </c>
      <c r="S1367" s="95">
        <v>137294.07999999999</v>
      </c>
      <c r="U1367" s="106" t="str">
        <f>_xlfn.XLOOKUP(I1367,'[1]MAPA DE COTAÇÕES'!$D$12:$D$1058,'[1]MAPA DE COTAÇÕES'!$A$12:$A$1058,"")</f>
        <v/>
      </c>
    </row>
    <row r="1368" spans="1:21" ht="15" x14ac:dyDescent="0.25">
      <c r="A1368" s="90" t="s">
        <v>3540</v>
      </c>
      <c r="B1368" s="90" t="s">
        <v>3226</v>
      </c>
      <c r="C1368" s="98" t="s">
        <v>3536</v>
      </c>
      <c r="D1368" s="92" t="s">
        <v>3541</v>
      </c>
      <c r="E1368" s="90" t="s">
        <v>249</v>
      </c>
      <c r="F1368" s="99">
        <v>37</v>
      </c>
      <c r="G1368" s="94">
        <v>270.49359999999996</v>
      </c>
      <c r="H1368" s="94">
        <v>0</v>
      </c>
      <c r="I1368" s="95">
        <v>270.49359999999996</v>
      </c>
      <c r="J1368" s="95">
        <v>10008.26</v>
      </c>
      <c r="K1368" s="95">
        <v>0</v>
      </c>
      <c r="L1368" s="95">
        <v>10008.26</v>
      </c>
      <c r="M1368" s="96">
        <v>0.27529999999999999</v>
      </c>
      <c r="N1368" s="95">
        <v>344.96</v>
      </c>
      <c r="O1368" s="95">
        <v>0</v>
      </c>
      <c r="P1368" s="95">
        <v>344.96</v>
      </c>
      <c r="Q1368" s="95">
        <v>12763.52</v>
      </c>
      <c r="R1368" s="95">
        <v>0</v>
      </c>
      <c r="S1368" s="95">
        <v>12763.52</v>
      </c>
      <c r="U1368" s="106" t="str">
        <f>_xlfn.XLOOKUP(I1368,'[1]MAPA DE COTAÇÕES'!$D$12:$D$1058,'[1]MAPA DE COTAÇÕES'!$A$12:$A$1058,"")</f>
        <v/>
      </c>
    </row>
    <row r="1369" spans="1:21" ht="15" x14ac:dyDescent="0.25">
      <c r="A1369" s="90" t="s">
        <v>3542</v>
      </c>
      <c r="B1369" s="90" t="s">
        <v>3226</v>
      </c>
      <c r="C1369" s="98" t="s">
        <v>3536</v>
      </c>
      <c r="D1369" s="92" t="s">
        <v>3543</v>
      </c>
      <c r="E1369" s="90" t="s">
        <v>249</v>
      </c>
      <c r="F1369" s="99">
        <v>768</v>
      </c>
      <c r="G1369" s="94">
        <v>270.49359999999996</v>
      </c>
      <c r="H1369" s="94">
        <v>0</v>
      </c>
      <c r="I1369" s="95">
        <v>270.49359999999996</v>
      </c>
      <c r="J1369" s="95">
        <v>207739.08</v>
      </c>
      <c r="K1369" s="95">
        <v>0</v>
      </c>
      <c r="L1369" s="95">
        <v>207739.08</v>
      </c>
      <c r="M1369" s="96">
        <v>0.27529999999999999</v>
      </c>
      <c r="N1369" s="95">
        <v>344.96</v>
      </c>
      <c r="O1369" s="95">
        <v>0</v>
      </c>
      <c r="P1369" s="95">
        <v>344.96</v>
      </c>
      <c r="Q1369" s="95">
        <v>264929.28000000003</v>
      </c>
      <c r="R1369" s="95">
        <v>0</v>
      </c>
      <c r="S1369" s="95">
        <v>264929.28000000003</v>
      </c>
      <c r="U1369" s="106" t="str">
        <f>_xlfn.XLOOKUP(I1369,'[1]MAPA DE COTAÇÕES'!$D$12:$D$1058,'[1]MAPA DE COTAÇÕES'!$A$12:$A$1058,"")</f>
        <v/>
      </c>
    </row>
    <row r="1370" spans="1:21" ht="15" x14ac:dyDescent="0.25">
      <c r="A1370" s="90" t="s">
        <v>3544</v>
      </c>
      <c r="B1370" s="90" t="s">
        <v>3226</v>
      </c>
      <c r="C1370" s="98" t="s">
        <v>3536</v>
      </c>
      <c r="D1370" s="92" t="s">
        <v>3545</v>
      </c>
      <c r="E1370" s="90" t="s">
        <v>249</v>
      </c>
      <c r="F1370" s="99">
        <v>85</v>
      </c>
      <c r="G1370" s="94">
        <v>270.49359999999996</v>
      </c>
      <c r="H1370" s="94">
        <v>0</v>
      </c>
      <c r="I1370" s="95">
        <v>270.49359999999996</v>
      </c>
      <c r="J1370" s="95">
        <v>22991.96</v>
      </c>
      <c r="K1370" s="95">
        <v>0</v>
      </c>
      <c r="L1370" s="95">
        <v>22991.96</v>
      </c>
      <c r="M1370" s="96">
        <v>0.27529999999999999</v>
      </c>
      <c r="N1370" s="95">
        <v>344.96</v>
      </c>
      <c r="O1370" s="95">
        <v>0</v>
      </c>
      <c r="P1370" s="95">
        <v>344.96</v>
      </c>
      <c r="Q1370" s="95">
        <v>29321.599999999999</v>
      </c>
      <c r="R1370" s="95">
        <v>0</v>
      </c>
      <c r="S1370" s="95">
        <v>29321.599999999999</v>
      </c>
      <c r="U1370" s="106" t="str">
        <f>_xlfn.XLOOKUP(I1370,'[1]MAPA DE COTAÇÕES'!$D$12:$D$1058,'[1]MAPA DE COTAÇÕES'!$A$12:$A$1058,"")</f>
        <v/>
      </c>
    </row>
    <row r="1371" spans="1:21" ht="15" x14ac:dyDescent="0.25">
      <c r="A1371" s="90" t="s">
        <v>3546</v>
      </c>
      <c r="B1371" s="90" t="s">
        <v>3226</v>
      </c>
      <c r="C1371" s="98" t="s">
        <v>3536</v>
      </c>
      <c r="D1371" s="92" t="s">
        <v>3547</v>
      </c>
      <c r="E1371" s="90" t="s">
        <v>249</v>
      </c>
      <c r="F1371" s="99">
        <v>4</v>
      </c>
      <c r="G1371" s="94">
        <v>270.49359999999996</v>
      </c>
      <c r="H1371" s="94">
        <v>0</v>
      </c>
      <c r="I1371" s="95">
        <v>270.49359999999996</v>
      </c>
      <c r="J1371" s="95">
        <v>1081.97</v>
      </c>
      <c r="K1371" s="95">
        <v>0</v>
      </c>
      <c r="L1371" s="95">
        <v>1081.97</v>
      </c>
      <c r="M1371" s="96">
        <v>0.27529999999999999</v>
      </c>
      <c r="N1371" s="95">
        <v>344.96</v>
      </c>
      <c r="O1371" s="95">
        <v>0</v>
      </c>
      <c r="P1371" s="95">
        <v>344.96</v>
      </c>
      <c r="Q1371" s="95">
        <v>1379.84</v>
      </c>
      <c r="R1371" s="95">
        <v>0</v>
      </c>
      <c r="S1371" s="95">
        <v>1379.84</v>
      </c>
      <c r="U1371" s="106" t="str">
        <f>_xlfn.XLOOKUP(I1371,'[1]MAPA DE COTAÇÕES'!$D$12:$D$1058,'[1]MAPA DE COTAÇÕES'!$A$12:$A$1058,"")</f>
        <v/>
      </c>
    </row>
    <row r="1372" spans="1:21" ht="15" x14ac:dyDescent="0.25">
      <c r="A1372" s="90" t="s">
        <v>3548</v>
      </c>
      <c r="B1372" s="90" t="s">
        <v>3226</v>
      </c>
      <c r="C1372" s="98" t="s">
        <v>3536</v>
      </c>
      <c r="D1372" s="92" t="s">
        <v>3549</v>
      </c>
      <c r="E1372" s="90" t="s">
        <v>249</v>
      </c>
      <c r="F1372" s="99">
        <v>3</v>
      </c>
      <c r="G1372" s="94">
        <v>270.49359999999996</v>
      </c>
      <c r="H1372" s="94">
        <v>0</v>
      </c>
      <c r="I1372" s="95">
        <v>270.49359999999996</v>
      </c>
      <c r="J1372" s="95">
        <v>811.48</v>
      </c>
      <c r="K1372" s="95">
        <v>0</v>
      </c>
      <c r="L1372" s="95">
        <v>811.48</v>
      </c>
      <c r="M1372" s="96">
        <v>0.27529999999999999</v>
      </c>
      <c r="N1372" s="95">
        <v>344.96</v>
      </c>
      <c r="O1372" s="95">
        <v>0</v>
      </c>
      <c r="P1372" s="95">
        <v>344.96</v>
      </c>
      <c r="Q1372" s="95">
        <v>1034.8800000000001</v>
      </c>
      <c r="R1372" s="95">
        <v>0</v>
      </c>
      <c r="S1372" s="95">
        <v>1034.8800000000001</v>
      </c>
      <c r="U1372" s="106" t="str">
        <f>_xlfn.XLOOKUP(I1372,'[1]MAPA DE COTAÇÕES'!$D$12:$D$1058,'[1]MAPA DE COTAÇÕES'!$A$12:$A$1058,"")</f>
        <v/>
      </c>
    </row>
    <row r="1373" spans="1:21" ht="15" x14ac:dyDescent="0.25">
      <c r="A1373" s="90" t="s">
        <v>3550</v>
      </c>
      <c r="B1373" s="90" t="s">
        <v>3226</v>
      </c>
      <c r="C1373" s="98" t="s">
        <v>3536</v>
      </c>
      <c r="D1373" s="92" t="s">
        <v>3551</v>
      </c>
      <c r="E1373" s="90" t="s">
        <v>249</v>
      </c>
      <c r="F1373" s="99">
        <v>18</v>
      </c>
      <c r="G1373" s="94">
        <v>270.49359999999996</v>
      </c>
      <c r="H1373" s="94">
        <v>0</v>
      </c>
      <c r="I1373" s="95">
        <v>270.49359999999996</v>
      </c>
      <c r="J1373" s="95">
        <v>4868.88</v>
      </c>
      <c r="K1373" s="95">
        <v>0</v>
      </c>
      <c r="L1373" s="95">
        <v>4868.88</v>
      </c>
      <c r="M1373" s="96">
        <v>0.27529999999999999</v>
      </c>
      <c r="N1373" s="95">
        <v>344.96</v>
      </c>
      <c r="O1373" s="95">
        <v>0</v>
      </c>
      <c r="P1373" s="95">
        <v>344.96</v>
      </c>
      <c r="Q1373" s="95">
        <v>6209.28</v>
      </c>
      <c r="R1373" s="95">
        <v>0</v>
      </c>
      <c r="S1373" s="95">
        <v>6209.28</v>
      </c>
      <c r="U1373" s="106" t="str">
        <f>_xlfn.XLOOKUP(I1373,'[1]MAPA DE COTAÇÕES'!$D$12:$D$1058,'[1]MAPA DE COTAÇÕES'!$A$12:$A$1058,"")</f>
        <v/>
      </c>
    </row>
    <row r="1374" spans="1:21" ht="15" x14ac:dyDescent="0.25">
      <c r="A1374" s="90" t="s">
        <v>3552</v>
      </c>
      <c r="B1374" s="90" t="s">
        <v>3226</v>
      </c>
      <c r="C1374" s="98" t="s">
        <v>3553</v>
      </c>
      <c r="D1374" s="92" t="s">
        <v>3554</v>
      </c>
      <c r="E1374" s="90" t="s">
        <v>16</v>
      </c>
      <c r="F1374" s="99">
        <v>13</v>
      </c>
      <c r="G1374" s="94">
        <v>1144.7904000000001</v>
      </c>
      <c r="H1374" s="94">
        <v>0</v>
      </c>
      <c r="I1374" s="95">
        <v>1144.7904000000001</v>
      </c>
      <c r="J1374" s="95">
        <v>14882.28</v>
      </c>
      <c r="K1374" s="95">
        <v>0</v>
      </c>
      <c r="L1374" s="95">
        <v>14882.28</v>
      </c>
      <c r="M1374" s="96">
        <v>0.27529999999999999</v>
      </c>
      <c r="N1374" s="95">
        <v>1459.95</v>
      </c>
      <c r="O1374" s="95">
        <v>0</v>
      </c>
      <c r="P1374" s="95">
        <v>1459.95</v>
      </c>
      <c r="Q1374" s="95">
        <v>18979.349999999999</v>
      </c>
      <c r="R1374" s="95">
        <v>0</v>
      </c>
      <c r="S1374" s="95">
        <v>18979.349999999999</v>
      </c>
      <c r="U1374" s="106" t="str">
        <f>_xlfn.XLOOKUP(I1374,'[1]MAPA DE COTAÇÕES'!$D$12:$D$1058,'[1]MAPA DE COTAÇÕES'!$A$12:$A$1058,"")</f>
        <v/>
      </c>
    </row>
    <row r="1375" spans="1:21" ht="15" x14ac:dyDescent="0.25">
      <c r="A1375" s="90" t="s">
        <v>3555</v>
      </c>
      <c r="B1375" s="90" t="s">
        <v>3226</v>
      </c>
      <c r="C1375" s="98" t="s">
        <v>3556</v>
      </c>
      <c r="D1375" s="92" t="s">
        <v>3557</v>
      </c>
      <c r="E1375" s="90" t="s">
        <v>16</v>
      </c>
      <c r="F1375" s="99">
        <v>7</v>
      </c>
      <c r="G1375" s="94">
        <v>2846.4384000000005</v>
      </c>
      <c r="H1375" s="94">
        <v>0</v>
      </c>
      <c r="I1375" s="95">
        <v>2846.4384000000005</v>
      </c>
      <c r="J1375" s="95">
        <v>19925.07</v>
      </c>
      <c r="K1375" s="95">
        <v>0</v>
      </c>
      <c r="L1375" s="95">
        <v>19925.07</v>
      </c>
      <c r="M1375" s="96">
        <v>0.27529999999999999</v>
      </c>
      <c r="N1375" s="95">
        <v>3630.06</v>
      </c>
      <c r="O1375" s="95">
        <v>0</v>
      </c>
      <c r="P1375" s="95">
        <v>3630.06</v>
      </c>
      <c r="Q1375" s="95">
        <v>25410.42</v>
      </c>
      <c r="R1375" s="95">
        <v>0</v>
      </c>
      <c r="S1375" s="95">
        <v>25410.42</v>
      </c>
      <c r="U1375" s="106" t="str">
        <f>_xlfn.XLOOKUP(I1375,'[1]MAPA DE COTAÇÕES'!$D$12:$D$1058,'[1]MAPA DE COTAÇÕES'!$A$12:$A$1058,"")</f>
        <v/>
      </c>
    </row>
    <row r="1376" spans="1:21" ht="15" x14ac:dyDescent="0.25">
      <c r="A1376" s="90" t="s">
        <v>3558</v>
      </c>
      <c r="B1376" s="90" t="s">
        <v>3226</v>
      </c>
      <c r="C1376" s="98" t="s">
        <v>3559</v>
      </c>
      <c r="D1376" s="92" t="s">
        <v>3560</v>
      </c>
      <c r="E1376" s="90" t="s">
        <v>16</v>
      </c>
      <c r="F1376" s="99">
        <v>11</v>
      </c>
      <c r="G1376" s="94">
        <v>3548.8335999999995</v>
      </c>
      <c r="H1376" s="94">
        <v>0</v>
      </c>
      <c r="I1376" s="95">
        <v>3548.8335999999995</v>
      </c>
      <c r="J1376" s="95">
        <v>39037.17</v>
      </c>
      <c r="K1376" s="95">
        <v>0</v>
      </c>
      <c r="L1376" s="95">
        <v>39037.17</v>
      </c>
      <c r="M1376" s="96">
        <v>0.27529999999999999</v>
      </c>
      <c r="N1376" s="95">
        <v>4525.83</v>
      </c>
      <c r="O1376" s="95">
        <v>0</v>
      </c>
      <c r="P1376" s="95">
        <v>4525.83</v>
      </c>
      <c r="Q1376" s="95">
        <v>49784.13</v>
      </c>
      <c r="R1376" s="95">
        <v>0</v>
      </c>
      <c r="S1376" s="95">
        <v>49784.13</v>
      </c>
      <c r="U1376" s="106" t="str">
        <f>_xlfn.XLOOKUP(I1376,'[1]MAPA DE COTAÇÕES'!$D$12:$D$1058,'[1]MAPA DE COTAÇÕES'!$A$12:$A$1058,"")</f>
        <v/>
      </c>
    </row>
    <row r="1377" spans="1:21" ht="15" x14ac:dyDescent="0.25">
      <c r="A1377" s="90" t="s">
        <v>3561</v>
      </c>
      <c r="B1377" s="90" t="s">
        <v>3226</v>
      </c>
      <c r="C1377" s="98" t="s">
        <v>3562</v>
      </c>
      <c r="D1377" s="92" t="s">
        <v>3563</v>
      </c>
      <c r="E1377" s="90" t="s">
        <v>16</v>
      </c>
      <c r="F1377" s="99">
        <v>6</v>
      </c>
      <c r="G1377" s="94">
        <v>8209.7132000000001</v>
      </c>
      <c r="H1377" s="94">
        <v>0</v>
      </c>
      <c r="I1377" s="95">
        <v>8209.7132000000001</v>
      </c>
      <c r="J1377" s="95">
        <v>49258.28</v>
      </c>
      <c r="K1377" s="95">
        <v>0</v>
      </c>
      <c r="L1377" s="95">
        <v>49258.28</v>
      </c>
      <c r="M1377" s="96">
        <v>0.27529999999999999</v>
      </c>
      <c r="N1377" s="95">
        <v>10469.85</v>
      </c>
      <c r="O1377" s="95">
        <v>0</v>
      </c>
      <c r="P1377" s="95">
        <v>10469.85</v>
      </c>
      <c r="Q1377" s="95">
        <v>62819.1</v>
      </c>
      <c r="R1377" s="95">
        <v>0</v>
      </c>
      <c r="S1377" s="95">
        <v>62819.1</v>
      </c>
      <c r="U1377" s="106" t="str">
        <f>_xlfn.XLOOKUP(I1377,'[1]MAPA DE COTAÇÕES'!$D$12:$D$1058,'[1]MAPA DE COTAÇÕES'!$A$12:$A$1058,"")</f>
        <v/>
      </c>
    </row>
    <row r="1378" spans="1:21" ht="15" x14ac:dyDescent="0.25">
      <c r="A1378" s="90" t="s">
        <v>3564</v>
      </c>
      <c r="B1378" s="90" t="s">
        <v>3226</v>
      </c>
      <c r="C1378" s="98" t="s">
        <v>3565</v>
      </c>
      <c r="D1378" s="92" t="s">
        <v>3566</v>
      </c>
      <c r="E1378" s="90" t="s">
        <v>16</v>
      </c>
      <c r="F1378" s="99">
        <v>4</v>
      </c>
      <c r="G1378" s="94">
        <v>10062.743600000002</v>
      </c>
      <c r="H1378" s="94">
        <v>0</v>
      </c>
      <c r="I1378" s="95">
        <v>10062.743600000002</v>
      </c>
      <c r="J1378" s="95">
        <v>40250.97</v>
      </c>
      <c r="K1378" s="95">
        <v>0</v>
      </c>
      <c r="L1378" s="95">
        <v>40250.97</v>
      </c>
      <c r="M1378" s="96">
        <v>0.27529999999999999</v>
      </c>
      <c r="N1378" s="95">
        <v>12833.02</v>
      </c>
      <c r="O1378" s="95">
        <v>0</v>
      </c>
      <c r="P1378" s="95">
        <v>12833.02</v>
      </c>
      <c r="Q1378" s="95">
        <v>51332.08</v>
      </c>
      <c r="R1378" s="95">
        <v>0</v>
      </c>
      <c r="S1378" s="95">
        <v>51332.08</v>
      </c>
      <c r="U1378" s="106" t="str">
        <f>_xlfn.XLOOKUP(I1378,'[1]MAPA DE COTAÇÕES'!$D$12:$D$1058,'[1]MAPA DE COTAÇÕES'!$A$12:$A$1058,"")</f>
        <v/>
      </c>
    </row>
    <row r="1379" spans="1:21" ht="15" x14ac:dyDescent="0.25">
      <c r="A1379" s="90" t="s">
        <v>3567</v>
      </c>
      <c r="B1379" s="90" t="s">
        <v>3226</v>
      </c>
      <c r="C1379" s="98" t="s">
        <v>3568</v>
      </c>
      <c r="D1379" s="92" t="s">
        <v>3569</v>
      </c>
      <c r="E1379" s="90" t="s">
        <v>16</v>
      </c>
      <c r="F1379" s="99">
        <v>2</v>
      </c>
      <c r="G1379" s="94">
        <v>21111.591280000001</v>
      </c>
      <c r="H1379" s="94">
        <v>0</v>
      </c>
      <c r="I1379" s="95">
        <v>21111.591280000001</v>
      </c>
      <c r="J1379" s="95">
        <v>42223.18</v>
      </c>
      <c r="K1379" s="95">
        <v>0</v>
      </c>
      <c r="L1379" s="95">
        <v>42223.18</v>
      </c>
      <c r="M1379" s="96">
        <v>0.27529999999999999</v>
      </c>
      <c r="N1379" s="95">
        <v>26923.61</v>
      </c>
      <c r="O1379" s="95">
        <v>0</v>
      </c>
      <c r="P1379" s="95">
        <v>26923.61</v>
      </c>
      <c r="Q1379" s="95">
        <v>53847.22</v>
      </c>
      <c r="R1379" s="95">
        <v>0</v>
      </c>
      <c r="S1379" s="95">
        <v>53847.22</v>
      </c>
      <c r="U1379" s="106" t="str">
        <f>_xlfn.XLOOKUP(I1379,'[1]MAPA DE COTAÇÕES'!$D$12:$D$1058,'[1]MAPA DE COTAÇÕES'!$A$12:$A$1058,"")</f>
        <v/>
      </c>
    </row>
    <row r="1380" spans="1:21" ht="15" x14ac:dyDescent="0.25">
      <c r="A1380" s="90" t="s">
        <v>3570</v>
      </c>
      <c r="B1380" s="90" t="s">
        <v>3226</v>
      </c>
      <c r="C1380" s="98" t="s">
        <v>3571</v>
      </c>
      <c r="D1380" s="92" t="s">
        <v>3572</v>
      </c>
      <c r="E1380" s="90" t="s">
        <v>16</v>
      </c>
      <c r="F1380" s="99">
        <v>13</v>
      </c>
      <c r="G1380" s="94">
        <v>1194.3368</v>
      </c>
      <c r="H1380" s="94">
        <v>0</v>
      </c>
      <c r="I1380" s="95">
        <v>1194.3368</v>
      </c>
      <c r="J1380" s="95">
        <v>15526.38</v>
      </c>
      <c r="K1380" s="95">
        <v>0</v>
      </c>
      <c r="L1380" s="95">
        <v>15526.38</v>
      </c>
      <c r="M1380" s="96">
        <v>0.27529999999999999</v>
      </c>
      <c r="N1380" s="95">
        <v>1523.14</v>
      </c>
      <c r="O1380" s="95">
        <v>0</v>
      </c>
      <c r="P1380" s="95">
        <v>1523.14</v>
      </c>
      <c r="Q1380" s="95">
        <v>19800.82</v>
      </c>
      <c r="R1380" s="95">
        <v>0</v>
      </c>
      <c r="S1380" s="95">
        <v>19800.82</v>
      </c>
      <c r="U1380" s="106" t="str">
        <f>_xlfn.XLOOKUP(I1380,'[1]MAPA DE COTAÇÕES'!$D$12:$D$1058,'[1]MAPA DE COTAÇÕES'!$A$12:$A$1058,"")</f>
        <v/>
      </c>
    </row>
    <row r="1381" spans="1:21" ht="15" x14ac:dyDescent="0.25">
      <c r="A1381" s="90" t="s">
        <v>3573</v>
      </c>
      <c r="B1381" s="90" t="s">
        <v>3226</v>
      </c>
      <c r="C1381" s="98" t="s">
        <v>3574</v>
      </c>
      <c r="D1381" s="92" t="s">
        <v>3575</v>
      </c>
      <c r="E1381" s="90" t="s">
        <v>16</v>
      </c>
      <c r="F1381" s="99">
        <v>7</v>
      </c>
      <c r="G1381" s="94">
        <v>1475.4895999999999</v>
      </c>
      <c r="H1381" s="94">
        <v>0</v>
      </c>
      <c r="I1381" s="95">
        <v>1475.4895999999999</v>
      </c>
      <c r="J1381" s="95">
        <v>10328.43</v>
      </c>
      <c r="K1381" s="95">
        <v>0</v>
      </c>
      <c r="L1381" s="95">
        <v>10328.43</v>
      </c>
      <c r="M1381" s="96">
        <v>0.27529999999999999</v>
      </c>
      <c r="N1381" s="95">
        <v>1881.69</v>
      </c>
      <c r="O1381" s="95">
        <v>0</v>
      </c>
      <c r="P1381" s="95">
        <v>1881.69</v>
      </c>
      <c r="Q1381" s="95">
        <v>13171.83</v>
      </c>
      <c r="R1381" s="95">
        <v>0</v>
      </c>
      <c r="S1381" s="95">
        <v>13171.83</v>
      </c>
      <c r="U1381" s="106" t="str">
        <f>_xlfn.XLOOKUP(I1381,'[1]MAPA DE COTAÇÕES'!$D$12:$D$1058,'[1]MAPA DE COTAÇÕES'!$A$12:$A$1058,"")</f>
        <v/>
      </c>
    </row>
    <row r="1382" spans="1:21" ht="15" x14ac:dyDescent="0.25">
      <c r="A1382" s="90" t="s">
        <v>3576</v>
      </c>
      <c r="B1382" s="90" t="s">
        <v>3226</v>
      </c>
      <c r="C1382" s="98" t="s">
        <v>3577</v>
      </c>
      <c r="D1382" s="92" t="s">
        <v>3578</v>
      </c>
      <c r="E1382" s="90" t="s">
        <v>16</v>
      </c>
      <c r="F1382" s="99">
        <v>11</v>
      </c>
      <c r="G1382" s="94">
        <v>2160.7143999999998</v>
      </c>
      <c r="H1382" s="94">
        <v>0</v>
      </c>
      <c r="I1382" s="95">
        <v>2160.7143999999998</v>
      </c>
      <c r="J1382" s="95">
        <v>23767.86</v>
      </c>
      <c r="K1382" s="95">
        <v>0</v>
      </c>
      <c r="L1382" s="95">
        <v>23767.86</v>
      </c>
      <c r="M1382" s="96">
        <v>0.27529999999999999</v>
      </c>
      <c r="N1382" s="95">
        <v>2755.56</v>
      </c>
      <c r="O1382" s="95">
        <v>0</v>
      </c>
      <c r="P1382" s="95">
        <v>2755.56</v>
      </c>
      <c r="Q1382" s="95">
        <v>30311.16</v>
      </c>
      <c r="R1382" s="95">
        <v>0</v>
      </c>
      <c r="S1382" s="95">
        <v>30311.16</v>
      </c>
      <c r="U1382" s="106" t="str">
        <f>_xlfn.XLOOKUP(I1382,'[1]MAPA DE COTAÇÕES'!$D$12:$D$1058,'[1]MAPA DE COTAÇÕES'!$A$12:$A$1058,"")</f>
        <v/>
      </c>
    </row>
    <row r="1383" spans="1:21" ht="15" x14ac:dyDescent="0.25">
      <c r="A1383" s="90" t="s">
        <v>3579</v>
      </c>
      <c r="B1383" s="90" t="s">
        <v>3226</v>
      </c>
      <c r="C1383" s="98" t="s">
        <v>3580</v>
      </c>
      <c r="D1383" s="92" t="s">
        <v>3581</v>
      </c>
      <c r="E1383" s="90" t="s">
        <v>16</v>
      </c>
      <c r="F1383" s="99">
        <v>6</v>
      </c>
      <c r="G1383" s="94">
        <v>2543.3616000000002</v>
      </c>
      <c r="H1383" s="94">
        <v>0</v>
      </c>
      <c r="I1383" s="95">
        <v>2543.3616000000002</v>
      </c>
      <c r="J1383" s="95">
        <v>15260.17</v>
      </c>
      <c r="K1383" s="95">
        <v>0</v>
      </c>
      <c r="L1383" s="95">
        <v>15260.17</v>
      </c>
      <c r="M1383" s="96">
        <v>0.27529999999999999</v>
      </c>
      <c r="N1383" s="95">
        <v>3243.55</v>
      </c>
      <c r="O1383" s="95">
        <v>0</v>
      </c>
      <c r="P1383" s="95">
        <v>3243.55</v>
      </c>
      <c r="Q1383" s="95">
        <v>19461.3</v>
      </c>
      <c r="R1383" s="95">
        <v>0</v>
      </c>
      <c r="S1383" s="95">
        <v>19461.3</v>
      </c>
      <c r="U1383" s="106" t="str">
        <f>_xlfn.XLOOKUP(I1383,'[1]MAPA DE COTAÇÕES'!$D$12:$D$1058,'[1]MAPA DE COTAÇÕES'!$A$12:$A$1058,"")</f>
        <v/>
      </c>
    </row>
    <row r="1384" spans="1:21" ht="15" x14ac:dyDescent="0.25">
      <c r="A1384" s="90" t="s">
        <v>3582</v>
      </c>
      <c r="B1384" s="90" t="s">
        <v>3226</v>
      </c>
      <c r="C1384" s="98" t="s">
        <v>3583</v>
      </c>
      <c r="D1384" s="92" t="s">
        <v>3584</v>
      </c>
      <c r="E1384" s="90" t="s">
        <v>16</v>
      </c>
      <c r="F1384" s="99">
        <v>4</v>
      </c>
      <c r="G1384" s="94">
        <v>3008.0544</v>
      </c>
      <c r="H1384" s="94">
        <v>0</v>
      </c>
      <c r="I1384" s="95">
        <v>3008.0544</v>
      </c>
      <c r="J1384" s="95">
        <v>12032.22</v>
      </c>
      <c r="K1384" s="95">
        <v>0</v>
      </c>
      <c r="L1384" s="95">
        <v>12032.22</v>
      </c>
      <c r="M1384" s="96">
        <v>0.27529999999999999</v>
      </c>
      <c r="N1384" s="95">
        <v>3836.17</v>
      </c>
      <c r="O1384" s="95">
        <v>0</v>
      </c>
      <c r="P1384" s="95">
        <v>3836.17</v>
      </c>
      <c r="Q1384" s="95">
        <v>15344.68</v>
      </c>
      <c r="R1384" s="95">
        <v>0</v>
      </c>
      <c r="S1384" s="95">
        <v>15344.68</v>
      </c>
      <c r="U1384" s="106" t="str">
        <f>_xlfn.XLOOKUP(I1384,'[1]MAPA DE COTAÇÕES'!$D$12:$D$1058,'[1]MAPA DE COTAÇÕES'!$A$12:$A$1058,"")</f>
        <v/>
      </c>
    </row>
    <row r="1385" spans="1:21" ht="15" x14ac:dyDescent="0.25">
      <c r="A1385" s="90" t="s">
        <v>3585</v>
      </c>
      <c r="B1385" s="90" t="s">
        <v>3226</v>
      </c>
      <c r="C1385" s="98" t="s">
        <v>3586</v>
      </c>
      <c r="D1385" s="92" t="s">
        <v>3587</v>
      </c>
      <c r="E1385" s="90" t="s">
        <v>16</v>
      </c>
      <c r="F1385" s="99">
        <v>2</v>
      </c>
      <c r="G1385" s="94">
        <v>4992.7903999999999</v>
      </c>
      <c r="H1385" s="94">
        <v>0</v>
      </c>
      <c r="I1385" s="95">
        <v>4992.7903999999999</v>
      </c>
      <c r="J1385" s="95">
        <v>9985.58</v>
      </c>
      <c r="K1385" s="95">
        <v>0</v>
      </c>
      <c r="L1385" s="95">
        <v>9985.58</v>
      </c>
      <c r="M1385" s="96">
        <v>0.27529999999999999</v>
      </c>
      <c r="N1385" s="95">
        <v>6367.31</v>
      </c>
      <c r="O1385" s="95">
        <v>0</v>
      </c>
      <c r="P1385" s="95">
        <v>6367.31</v>
      </c>
      <c r="Q1385" s="95">
        <v>12734.62</v>
      </c>
      <c r="R1385" s="95">
        <v>0</v>
      </c>
      <c r="S1385" s="95">
        <v>12734.62</v>
      </c>
      <c r="U1385" s="106" t="str">
        <f>_xlfn.XLOOKUP(I1385,'[1]MAPA DE COTAÇÕES'!$D$12:$D$1058,'[1]MAPA DE COTAÇÕES'!$A$12:$A$1058,"")</f>
        <v/>
      </c>
    </row>
    <row r="1386" spans="1:21" ht="15" x14ac:dyDescent="0.25">
      <c r="A1386" s="90" t="s">
        <v>3588</v>
      </c>
      <c r="B1386" s="90" t="s">
        <v>3290</v>
      </c>
      <c r="C1386" s="98" t="s">
        <v>3589</v>
      </c>
      <c r="D1386" s="92" t="s">
        <v>3590</v>
      </c>
      <c r="E1386" s="90" t="s">
        <v>16</v>
      </c>
      <c r="F1386" s="99">
        <v>70</v>
      </c>
      <c r="G1386" s="94">
        <v>96.71</v>
      </c>
      <c r="H1386" s="94">
        <v>25.48</v>
      </c>
      <c r="I1386" s="95">
        <v>122.19</v>
      </c>
      <c r="J1386" s="95">
        <v>6769.7</v>
      </c>
      <c r="K1386" s="95">
        <v>1783.6</v>
      </c>
      <c r="L1386" s="95">
        <v>8553.2999999999993</v>
      </c>
      <c r="M1386" s="96">
        <v>0.27529999999999999</v>
      </c>
      <c r="N1386" s="95">
        <v>123.33</v>
      </c>
      <c r="O1386" s="95">
        <v>32.49</v>
      </c>
      <c r="P1386" s="95">
        <v>155.82</v>
      </c>
      <c r="Q1386" s="95">
        <v>8633.1</v>
      </c>
      <c r="R1386" s="95">
        <v>2274.3000000000002</v>
      </c>
      <c r="S1386" s="95">
        <v>10907.400000000001</v>
      </c>
      <c r="U1386" s="106" t="str">
        <f>_xlfn.XLOOKUP(I1386,'[1]MAPA DE COTAÇÕES'!$D$12:$D$1058,'[1]MAPA DE COTAÇÕES'!$A$12:$A$1058,"")</f>
        <v/>
      </c>
    </row>
    <row r="1387" spans="1:21" ht="15" x14ac:dyDescent="0.25">
      <c r="A1387" s="90" t="s">
        <v>3591</v>
      </c>
      <c r="B1387" s="90" t="s">
        <v>184</v>
      </c>
      <c r="C1387" s="98">
        <v>3069</v>
      </c>
      <c r="D1387" s="92" t="s">
        <v>3592</v>
      </c>
      <c r="E1387" s="90" t="s">
        <v>249</v>
      </c>
      <c r="F1387" s="99">
        <v>600</v>
      </c>
      <c r="G1387" s="94">
        <v>57.92</v>
      </c>
      <c r="H1387" s="94">
        <v>0</v>
      </c>
      <c r="I1387" s="95">
        <v>57.92</v>
      </c>
      <c r="J1387" s="95">
        <v>34752</v>
      </c>
      <c r="K1387" s="95">
        <v>0</v>
      </c>
      <c r="L1387" s="95">
        <v>34752</v>
      </c>
      <c r="M1387" s="96">
        <v>0.27529999999999999</v>
      </c>
      <c r="N1387" s="95">
        <v>73.87</v>
      </c>
      <c r="O1387" s="95">
        <v>0</v>
      </c>
      <c r="P1387" s="95">
        <v>73.87</v>
      </c>
      <c r="Q1387" s="95">
        <v>44322</v>
      </c>
      <c r="R1387" s="95">
        <v>0</v>
      </c>
      <c r="S1387" s="95">
        <v>44322</v>
      </c>
      <c r="U1387" s="106" t="str">
        <f>_xlfn.XLOOKUP(I1387,'[1]MAPA DE COTAÇÕES'!$D$12:$D$1058,'[1]MAPA DE COTAÇÕES'!$A$12:$A$1058,"")</f>
        <v/>
      </c>
    </row>
    <row r="1388" spans="1:21" ht="15" x14ac:dyDescent="0.25">
      <c r="A1388" s="90" t="s">
        <v>3593</v>
      </c>
      <c r="B1388" s="90" t="s">
        <v>3290</v>
      </c>
      <c r="C1388" s="98" t="s">
        <v>3594</v>
      </c>
      <c r="D1388" s="92" t="s">
        <v>3595</v>
      </c>
      <c r="E1388" s="90" t="s">
        <v>16</v>
      </c>
      <c r="F1388" s="99">
        <v>8</v>
      </c>
      <c r="G1388" s="94">
        <v>37501.893199999999</v>
      </c>
      <c r="H1388" s="94">
        <v>0</v>
      </c>
      <c r="I1388" s="95">
        <v>37501.893199999999</v>
      </c>
      <c r="J1388" s="95">
        <v>300015.15000000002</v>
      </c>
      <c r="K1388" s="95">
        <v>0</v>
      </c>
      <c r="L1388" s="95">
        <v>300015.15000000002</v>
      </c>
      <c r="M1388" s="96">
        <v>0.27529999999999999</v>
      </c>
      <c r="N1388" s="95">
        <v>47826.16</v>
      </c>
      <c r="O1388" s="95">
        <v>0</v>
      </c>
      <c r="P1388" s="95">
        <v>47826.16</v>
      </c>
      <c r="Q1388" s="95">
        <v>382609.28</v>
      </c>
      <c r="R1388" s="95">
        <v>0</v>
      </c>
      <c r="S1388" s="95">
        <v>382609.28</v>
      </c>
      <c r="U1388" s="106" t="str">
        <f>_xlfn.XLOOKUP(I1388,'[1]MAPA DE COTAÇÕES'!$D$12:$D$1058,'[1]MAPA DE COTAÇÕES'!$A$12:$A$1058,"")</f>
        <v/>
      </c>
    </row>
    <row r="1389" spans="1:21" ht="15" x14ac:dyDescent="0.25">
      <c r="A1389" s="90" t="s">
        <v>3596</v>
      </c>
      <c r="B1389" s="90" t="s">
        <v>3290</v>
      </c>
      <c r="C1389" s="98" t="s">
        <v>3597</v>
      </c>
      <c r="D1389" s="92" t="s">
        <v>3598</v>
      </c>
      <c r="E1389" s="90" t="s">
        <v>16</v>
      </c>
      <c r="F1389" s="99">
        <v>2</v>
      </c>
      <c r="G1389" s="94">
        <v>49089.789599999996</v>
      </c>
      <c r="H1389" s="94">
        <v>0</v>
      </c>
      <c r="I1389" s="95">
        <v>49089.789599999996</v>
      </c>
      <c r="J1389" s="95">
        <v>98179.58</v>
      </c>
      <c r="K1389" s="95">
        <v>0</v>
      </c>
      <c r="L1389" s="95">
        <v>98179.58</v>
      </c>
      <c r="M1389" s="96">
        <v>0.27529999999999999</v>
      </c>
      <c r="N1389" s="95">
        <v>62604.21</v>
      </c>
      <c r="O1389" s="95">
        <v>0</v>
      </c>
      <c r="P1389" s="95">
        <v>62604.21</v>
      </c>
      <c r="Q1389" s="95">
        <v>125208.42</v>
      </c>
      <c r="R1389" s="95">
        <v>0</v>
      </c>
      <c r="S1389" s="95">
        <v>125208.42</v>
      </c>
      <c r="U1389" s="106" t="str">
        <f>_xlfn.XLOOKUP(I1389,'[1]MAPA DE COTAÇÕES'!$D$12:$D$1058,'[1]MAPA DE COTAÇÕES'!$A$12:$A$1058,"")</f>
        <v/>
      </c>
    </row>
    <row r="1390" spans="1:21" ht="15" x14ac:dyDescent="0.25">
      <c r="A1390" s="90" t="s">
        <v>3599</v>
      </c>
      <c r="B1390" s="90" t="s">
        <v>3290</v>
      </c>
      <c r="C1390" s="98" t="s">
        <v>3600</v>
      </c>
      <c r="D1390" s="92" t="s">
        <v>3601</v>
      </c>
      <c r="E1390" s="90" t="s">
        <v>16</v>
      </c>
      <c r="F1390" s="99">
        <v>4</v>
      </c>
      <c r="G1390" s="94">
        <v>38918.906800000004</v>
      </c>
      <c r="H1390" s="94">
        <v>0</v>
      </c>
      <c r="I1390" s="95">
        <v>38918.906800000004</v>
      </c>
      <c r="J1390" s="95">
        <v>155675.63</v>
      </c>
      <c r="K1390" s="95">
        <v>0</v>
      </c>
      <c r="L1390" s="95">
        <v>155675.63</v>
      </c>
      <c r="M1390" s="96">
        <v>0.27529999999999999</v>
      </c>
      <c r="N1390" s="95">
        <v>49633.279999999999</v>
      </c>
      <c r="O1390" s="95">
        <v>0</v>
      </c>
      <c r="P1390" s="95">
        <v>49633.279999999999</v>
      </c>
      <c r="Q1390" s="95">
        <v>198533.12</v>
      </c>
      <c r="R1390" s="95">
        <v>0</v>
      </c>
      <c r="S1390" s="95">
        <v>198533.12</v>
      </c>
      <c r="U1390" s="106" t="str">
        <f>_xlfn.XLOOKUP(I1390,'[1]MAPA DE COTAÇÕES'!$D$12:$D$1058,'[1]MAPA DE COTAÇÕES'!$A$12:$A$1058,"")</f>
        <v/>
      </c>
    </row>
    <row r="1391" spans="1:21" ht="15" x14ac:dyDescent="0.25">
      <c r="A1391" s="90" t="s">
        <v>3602</v>
      </c>
      <c r="B1391" s="90" t="s">
        <v>3290</v>
      </c>
      <c r="C1391" s="98" t="s">
        <v>3603</v>
      </c>
      <c r="D1391" s="92" t="s">
        <v>3604</v>
      </c>
      <c r="E1391" s="90" t="s">
        <v>16</v>
      </c>
      <c r="F1391" s="99">
        <v>324</v>
      </c>
      <c r="G1391" s="94">
        <v>1879.1935999999998</v>
      </c>
      <c r="H1391" s="94">
        <v>0</v>
      </c>
      <c r="I1391" s="95">
        <v>1879.1935999999998</v>
      </c>
      <c r="J1391" s="95">
        <v>608858.73</v>
      </c>
      <c r="K1391" s="95">
        <v>0</v>
      </c>
      <c r="L1391" s="95">
        <v>608858.73</v>
      </c>
      <c r="M1391" s="96">
        <v>0.27529999999999999</v>
      </c>
      <c r="N1391" s="95">
        <v>2396.54</v>
      </c>
      <c r="O1391" s="95">
        <v>0</v>
      </c>
      <c r="P1391" s="95">
        <v>2396.54</v>
      </c>
      <c r="Q1391" s="95">
        <v>776478.96</v>
      </c>
      <c r="R1391" s="95">
        <v>0</v>
      </c>
      <c r="S1391" s="95">
        <v>776478.96</v>
      </c>
      <c r="U1391" s="106" t="str">
        <f>_xlfn.XLOOKUP(I1391,'[1]MAPA DE COTAÇÕES'!$D$12:$D$1058,'[1]MAPA DE COTAÇÕES'!$A$12:$A$1058,"")</f>
        <v/>
      </c>
    </row>
    <row r="1392" spans="1:21" ht="15" x14ac:dyDescent="0.25">
      <c r="A1392" s="90" t="s">
        <v>3605</v>
      </c>
      <c r="B1392" s="90" t="s">
        <v>3290</v>
      </c>
      <c r="C1392" s="98" t="s">
        <v>3606</v>
      </c>
      <c r="D1392" s="92" t="s">
        <v>3607</v>
      </c>
      <c r="E1392" s="90" t="s">
        <v>16</v>
      </c>
      <c r="F1392" s="99">
        <v>30</v>
      </c>
      <c r="G1392" s="94">
        <v>7145.2723999999998</v>
      </c>
      <c r="H1392" s="94">
        <v>0</v>
      </c>
      <c r="I1392" s="95">
        <v>7145.2723999999998</v>
      </c>
      <c r="J1392" s="95">
        <v>214358.17</v>
      </c>
      <c r="K1392" s="95">
        <v>0</v>
      </c>
      <c r="L1392" s="95">
        <v>214358.17</v>
      </c>
      <c r="M1392" s="96">
        <v>0.27529999999999999</v>
      </c>
      <c r="N1392" s="95">
        <v>9112.3700000000008</v>
      </c>
      <c r="O1392" s="95">
        <v>0</v>
      </c>
      <c r="P1392" s="95">
        <v>9112.3700000000008</v>
      </c>
      <c r="Q1392" s="95">
        <v>273371.09999999998</v>
      </c>
      <c r="R1392" s="95">
        <v>0</v>
      </c>
      <c r="S1392" s="95">
        <v>273371.09999999998</v>
      </c>
      <c r="U1392" s="106" t="str">
        <f>_xlfn.XLOOKUP(I1392,'[1]MAPA DE COTAÇÕES'!$D$12:$D$1058,'[1]MAPA DE COTAÇÕES'!$A$12:$A$1058,"")</f>
        <v/>
      </c>
    </row>
    <row r="1393" spans="1:21" ht="15" x14ac:dyDescent="0.25">
      <c r="A1393" s="90" t="s">
        <v>3608</v>
      </c>
      <c r="B1393" s="90" t="s">
        <v>3290</v>
      </c>
      <c r="C1393" s="98" t="s">
        <v>3609</v>
      </c>
      <c r="D1393" s="92" t="s">
        <v>3610</v>
      </c>
      <c r="E1393" s="90" t="s">
        <v>16</v>
      </c>
      <c r="F1393" s="99">
        <v>16</v>
      </c>
      <c r="G1393" s="94">
        <v>13636.351199999997</v>
      </c>
      <c r="H1393" s="94">
        <v>0</v>
      </c>
      <c r="I1393" s="95">
        <v>13636.351199999997</v>
      </c>
      <c r="J1393" s="95">
        <v>218181.62</v>
      </c>
      <c r="K1393" s="95">
        <v>0</v>
      </c>
      <c r="L1393" s="95">
        <v>218181.62</v>
      </c>
      <c r="M1393" s="96">
        <v>0.27529999999999999</v>
      </c>
      <c r="N1393" s="95">
        <v>17390.439999999999</v>
      </c>
      <c r="O1393" s="95">
        <v>0</v>
      </c>
      <c r="P1393" s="95">
        <v>17390.439999999999</v>
      </c>
      <c r="Q1393" s="95">
        <v>278247.03999999998</v>
      </c>
      <c r="R1393" s="95">
        <v>0</v>
      </c>
      <c r="S1393" s="95">
        <v>278247.03999999998</v>
      </c>
      <c r="U1393" s="106" t="str">
        <f>_xlfn.XLOOKUP(I1393,'[1]MAPA DE COTAÇÕES'!$D$12:$D$1058,'[1]MAPA DE COTAÇÕES'!$A$12:$A$1058,"")</f>
        <v/>
      </c>
    </row>
    <row r="1394" spans="1:21" ht="15" x14ac:dyDescent="0.25">
      <c r="A1394" s="90" t="s">
        <v>3611</v>
      </c>
      <c r="B1394" s="90" t="s">
        <v>3290</v>
      </c>
      <c r="C1394" s="98" t="s">
        <v>3612</v>
      </c>
      <c r="D1394" s="92" t="s">
        <v>3613</v>
      </c>
      <c r="E1394" s="90" t="s">
        <v>16</v>
      </c>
      <c r="F1394" s="99">
        <v>12</v>
      </c>
      <c r="G1394" s="94">
        <v>15194.4656</v>
      </c>
      <c r="H1394" s="94">
        <v>0</v>
      </c>
      <c r="I1394" s="95">
        <v>15194.4656</v>
      </c>
      <c r="J1394" s="95">
        <v>182333.59</v>
      </c>
      <c r="K1394" s="95">
        <v>0</v>
      </c>
      <c r="L1394" s="95">
        <v>182333.59</v>
      </c>
      <c r="M1394" s="96">
        <v>0.27529999999999999</v>
      </c>
      <c r="N1394" s="95">
        <v>19377.5</v>
      </c>
      <c r="O1394" s="95">
        <v>0</v>
      </c>
      <c r="P1394" s="95">
        <v>19377.5</v>
      </c>
      <c r="Q1394" s="95">
        <v>232530</v>
      </c>
      <c r="R1394" s="95">
        <v>0</v>
      </c>
      <c r="S1394" s="95">
        <v>232530</v>
      </c>
      <c r="U1394" s="106" t="str">
        <f>_xlfn.XLOOKUP(I1394,'[1]MAPA DE COTAÇÕES'!$D$12:$D$1058,'[1]MAPA DE COTAÇÕES'!$A$12:$A$1058,"")</f>
        <v/>
      </c>
    </row>
    <row r="1395" spans="1:21" ht="15" x14ac:dyDescent="0.25">
      <c r="A1395" s="90" t="s">
        <v>3614</v>
      </c>
      <c r="B1395" s="90" t="s">
        <v>3290</v>
      </c>
      <c r="C1395" s="98" t="s">
        <v>3615</v>
      </c>
      <c r="D1395" s="92" t="s">
        <v>3616</v>
      </c>
      <c r="E1395" s="90" t="s">
        <v>16</v>
      </c>
      <c r="F1395" s="99">
        <v>9</v>
      </c>
      <c r="G1395" s="94">
        <v>34553.712800000001</v>
      </c>
      <c r="H1395" s="94">
        <v>0</v>
      </c>
      <c r="I1395" s="95">
        <v>34553.712800000001</v>
      </c>
      <c r="J1395" s="95">
        <v>310983.42</v>
      </c>
      <c r="K1395" s="95">
        <v>0</v>
      </c>
      <c r="L1395" s="95">
        <v>310983.42</v>
      </c>
      <c r="M1395" s="96">
        <v>0.27529999999999999</v>
      </c>
      <c r="N1395" s="95">
        <v>44066.35</v>
      </c>
      <c r="O1395" s="95">
        <v>0</v>
      </c>
      <c r="P1395" s="95">
        <v>44066.35</v>
      </c>
      <c r="Q1395" s="95">
        <v>396597.15</v>
      </c>
      <c r="R1395" s="95">
        <v>0</v>
      </c>
      <c r="S1395" s="95">
        <v>396597.15</v>
      </c>
      <c r="U1395" s="106" t="str">
        <f>_xlfn.XLOOKUP(I1395,'[1]MAPA DE COTAÇÕES'!$D$12:$D$1058,'[1]MAPA DE COTAÇÕES'!$A$12:$A$1058,"")</f>
        <v/>
      </c>
    </row>
    <row r="1396" spans="1:21" ht="15" x14ac:dyDescent="0.25">
      <c r="A1396" s="90" t="s">
        <v>3617</v>
      </c>
      <c r="B1396" s="90" t="s">
        <v>3290</v>
      </c>
      <c r="C1396" s="98" t="s">
        <v>3618</v>
      </c>
      <c r="D1396" s="92" t="s">
        <v>3619</v>
      </c>
      <c r="E1396" s="90" t="s">
        <v>16</v>
      </c>
      <c r="F1396" s="99">
        <v>1</v>
      </c>
      <c r="G1396" s="94">
        <v>163350</v>
      </c>
      <c r="H1396" s="94">
        <v>603990</v>
      </c>
      <c r="I1396" s="95">
        <v>767340</v>
      </c>
      <c r="J1396" s="95">
        <v>163350</v>
      </c>
      <c r="K1396" s="95">
        <v>603990</v>
      </c>
      <c r="L1396" s="95">
        <v>767340</v>
      </c>
      <c r="M1396" s="96">
        <v>0.27529999999999999</v>
      </c>
      <c r="N1396" s="95">
        <v>208320.26</v>
      </c>
      <c r="O1396" s="95">
        <v>770268.45</v>
      </c>
      <c r="P1396" s="95">
        <v>978588.71</v>
      </c>
      <c r="Q1396" s="95">
        <v>208320.26</v>
      </c>
      <c r="R1396" s="95">
        <v>770268.45</v>
      </c>
      <c r="S1396" s="95">
        <v>978588.71</v>
      </c>
      <c r="U1396" s="106" t="str">
        <f>_xlfn.XLOOKUP(I1396,'[1]MAPA DE COTAÇÕES'!$D$12:$D$1058,'[1]MAPA DE COTAÇÕES'!$A$12:$A$1058,"")</f>
        <v/>
      </c>
    </row>
    <row r="1397" spans="1:21" ht="15" x14ac:dyDescent="0.25">
      <c r="A1397" s="90" t="s">
        <v>3620</v>
      </c>
      <c r="B1397" s="90"/>
      <c r="C1397" s="98"/>
      <c r="D1397" s="92" t="s">
        <v>3621</v>
      </c>
      <c r="E1397" s="90"/>
      <c r="F1397" s="99"/>
      <c r="G1397" s="94"/>
      <c r="H1397" s="94"/>
      <c r="I1397" s="95"/>
      <c r="J1397" s="95"/>
      <c r="K1397" s="95"/>
      <c r="L1397" s="95"/>
      <c r="M1397" s="96"/>
      <c r="N1397" s="95"/>
      <c r="O1397" s="95"/>
      <c r="P1397" s="95"/>
      <c r="Q1397" s="95"/>
      <c r="R1397" s="95"/>
      <c r="S1397" s="95"/>
      <c r="U1397" s="106">
        <f>_xlfn.XLOOKUP(I1397,'[1]MAPA DE COTAÇÕES'!$D$12:$D$1058,'[1]MAPA DE COTAÇÕES'!$A$12:$A$1058,"")</f>
        <v>0</v>
      </c>
    </row>
    <row r="1398" spans="1:21" ht="15" x14ac:dyDescent="0.25">
      <c r="A1398" s="90" t="s">
        <v>3622</v>
      </c>
      <c r="B1398" s="90" t="s">
        <v>3290</v>
      </c>
      <c r="C1398" s="98" t="s">
        <v>3623</v>
      </c>
      <c r="D1398" s="92" t="s">
        <v>3624</v>
      </c>
      <c r="E1398" s="90" t="s">
        <v>93</v>
      </c>
      <c r="F1398" s="99">
        <v>830</v>
      </c>
      <c r="G1398" s="94">
        <v>77.06</v>
      </c>
      <c r="H1398" s="94">
        <v>13.04</v>
      </c>
      <c r="I1398" s="95">
        <v>90.1</v>
      </c>
      <c r="J1398" s="95">
        <v>63959.8</v>
      </c>
      <c r="K1398" s="95">
        <v>10823.2</v>
      </c>
      <c r="L1398" s="95">
        <v>74783</v>
      </c>
      <c r="M1398" s="96">
        <v>0.27529999999999999</v>
      </c>
      <c r="N1398" s="95">
        <v>98.27</v>
      </c>
      <c r="O1398" s="95">
        <v>16.63</v>
      </c>
      <c r="P1398" s="95">
        <v>114.89999999999999</v>
      </c>
      <c r="Q1398" s="95">
        <v>81564.100000000006</v>
      </c>
      <c r="R1398" s="95">
        <v>13802.9</v>
      </c>
      <c r="S1398" s="95">
        <v>95367</v>
      </c>
      <c r="U1398" s="106" t="str">
        <f>_xlfn.XLOOKUP(I1398,'[1]MAPA DE COTAÇÕES'!$D$12:$D$1058,'[1]MAPA DE COTAÇÕES'!$A$12:$A$1058,"")</f>
        <v/>
      </c>
    </row>
    <row r="1399" spans="1:21" ht="15" x14ac:dyDescent="0.25">
      <c r="A1399" s="90" t="s">
        <v>3625</v>
      </c>
      <c r="B1399" s="90" t="s">
        <v>31</v>
      </c>
      <c r="C1399" s="98">
        <v>91838</v>
      </c>
      <c r="D1399" s="92" t="s">
        <v>3626</v>
      </c>
      <c r="E1399" s="90" t="s">
        <v>93</v>
      </c>
      <c r="F1399" s="99">
        <v>12</v>
      </c>
      <c r="G1399" s="94">
        <v>6.97</v>
      </c>
      <c r="H1399" s="94">
        <v>9.31</v>
      </c>
      <c r="I1399" s="95">
        <v>16.28</v>
      </c>
      <c r="J1399" s="95">
        <v>83.64</v>
      </c>
      <c r="K1399" s="95">
        <v>111.72</v>
      </c>
      <c r="L1399" s="95">
        <v>195.36</v>
      </c>
      <c r="M1399" s="96">
        <v>0.27529999999999999</v>
      </c>
      <c r="N1399" s="95">
        <v>8.89</v>
      </c>
      <c r="O1399" s="95">
        <v>11.87</v>
      </c>
      <c r="P1399" s="95">
        <v>20.759999999999998</v>
      </c>
      <c r="Q1399" s="95">
        <v>106.68</v>
      </c>
      <c r="R1399" s="95">
        <v>142.44</v>
      </c>
      <c r="S1399" s="95">
        <v>249.12</v>
      </c>
      <c r="U1399" s="106" t="str">
        <f>_xlfn.XLOOKUP(I1399,'[1]MAPA DE COTAÇÕES'!$D$12:$D$1058,'[1]MAPA DE COTAÇÕES'!$A$12:$A$1058,"")</f>
        <v/>
      </c>
    </row>
    <row r="1400" spans="1:21" ht="15" x14ac:dyDescent="0.25">
      <c r="A1400" s="90" t="s">
        <v>3627</v>
      </c>
      <c r="B1400" s="90" t="s">
        <v>31</v>
      </c>
      <c r="C1400" s="98">
        <v>91831</v>
      </c>
      <c r="D1400" s="92" t="s">
        <v>3628</v>
      </c>
      <c r="E1400" s="90" t="s">
        <v>93</v>
      </c>
      <c r="F1400" s="99">
        <v>370</v>
      </c>
      <c r="G1400" s="94">
        <v>19.78</v>
      </c>
      <c r="H1400" s="94">
        <v>9.35</v>
      </c>
      <c r="I1400" s="95">
        <v>29.130000000000003</v>
      </c>
      <c r="J1400" s="95">
        <v>7318.6</v>
      </c>
      <c r="K1400" s="95">
        <v>3459.5</v>
      </c>
      <c r="L1400" s="95">
        <v>10778.1</v>
      </c>
      <c r="M1400" s="96">
        <v>0.27529999999999999</v>
      </c>
      <c r="N1400" s="95">
        <v>25.23</v>
      </c>
      <c r="O1400" s="95">
        <v>11.92</v>
      </c>
      <c r="P1400" s="95">
        <v>37.15</v>
      </c>
      <c r="Q1400" s="95">
        <v>9335.1</v>
      </c>
      <c r="R1400" s="95">
        <v>4410.3999999999996</v>
      </c>
      <c r="S1400" s="95">
        <v>13745.5</v>
      </c>
      <c r="U1400" s="106" t="str">
        <f>_xlfn.XLOOKUP(I1400,'[1]MAPA DE COTAÇÕES'!$D$12:$D$1058,'[1]MAPA DE COTAÇÕES'!$A$12:$A$1058,"")</f>
        <v/>
      </c>
    </row>
    <row r="1401" spans="1:21" ht="15" x14ac:dyDescent="0.25">
      <c r="A1401" s="90" t="s">
        <v>3629</v>
      </c>
      <c r="B1401" s="90" t="s">
        <v>3290</v>
      </c>
      <c r="C1401" s="98" t="s">
        <v>3630</v>
      </c>
      <c r="D1401" s="92" t="s">
        <v>3631</v>
      </c>
      <c r="E1401" s="90" t="s">
        <v>93</v>
      </c>
      <c r="F1401" s="99">
        <v>1801</v>
      </c>
      <c r="G1401" s="94">
        <v>130.93</v>
      </c>
      <c r="H1401" s="94">
        <v>13.04</v>
      </c>
      <c r="I1401" s="95">
        <v>143.97</v>
      </c>
      <c r="J1401" s="95">
        <v>235804.93</v>
      </c>
      <c r="K1401" s="95">
        <v>23485.040000000001</v>
      </c>
      <c r="L1401" s="95">
        <v>259289.97</v>
      </c>
      <c r="M1401" s="96">
        <v>0.27529999999999999</v>
      </c>
      <c r="N1401" s="95">
        <v>166.98</v>
      </c>
      <c r="O1401" s="95">
        <v>16.63</v>
      </c>
      <c r="P1401" s="95">
        <v>183.60999999999999</v>
      </c>
      <c r="Q1401" s="95">
        <v>300730.98</v>
      </c>
      <c r="R1401" s="95">
        <v>29950.63</v>
      </c>
      <c r="S1401" s="95">
        <v>330681.61</v>
      </c>
      <c r="U1401" s="106" t="str">
        <f>_xlfn.XLOOKUP(I1401,'[1]MAPA DE COTAÇÕES'!$D$12:$D$1058,'[1]MAPA DE COTAÇÕES'!$A$12:$A$1058,"")</f>
        <v/>
      </c>
    </row>
    <row r="1402" spans="1:21" ht="15" x14ac:dyDescent="0.25">
      <c r="A1402" s="90" t="s">
        <v>3632</v>
      </c>
      <c r="B1402" s="90" t="s">
        <v>31</v>
      </c>
      <c r="C1402" s="98">
        <v>91840</v>
      </c>
      <c r="D1402" s="92" t="s">
        <v>3633</v>
      </c>
      <c r="E1402" s="90" t="s">
        <v>93</v>
      </c>
      <c r="F1402" s="99">
        <v>131</v>
      </c>
      <c r="G1402" s="94">
        <v>13.64</v>
      </c>
      <c r="H1402" s="94">
        <v>9.99</v>
      </c>
      <c r="I1402" s="95">
        <v>23.630000000000003</v>
      </c>
      <c r="J1402" s="95">
        <v>1786.84</v>
      </c>
      <c r="K1402" s="95">
        <v>1308.69</v>
      </c>
      <c r="L1402" s="95">
        <v>3095.5299999999997</v>
      </c>
      <c r="M1402" s="96">
        <v>0.27529999999999999</v>
      </c>
      <c r="N1402" s="95">
        <v>17.399999999999999</v>
      </c>
      <c r="O1402" s="95">
        <v>12.74</v>
      </c>
      <c r="P1402" s="95">
        <v>30.14</v>
      </c>
      <c r="Q1402" s="95">
        <v>2279.4</v>
      </c>
      <c r="R1402" s="95">
        <v>1668.94</v>
      </c>
      <c r="S1402" s="95">
        <v>3948.34</v>
      </c>
      <c r="U1402" s="106" t="str">
        <f>_xlfn.XLOOKUP(I1402,'[1]MAPA DE COTAÇÕES'!$D$12:$D$1058,'[1]MAPA DE COTAÇÕES'!$A$12:$A$1058,"")</f>
        <v/>
      </c>
    </row>
    <row r="1403" spans="1:21" ht="15" x14ac:dyDescent="0.25">
      <c r="A1403" s="90" t="s">
        <v>3634</v>
      </c>
      <c r="B1403" s="90" t="s">
        <v>3290</v>
      </c>
      <c r="C1403" s="98" t="s">
        <v>3635</v>
      </c>
      <c r="D1403" s="92" t="s">
        <v>3636</v>
      </c>
      <c r="E1403" s="90" t="s">
        <v>93</v>
      </c>
      <c r="F1403" s="99">
        <v>3100</v>
      </c>
      <c r="G1403" s="94">
        <v>9.58</v>
      </c>
      <c r="H1403" s="94">
        <v>3.85</v>
      </c>
      <c r="I1403" s="95">
        <v>13.43</v>
      </c>
      <c r="J1403" s="95">
        <v>29698</v>
      </c>
      <c r="K1403" s="95">
        <v>11935</v>
      </c>
      <c r="L1403" s="95">
        <v>41633</v>
      </c>
      <c r="M1403" s="96">
        <v>0.27529999999999999</v>
      </c>
      <c r="N1403" s="95">
        <v>12.22</v>
      </c>
      <c r="O1403" s="95">
        <v>4.91</v>
      </c>
      <c r="P1403" s="95">
        <v>17.130000000000003</v>
      </c>
      <c r="Q1403" s="95">
        <v>37882</v>
      </c>
      <c r="R1403" s="95">
        <v>15221</v>
      </c>
      <c r="S1403" s="95">
        <v>53103</v>
      </c>
      <c r="U1403" s="106" t="str">
        <f>_xlfn.XLOOKUP(I1403,'[1]MAPA DE COTAÇÕES'!$D$12:$D$1058,'[1]MAPA DE COTAÇÕES'!$A$12:$A$1058,"")</f>
        <v/>
      </c>
    </row>
    <row r="1404" spans="1:21" ht="15" x14ac:dyDescent="0.25">
      <c r="A1404" s="90" t="s">
        <v>3637</v>
      </c>
      <c r="B1404" s="90" t="s">
        <v>31</v>
      </c>
      <c r="C1404" s="98">
        <v>97667</v>
      </c>
      <c r="D1404" s="92" t="s">
        <v>3638</v>
      </c>
      <c r="E1404" s="90" t="s">
        <v>93</v>
      </c>
      <c r="F1404" s="99">
        <v>3</v>
      </c>
      <c r="G1404" s="94">
        <v>8.2200000000000006</v>
      </c>
      <c r="H1404" s="94">
        <v>2.56</v>
      </c>
      <c r="I1404" s="95">
        <v>10.780000000000001</v>
      </c>
      <c r="J1404" s="95">
        <v>24.66</v>
      </c>
      <c r="K1404" s="95">
        <v>7.68</v>
      </c>
      <c r="L1404" s="95">
        <v>32.340000000000003</v>
      </c>
      <c r="M1404" s="96">
        <v>0.27529999999999999</v>
      </c>
      <c r="N1404" s="95">
        <v>10.48</v>
      </c>
      <c r="O1404" s="95">
        <v>3.26</v>
      </c>
      <c r="P1404" s="95">
        <v>13.74</v>
      </c>
      <c r="Q1404" s="95">
        <v>31.44</v>
      </c>
      <c r="R1404" s="95">
        <v>9.7799999999999994</v>
      </c>
      <c r="S1404" s="95">
        <v>41.22</v>
      </c>
      <c r="U1404" s="106" t="str">
        <f>_xlfn.XLOOKUP(I1404,'[1]MAPA DE COTAÇÕES'!$D$12:$D$1058,'[1]MAPA DE COTAÇÕES'!$A$12:$A$1058,"")</f>
        <v/>
      </c>
    </row>
    <row r="1405" spans="1:21" ht="15" x14ac:dyDescent="0.25">
      <c r="A1405" s="90" t="s">
        <v>3639</v>
      </c>
      <c r="B1405" s="90" t="s">
        <v>3290</v>
      </c>
      <c r="C1405" s="98" t="s">
        <v>3640</v>
      </c>
      <c r="D1405" s="92" t="s">
        <v>3641</v>
      </c>
      <c r="E1405" s="90" t="s">
        <v>16</v>
      </c>
      <c r="F1405" s="99">
        <v>38</v>
      </c>
      <c r="G1405" s="94">
        <v>2541.89</v>
      </c>
      <c r="H1405" s="94">
        <v>428.1</v>
      </c>
      <c r="I1405" s="95">
        <v>2969.99</v>
      </c>
      <c r="J1405" s="95">
        <v>96591.82</v>
      </c>
      <c r="K1405" s="95">
        <v>16267.8</v>
      </c>
      <c r="L1405" s="95">
        <v>112859.62000000001</v>
      </c>
      <c r="M1405" s="96">
        <v>0.27529999999999999</v>
      </c>
      <c r="N1405" s="95">
        <v>3241.67</v>
      </c>
      <c r="O1405" s="95">
        <v>545.96</v>
      </c>
      <c r="P1405" s="95">
        <v>3787.63</v>
      </c>
      <c r="Q1405" s="95">
        <v>123183.46</v>
      </c>
      <c r="R1405" s="95">
        <v>20746.48</v>
      </c>
      <c r="S1405" s="95">
        <v>143929.94</v>
      </c>
      <c r="U1405" s="106" t="str">
        <f>_xlfn.XLOOKUP(I1405,'[1]MAPA DE COTAÇÕES'!$D$12:$D$1058,'[1]MAPA DE COTAÇÕES'!$A$12:$A$1058,"")</f>
        <v/>
      </c>
    </row>
    <row r="1406" spans="1:21" ht="38.25" x14ac:dyDescent="0.25">
      <c r="A1406" s="90" t="s">
        <v>3642</v>
      </c>
      <c r="B1406" s="90" t="s">
        <v>3643</v>
      </c>
      <c r="C1406" s="98">
        <v>23318</v>
      </c>
      <c r="D1406" s="92" t="s">
        <v>3644</v>
      </c>
      <c r="E1406" s="90" t="s">
        <v>16</v>
      </c>
      <c r="F1406" s="99">
        <v>1</v>
      </c>
      <c r="G1406" s="94">
        <v>3635.43</v>
      </c>
      <c r="H1406" s="94">
        <v>250.11</v>
      </c>
      <c r="I1406" s="95">
        <v>3885.54</v>
      </c>
      <c r="J1406" s="95">
        <v>3635.43</v>
      </c>
      <c r="K1406" s="95">
        <v>250.11</v>
      </c>
      <c r="L1406" s="95">
        <v>3885.54</v>
      </c>
      <c r="M1406" s="96">
        <v>0.27529999999999999</v>
      </c>
      <c r="N1406" s="95">
        <v>4636.26</v>
      </c>
      <c r="O1406" s="95">
        <v>318.97000000000003</v>
      </c>
      <c r="P1406" s="95">
        <v>4955.2300000000005</v>
      </c>
      <c r="Q1406" s="95">
        <v>4636.26</v>
      </c>
      <c r="R1406" s="95">
        <v>318.97000000000003</v>
      </c>
      <c r="S1406" s="95">
        <v>4955.2300000000005</v>
      </c>
      <c r="U1406" s="106" t="str">
        <f>_xlfn.XLOOKUP(I1406,'[1]MAPA DE COTAÇÕES'!$D$12:$D$1058,'[1]MAPA DE COTAÇÕES'!$A$12:$A$1058,"")</f>
        <v/>
      </c>
    </row>
    <row r="1407" spans="1:21" ht="25.5" x14ac:dyDescent="0.25">
      <c r="A1407" s="90" t="s">
        <v>3645</v>
      </c>
      <c r="B1407" s="90" t="s">
        <v>3226</v>
      </c>
      <c r="C1407" s="98" t="s">
        <v>3646</v>
      </c>
      <c r="D1407" s="92" t="s">
        <v>3647</v>
      </c>
      <c r="E1407" s="90" t="s">
        <v>16</v>
      </c>
      <c r="F1407" s="99">
        <v>6</v>
      </c>
      <c r="G1407" s="94">
        <v>13681.2</v>
      </c>
      <c r="H1407" s="94">
        <v>0</v>
      </c>
      <c r="I1407" s="95">
        <v>13681.2</v>
      </c>
      <c r="J1407" s="95">
        <v>82087.199999999997</v>
      </c>
      <c r="K1407" s="95">
        <v>0</v>
      </c>
      <c r="L1407" s="95">
        <v>82087.199999999997</v>
      </c>
      <c r="M1407" s="96">
        <v>0.27529999999999999</v>
      </c>
      <c r="N1407" s="95">
        <v>17447.63</v>
      </c>
      <c r="O1407" s="95">
        <v>0</v>
      </c>
      <c r="P1407" s="95">
        <v>17447.63</v>
      </c>
      <c r="Q1407" s="95">
        <v>104685.78</v>
      </c>
      <c r="R1407" s="95">
        <v>0</v>
      </c>
      <c r="S1407" s="95">
        <v>104685.78</v>
      </c>
      <c r="U1407" s="106" t="str">
        <f>_xlfn.XLOOKUP(I1407,'[1]MAPA DE COTAÇÕES'!$D$12:$D$1058,'[1]MAPA DE COTAÇÕES'!$A$12:$A$1058,"")</f>
        <v>CLI_CE-MERCADO 01070</v>
      </c>
    </row>
    <row r="1408" spans="1:21" ht="25.5" x14ac:dyDescent="0.25">
      <c r="A1408" s="90" t="s">
        <v>3648</v>
      </c>
      <c r="B1408" s="90" t="s">
        <v>3226</v>
      </c>
      <c r="C1408" s="98" t="s">
        <v>3649</v>
      </c>
      <c r="D1408" s="92" t="s">
        <v>3650</v>
      </c>
      <c r="E1408" s="90" t="s">
        <v>16</v>
      </c>
      <c r="F1408" s="99">
        <v>9</v>
      </c>
      <c r="G1408" s="94">
        <v>15315.04</v>
      </c>
      <c r="H1408" s="94">
        <v>0</v>
      </c>
      <c r="I1408" s="95">
        <v>15315.04</v>
      </c>
      <c r="J1408" s="95">
        <v>137835.35999999999</v>
      </c>
      <c r="K1408" s="95">
        <v>0</v>
      </c>
      <c r="L1408" s="95">
        <v>137835.35999999999</v>
      </c>
      <c r="M1408" s="96">
        <v>0.27529999999999999</v>
      </c>
      <c r="N1408" s="95">
        <v>19531.27</v>
      </c>
      <c r="O1408" s="95">
        <v>0</v>
      </c>
      <c r="P1408" s="95">
        <v>19531.27</v>
      </c>
      <c r="Q1408" s="95">
        <v>175781.43</v>
      </c>
      <c r="R1408" s="95">
        <v>0</v>
      </c>
      <c r="S1408" s="95">
        <v>175781.43</v>
      </c>
      <c r="U1408" s="106" t="str">
        <f>_xlfn.XLOOKUP(I1408,'[1]MAPA DE COTAÇÕES'!$D$12:$D$1058,'[1]MAPA DE COTAÇÕES'!$A$12:$A$1058,"")</f>
        <v>CLI_CE-MERCADO 01052</v>
      </c>
    </row>
    <row r="1409" spans="1:21" ht="25.5" x14ac:dyDescent="0.25">
      <c r="A1409" s="90" t="s">
        <v>3651</v>
      </c>
      <c r="B1409" s="90" t="s">
        <v>3226</v>
      </c>
      <c r="C1409" s="98" t="s">
        <v>3652</v>
      </c>
      <c r="D1409" s="92" t="s">
        <v>3653</v>
      </c>
      <c r="E1409" s="90" t="s">
        <v>16</v>
      </c>
      <c r="F1409" s="99">
        <v>9</v>
      </c>
      <c r="G1409" s="94">
        <v>15315.04</v>
      </c>
      <c r="H1409" s="94">
        <v>0</v>
      </c>
      <c r="I1409" s="95">
        <v>15315.04</v>
      </c>
      <c r="J1409" s="95">
        <v>137835.35999999999</v>
      </c>
      <c r="K1409" s="95">
        <v>0</v>
      </c>
      <c r="L1409" s="95">
        <v>137835.35999999999</v>
      </c>
      <c r="M1409" s="96">
        <v>0.27529999999999999</v>
      </c>
      <c r="N1409" s="95">
        <v>19531.27</v>
      </c>
      <c r="O1409" s="95">
        <v>0</v>
      </c>
      <c r="P1409" s="95">
        <v>19531.27</v>
      </c>
      <c r="Q1409" s="95">
        <v>175781.43</v>
      </c>
      <c r="R1409" s="95">
        <v>0</v>
      </c>
      <c r="S1409" s="95">
        <v>175781.43</v>
      </c>
      <c r="U1409" s="106" t="str">
        <f>_xlfn.XLOOKUP(I1409,'[1]MAPA DE COTAÇÕES'!$D$12:$D$1058,'[1]MAPA DE COTAÇÕES'!$A$12:$A$1058,"")</f>
        <v>CLI_CE-MERCADO 01052</v>
      </c>
    </row>
    <row r="1410" spans="1:21" ht="25.5" x14ac:dyDescent="0.25">
      <c r="A1410" s="90" t="s">
        <v>3654</v>
      </c>
      <c r="B1410" s="90" t="s">
        <v>3226</v>
      </c>
      <c r="C1410" s="98" t="s">
        <v>3655</v>
      </c>
      <c r="D1410" s="92" t="s">
        <v>3656</v>
      </c>
      <c r="E1410" s="90" t="s">
        <v>16</v>
      </c>
      <c r="F1410" s="99">
        <v>6</v>
      </c>
      <c r="G1410" s="94">
        <v>15315.04</v>
      </c>
      <c r="H1410" s="94">
        <v>0</v>
      </c>
      <c r="I1410" s="95">
        <v>15315.04</v>
      </c>
      <c r="J1410" s="95">
        <v>91890.240000000005</v>
      </c>
      <c r="K1410" s="95">
        <v>0</v>
      </c>
      <c r="L1410" s="95">
        <v>91890.240000000005</v>
      </c>
      <c r="M1410" s="96">
        <v>0.27529999999999999</v>
      </c>
      <c r="N1410" s="95">
        <v>19531.27</v>
      </c>
      <c r="O1410" s="95">
        <v>0</v>
      </c>
      <c r="P1410" s="95">
        <v>19531.27</v>
      </c>
      <c r="Q1410" s="95">
        <v>117187.62</v>
      </c>
      <c r="R1410" s="95">
        <v>0</v>
      </c>
      <c r="S1410" s="95">
        <v>117187.62</v>
      </c>
      <c r="U1410" s="106" t="str">
        <f>_xlfn.XLOOKUP(I1410,'[1]MAPA DE COTAÇÕES'!$D$12:$D$1058,'[1]MAPA DE COTAÇÕES'!$A$12:$A$1058,"")</f>
        <v>CLI_CE-MERCADO 01052</v>
      </c>
    </row>
    <row r="1411" spans="1:21" ht="25.5" x14ac:dyDescent="0.25">
      <c r="A1411" s="90" t="s">
        <v>3657</v>
      </c>
      <c r="B1411" s="90" t="s">
        <v>3226</v>
      </c>
      <c r="C1411" s="98" t="s">
        <v>3658</v>
      </c>
      <c r="D1411" s="92" t="s">
        <v>3659</v>
      </c>
      <c r="E1411" s="90" t="s">
        <v>16</v>
      </c>
      <c r="F1411" s="99">
        <v>4</v>
      </c>
      <c r="G1411" s="94">
        <v>15916.16</v>
      </c>
      <c r="H1411" s="94">
        <v>0</v>
      </c>
      <c r="I1411" s="95">
        <v>15916.16</v>
      </c>
      <c r="J1411" s="95">
        <v>63664.639999999999</v>
      </c>
      <c r="K1411" s="95">
        <v>0</v>
      </c>
      <c r="L1411" s="95">
        <v>63664.639999999999</v>
      </c>
      <c r="M1411" s="96">
        <v>0.27529999999999999</v>
      </c>
      <c r="N1411" s="95">
        <v>20297.88</v>
      </c>
      <c r="O1411" s="95">
        <v>0</v>
      </c>
      <c r="P1411" s="95">
        <v>20297.88</v>
      </c>
      <c r="Q1411" s="95">
        <v>81191.520000000004</v>
      </c>
      <c r="R1411" s="95">
        <v>0</v>
      </c>
      <c r="S1411" s="95">
        <v>81191.520000000004</v>
      </c>
      <c r="U1411" s="106" t="str">
        <f>_xlfn.XLOOKUP(I1411,'[1]MAPA DE COTAÇÕES'!$D$12:$D$1058,'[1]MAPA DE COTAÇÕES'!$A$12:$A$1058,"")</f>
        <v>CLI_CE-MERCADO 01058</v>
      </c>
    </row>
    <row r="1412" spans="1:21" ht="25.5" x14ac:dyDescent="0.25">
      <c r="A1412" s="90" t="s">
        <v>3660</v>
      </c>
      <c r="B1412" s="90" t="s">
        <v>3226</v>
      </c>
      <c r="C1412" s="98" t="s">
        <v>3661</v>
      </c>
      <c r="D1412" s="92" t="s">
        <v>3662</v>
      </c>
      <c r="E1412" s="90" t="s">
        <v>16</v>
      </c>
      <c r="F1412" s="99">
        <v>1</v>
      </c>
      <c r="G1412" s="94">
        <v>15916.16</v>
      </c>
      <c r="H1412" s="94">
        <v>0</v>
      </c>
      <c r="I1412" s="95">
        <v>15916.16</v>
      </c>
      <c r="J1412" s="95">
        <v>15916.16</v>
      </c>
      <c r="K1412" s="95">
        <v>0</v>
      </c>
      <c r="L1412" s="95">
        <v>15916.16</v>
      </c>
      <c r="M1412" s="96">
        <v>0.27529999999999999</v>
      </c>
      <c r="N1412" s="95">
        <v>20297.88</v>
      </c>
      <c r="O1412" s="95">
        <v>0</v>
      </c>
      <c r="P1412" s="95">
        <v>20297.88</v>
      </c>
      <c r="Q1412" s="95">
        <v>20297.88</v>
      </c>
      <c r="R1412" s="95">
        <v>0</v>
      </c>
      <c r="S1412" s="95">
        <v>20297.88</v>
      </c>
      <c r="U1412" s="106" t="str">
        <f>_xlfn.XLOOKUP(I1412,'[1]MAPA DE COTAÇÕES'!$D$12:$D$1058,'[1]MAPA DE COTAÇÕES'!$A$12:$A$1058,"")</f>
        <v>CLI_CE-MERCADO 01058</v>
      </c>
    </row>
    <row r="1413" spans="1:21" ht="25.5" x14ac:dyDescent="0.25">
      <c r="A1413" s="90" t="s">
        <v>3663</v>
      </c>
      <c r="B1413" s="90" t="s">
        <v>3226</v>
      </c>
      <c r="C1413" s="98" t="s">
        <v>3664</v>
      </c>
      <c r="D1413" s="92" t="s">
        <v>3665</v>
      </c>
      <c r="E1413" s="90" t="s">
        <v>16</v>
      </c>
      <c r="F1413" s="99">
        <v>2</v>
      </c>
      <c r="G1413" s="94">
        <v>15916.16</v>
      </c>
      <c r="H1413" s="94">
        <v>0</v>
      </c>
      <c r="I1413" s="95">
        <v>15916.16</v>
      </c>
      <c r="J1413" s="95">
        <v>31832.32</v>
      </c>
      <c r="K1413" s="95">
        <v>0</v>
      </c>
      <c r="L1413" s="95">
        <v>31832.32</v>
      </c>
      <c r="M1413" s="96">
        <v>0.27529999999999999</v>
      </c>
      <c r="N1413" s="95">
        <v>20297.88</v>
      </c>
      <c r="O1413" s="95">
        <v>0</v>
      </c>
      <c r="P1413" s="95">
        <v>20297.88</v>
      </c>
      <c r="Q1413" s="95">
        <v>40595.760000000002</v>
      </c>
      <c r="R1413" s="95">
        <v>0</v>
      </c>
      <c r="S1413" s="95">
        <v>40595.760000000002</v>
      </c>
      <c r="U1413" s="106" t="str">
        <f>_xlfn.XLOOKUP(I1413,'[1]MAPA DE COTAÇÕES'!$D$12:$D$1058,'[1]MAPA DE COTAÇÕES'!$A$12:$A$1058,"")</f>
        <v>CLI_CE-MERCADO 01058</v>
      </c>
    </row>
    <row r="1414" spans="1:21" ht="25.5" x14ac:dyDescent="0.25">
      <c r="A1414" s="90" t="s">
        <v>3666</v>
      </c>
      <c r="B1414" s="90" t="s">
        <v>3226</v>
      </c>
      <c r="C1414" s="98" t="s">
        <v>3667</v>
      </c>
      <c r="D1414" s="92" t="s">
        <v>3668</v>
      </c>
      <c r="E1414" s="90" t="s">
        <v>16</v>
      </c>
      <c r="F1414" s="99">
        <v>6</v>
      </c>
      <c r="G1414" s="94">
        <v>15916.16</v>
      </c>
      <c r="H1414" s="94">
        <v>0</v>
      </c>
      <c r="I1414" s="95">
        <v>15916.16</v>
      </c>
      <c r="J1414" s="95">
        <v>95496.960000000006</v>
      </c>
      <c r="K1414" s="95">
        <v>0</v>
      </c>
      <c r="L1414" s="95">
        <v>95496.960000000006</v>
      </c>
      <c r="M1414" s="96">
        <v>0.27529999999999999</v>
      </c>
      <c r="N1414" s="95">
        <v>20297.88</v>
      </c>
      <c r="O1414" s="95">
        <v>0</v>
      </c>
      <c r="P1414" s="95">
        <v>20297.88</v>
      </c>
      <c r="Q1414" s="95">
        <v>121787.28</v>
      </c>
      <c r="R1414" s="95">
        <v>0</v>
      </c>
      <c r="S1414" s="95">
        <v>121787.28</v>
      </c>
      <c r="U1414" s="106" t="str">
        <f>_xlfn.XLOOKUP(I1414,'[1]MAPA DE COTAÇÕES'!$D$12:$D$1058,'[1]MAPA DE COTAÇÕES'!$A$12:$A$1058,"")</f>
        <v>CLI_CE-MERCADO 01058</v>
      </c>
    </row>
    <row r="1415" spans="1:21" ht="25.5" x14ac:dyDescent="0.25">
      <c r="A1415" s="90" t="s">
        <v>3669</v>
      </c>
      <c r="B1415" s="90" t="s">
        <v>3226</v>
      </c>
      <c r="C1415" s="98" t="s">
        <v>3670</v>
      </c>
      <c r="D1415" s="92" t="s">
        <v>3671</v>
      </c>
      <c r="E1415" s="90" t="s">
        <v>16</v>
      </c>
      <c r="F1415" s="99">
        <v>1</v>
      </c>
      <c r="G1415" s="94">
        <v>16547.439999999999</v>
      </c>
      <c r="H1415" s="94">
        <v>0</v>
      </c>
      <c r="I1415" s="95">
        <v>16547.439999999999</v>
      </c>
      <c r="J1415" s="95">
        <v>16547.439999999999</v>
      </c>
      <c r="K1415" s="95">
        <v>0</v>
      </c>
      <c r="L1415" s="95">
        <v>16547.439999999999</v>
      </c>
      <c r="M1415" s="96">
        <v>0.27529999999999999</v>
      </c>
      <c r="N1415" s="95">
        <v>21102.95</v>
      </c>
      <c r="O1415" s="95">
        <v>0</v>
      </c>
      <c r="P1415" s="95">
        <v>21102.95</v>
      </c>
      <c r="Q1415" s="95">
        <v>21102.95</v>
      </c>
      <c r="R1415" s="95">
        <v>0</v>
      </c>
      <c r="S1415" s="95">
        <v>21102.95</v>
      </c>
      <c r="U1415" s="106" t="str">
        <f>_xlfn.XLOOKUP(I1415,'[1]MAPA DE COTAÇÕES'!$D$12:$D$1058,'[1]MAPA DE COTAÇÕES'!$A$12:$A$1058,"")</f>
        <v>CLI_CE-MERCADO 01059</v>
      </c>
    </row>
    <row r="1416" spans="1:21" ht="25.5" x14ac:dyDescent="0.25">
      <c r="A1416" s="90" t="s">
        <v>3672</v>
      </c>
      <c r="B1416" s="90" t="s">
        <v>3226</v>
      </c>
      <c r="C1416" s="98" t="s">
        <v>3673</v>
      </c>
      <c r="D1416" s="92" t="s">
        <v>3674</v>
      </c>
      <c r="E1416" s="90" t="s">
        <v>16</v>
      </c>
      <c r="F1416" s="99">
        <v>10</v>
      </c>
      <c r="G1416" s="94">
        <v>16128.32</v>
      </c>
      <c r="H1416" s="94">
        <v>0</v>
      </c>
      <c r="I1416" s="95">
        <v>16128.32</v>
      </c>
      <c r="J1416" s="95">
        <v>161283.20000000001</v>
      </c>
      <c r="K1416" s="95">
        <v>0</v>
      </c>
      <c r="L1416" s="95">
        <v>161283.20000000001</v>
      </c>
      <c r="M1416" s="96">
        <v>0.27529999999999999</v>
      </c>
      <c r="N1416" s="95">
        <v>20568.45</v>
      </c>
      <c r="O1416" s="95">
        <v>0</v>
      </c>
      <c r="P1416" s="95">
        <v>20568.45</v>
      </c>
      <c r="Q1416" s="95">
        <v>205684.5</v>
      </c>
      <c r="R1416" s="95">
        <v>0</v>
      </c>
      <c r="S1416" s="95">
        <v>205684.5</v>
      </c>
      <c r="U1416" s="106" t="str">
        <f>_xlfn.XLOOKUP(I1416,'[1]MAPA DE COTAÇÕES'!$D$12:$D$1058,'[1]MAPA DE COTAÇÕES'!$A$12:$A$1058,"")</f>
        <v>CLI_CE-MERCADO 01060</v>
      </c>
    </row>
    <row r="1417" spans="1:21" ht="25.5" x14ac:dyDescent="0.25">
      <c r="A1417" s="90" t="s">
        <v>3675</v>
      </c>
      <c r="B1417" s="90" t="s">
        <v>3226</v>
      </c>
      <c r="C1417" s="98" t="s">
        <v>3676</v>
      </c>
      <c r="D1417" s="92" t="s">
        <v>3677</v>
      </c>
      <c r="E1417" s="90" t="s">
        <v>16</v>
      </c>
      <c r="F1417" s="99">
        <v>7</v>
      </c>
      <c r="G1417" s="94">
        <v>13681.2</v>
      </c>
      <c r="H1417" s="94">
        <v>0</v>
      </c>
      <c r="I1417" s="95">
        <v>13681.2</v>
      </c>
      <c r="J1417" s="95">
        <v>95768.4</v>
      </c>
      <c r="K1417" s="95">
        <v>0</v>
      </c>
      <c r="L1417" s="95">
        <v>95768.4</v>
      </c>
      <c r="M1417" s="96">
        <v>0.27529999999999999</v>
      </c>
      <c r="N1417" s="95">
        <v>17447.63</v>
      </c>
      <c r="O1417" s="95">
        <v>0</v>
      </c>
      <c r="P1417" s="95">
        <v>17447.63</v>
      </c>
      <c r="Q1417" s="95">
        <v>122133.41</v>
      </c>
      <c r="R1417" s="95">
        <v>0</v>
      </c>
      <c r="S1417" s="95">
        <v>122133.41</v>
      </c>
      <c r="U1417" s="106" t="str">
        <f>_xlfn.XLOOKUP(I1417,'[1]MAPA DE COTAÇÕES'!$D$12:$D$1058,'[1]MAPA DE COTAÇÕES'!$A$12:$A$1058,"")</f>
        <v>CLI_CE-MERCADO 01070</v>
      </c>
    </row>
    <row r="1418" spans="1:21" ht="25.5" x14ac:dyDescent="0.25">
      <c r="A1418" s="90" t="s">
        <v>3678</v>
      </c>
      <c r="B1418" s="90" t="s">
        <v>3226</v>
      </c>
      <c r="C1418" s="98" t="s">
        <v>3679</v>
      </c>
      <c r="D1418" s="92" t="s">
        <v>3680</v>
      </c>
      <c r="E1418" s="90" t="s">
        <v>16</v>
      </c>
      <c r="F1418" s="99">
        <v>1</v>
      </c>
      <c r="G1418" s="94">
        <v>15951.52</v>
      </c>
      <c r="H1418" s="94">
        <v>0</v>
      </c>
      <c r="I1418" s="95">
        <v>15951.52</v>
      </c>
      <c r="J1418" s="95">
        <v>15951.52</v>
      </c>
      <c r="K1418" s="95">
        <v>0</v>
      </c>
      <c r="L1418" s="95">
        <v>15951.52</v>
      </c>
      <c r="M1418" s="96">
        <v>0.27529999999999999</v>
      </c>
      <c r="N1418" s="95">
        <v>20342.97</v>
      </c>
      <c r="O1418" s="95">
        <v>0</v>
      </c>
      <c r="P1418" s="95">
        <v>20342.97</v>
      </c>
      <c r="Q1418" s="95">
        <v>20342.97</v>
      </c>
      <c r="R1418" s="95">
        <v>0</v>
      </c>
      <c r="S1418" s="95">
        <v>20342.97</v>
      </c>
      <c r="U1418" s="106" t="str">
        <f>_xlfn.XLOOKUP(I1418,'[1]MAPA DE COTAÇÕES'!$D$12:$D$1058,'[1]MAPA DE COTAÇÕES'!$A$12:$A$1058,"")</f>
        <v>CLI_CE-MERCADO 01066</v>
      </c>
    </row>
    <row r="1419" spans="1:21" ht="25.5" x14ac:dyDescent="0.25">
      <c r="A1419" s="90" t="s">
        <v>3681</v>
      </c>
      <c r="B1419" s="90" t="s">
        <v>3226</v>
      </c>
      <c r="C1419" s="98" t="s">
        <v>3682</v>
      </c>
      <c r="D1419" s="92" t="s">
        <v>3683</v>
      </c>
      <c r="E1419" s="90" t="s">
        <v>16</v>
      </c>
      <c r="F1419" s="99">
        <v>2</v>
      </c>
      <c r="G1419" s="94">
        <v>15315.04</v>
      </c>
      <c r="H1419" s="94">
        <v>0</v>
      </c>
      <c r="I1419" s="95">
        <v>15315.04</v>
      </c>
      <c r="J1419" s="95">
        <v>30630.080000000002</v>
      </c>
      <c r="K1419" s="95">
        <v>0</v>
      </c>
      <c r="L1419" s="95">
        <v>30630.080000000002</v>
      </c>
      <c r="M1419" s="96">
        <v>0.27529999999999999</v>
      </c>
      <c r="N1419" s="95">
        <v>19531.27</v>
      </c>
      <c r="O1419" s="95">
        <v>0</v>
      </c>
      <c r="P1419" s="95">
        <v>19531.27</v>
      </c>
      <c r="Q1419" s="95">
        <v>39062.54</v>
      </c>
      <c r="R1419" s="95">
        <v>0</v>
      </c>
      <c r="S1419" s="95">
        <v>39062.54</v>
      </c>
      <c r="U1419" s="106" t="str">
        <f>_xlfn.XLOOKUP(I1419,'[1]MAPA DE COTAÇÕES'!$D$12:$D$1058,'[1]MAPA DE COTAÇÕES'!$A$12:$A$1058,"")</f>
        <v>CLI_CE-MERCADO 01052</v>
      </c>
    </row>
    <row r="1420" spans="1:21" ht="25.5" x14ac:dyDescent="0.25">
      <c r="A1420" s="90" t="s">
        <v>3684</v>
      </c>
      <c r="B1420" s="90" t="s">
        <v>3226</v>
      </c>
      <c r="C1420" s="98" t="s">
        <v>3685</v>
      </c>
      <c r="D1420" s="92" t="s">
        <v>3686</v>
      </c>
      <c r="E1420" s="90" t="s">
        <v>16</v>
      </c>
      <c r="F1420" s="99">
        <v>1</v>
      </c>
      <c r="G1420" s="94">
        <v>15315.04</v>
      </c>
      <c r="H1420" s="94">
        <v>0</v>
      </c>
      <c r="I1420" s="95">
        <v>15315.04</v>
      </c>
      <c r="J1420" s="95">
        <v>15315.04</v>
      </c>
      <c r="K1420" s="95">
        <v>0</v>
      </c>
      <c r="L1420" s="95">
        <v>15315.04</v>
      </c>
      <c r="M1420" s="96">
        <v>0.27529999999999999</v>
      </c>
      <c r="N1420" s="95">
        <v>19531.27</v>
      </c>
      <c r="O1420" s="95">
        <v>0</v>
      </c>
      <c r="P1420" s="95">
        <v>19531.27</v>
      </c>
      <c r="Q1420" s="95">
        <v>19531.27</v>
      </c>
      <c r="R1420" s="95">
        <v>0</v>
      </c>
      <c r="S1420" s="95">
        <v>19531.27</v>
      </c>
      <c r="U1420" s="106" t="str">
        <f>_xlfn.XLOOKUP(I1420,'[1]MAPA DE COTAÇÕES'!$D$12:$D$1058,'[1]MAPA DE COTAÇÕES'!$A$12:$A$1058,"")</f>
        <v>CLI_CE-MERCADO 01052</v>
      </c>
    </row>
    <row r="1421" spans="1:21" ht="25.5" x14ac:dyDescent="0.25">
      <c r="A1421" s="90" t="s">
        <v>3687</v>
      </c>
      <c r="B1421" s="90" t="s">
        <v>3226</v>
      </c>
      <c r="C1421" s="98" t="s">
        <v>3688</v>
      </c>
      <c r="D1421" s="92" t="s">
        <v>3689</v>
      </c>
      <c r="E1421" s="90" t="s">
        <v>16</v>
      </c>
      <c r="F1421" s="99">
        <v>1</v>
      </c>
      <c r="G1421" s="94">
        <v>15315.04</v>
      </c>
      <c r="H1421" s="94">
        <v>0</v>
      </c>
      <c r="I1421" s="95">
        <v>15315.04</v>
      </c>
      <c r="J1421" s="95">
        <v>15315.04</v>
      </c>
      <c r="K1421" s="95">
        <v>0</v>
      </c>
      <c r="L1421" s="95">
        <v>15315.04</v>
      </c>
      <c r="M1421" s="96">
        <v>0.27529999999999999</v>
      </c>
      <c r="N1421" s="95">
        <v>19531.27</v>
      </c>
      <c r="O1421" s="95">
        <v>0</v>
      </c>
      <c r="P1421" s="95">
        <v>19531.27</v>
      </c>
      <c r="Q1421" s="95">
        <v>19531.27</v>
      </c>
      <c r="R1421" s="95">
        <v>0</v>
      </c>
      <c r="S1421" s="95">
        <v>19531.27</v>
      </c>
      <c r="U1421" s="106" t="str">
        <f>_xlfn.XLOOKUP(I1421,'[1]MAPA DE COTAÇÕES'!$D$12:$D$1058,'[1]MAPA DE COTAÇÕES'!$A$12:$A$1058,"")</f>
        <v>CLI_CE-MERCADO 01052</v>
      </c>
    </row>
    <row r="1422" spans="1:21" ht="25.5" x14ac:dyDescent="0.25">
      <c r="A1422" s="90" t="s">
        <v>3690</v>
      </c>
      <c r="B1422" s="90" t="s">
        <v>3226</v>
      </c>
      <c r="C1422" s="98" t="s">
        <v>3691</v>
      </c>
      <c r="D1422" s="108" t="s">
        <v>3692</v>
      </c>
      <c r="E1422" s="90" t="s">
        <v>16</v>
      </c>
      <c r="F1422" s="99">
        <v>4</v>
      </c>
      <c r="G1422" s="94">
        <v>15951.52</v>
      </c>
      <c r="H1422" s="94">
        <v>0</v>
      </c>
      <c r="I1422" s="95">
        <v>15951.52</v>
      </c>
      <c r="J1422" s="95">
        <v>63806.080000000002</v>
      </c>
      <c r="K1422" s="95">
        <v>0</v>
      </c>
      <c r="L1422" s="95">
        <v>63806.080000000002</v>
      </c>
      <c r="M1422" s="96">
        <v>0.27529999999999999</v>
      </c>
      <c r="N1422" s="95">
        <v>20342.97</v>
      </c>
      <c r="O1422" s="95">
        <v>0</v>
      </c>
      <c r="P1422" s="95">
        <v>20342.97</v>
      </c>
      <c r="Q1422" s="95">
        <v>81371.88</v>
      </c>
      <c r="R1422" s="95">
        <v>0</v>
      </c>
      <c r="S1422" s="95">
        <v>81371.88</v>
      </c>
      <c r="U1422" s="106" t="str">
        <f>_xlfn.XLOOKUP(I1422,'[1]MAPA DE COTAÇÕES'!$D$12:$D$1058,'[1]MAPA DE COTAÇÕES'!$A$12:$A$1058,"")</f>
        <v>CLI_CE-MERCADO 01066</v>
      </c>
    </row>
    <row r="1423" spans="1:21" ht="25.5" x14ac:dyDescent="0.25">
      <c r="A1423" s="90" t="s">
        <v>3693</v>
      </c>
      <c r="B1423" s="90" t="s">
        <v>3226</v>
      </c>
      <c r="C1423" s="98" t="s">
        <v>3694</v>
      </c>
      <c r="D1423" s="92" t="s">
        <v>3695</v>
      </c>
      <c r="E1423" s="90" t="s">
        <v>16</v>
      </c>
      <c r="F1423" s="99">
        <v>1</v>
      </c>
      <c r="G1423" s="94">
        <v>21573.759999999998</v>
      </c>
      <c r="H1423" s="94">
        <v>0</v>
      </c>
      <c r="I1423" s="95">
        <v>21573.759999999998</v>
      </c>
      <c r="J1423" s="95">
        <v>21573.759999999998</v>
      </c>
      <c r="K1423" s="95">
        <v>0</v>
      </c>
      <c r="L1423" s="95">
        <v>21573.759999999998</v>
      </c>
      <c r="M1423" s="96">
        <v>0.27529999999999999</v>
      </c>
      <c r="N1423" s="95">
        <v>27513.02</v>
      </c>
      <c r="O1423" s="95">
        <v>0</v>
      </c>
      <c r="P1423" s="95">
        <v>27513.02</v>
      </c>
      <c r="Q1423" s="95">
        <v>27513.02</v>
      </c>
      <c r="R1423" s="95">
        <v>0</v>
      </c>
      <c r="S1423" s="95">
        <v>27513.02</v>
      </c>
      <c r="U1423" s="106" t="str">
        <f>_xlfn.XLOOKUP(I1423,'[1]MAPA DE COTAÇÕES'!$D$12:$D$1058,'[1]MAPA DE COTAÇÕES'!$A$12:$A$1058,"")</f>
        <v>CLI_CE-MERCADO 01067</v>
      </c>
    </row>
    <row r="1424" spans="1:21" ht="25.5" x14ac:dyDescent="0.25">
      <c r="A1424" s="90" t="s">
        <v>3696</v>
      </c>
      <c r="B1424" s="90" t="s">
        <v>3226</v>
      </c>
      <c r="C1424" s="98" t="s">
        <v>3697</v>
      </c>
      <c r="D1424" s="92" t="s">
        <v>3698</v>
      </c>
      <c r="E1424" s="90" t="s">
        <v>16</v>
      </c>
      <c r="F1424" s="99">
        <v>1</v>
      </c>
      <c r="G1424" s="94">
        <v>22826.959999999999</v>
      </c>
      <c r="H1424" s="94">
        <v>0</v>
      </c>
      <c r="I1424" s="95">
        <v>22826.959999999999</v>
      </c>
      <c r="J1424" s="95">
        <v>22826.959999999999</v>
      </c>
      <c r="K1424" s="95">
        <v>0</v>
      </c>
      <c r="L1424" s="95">
        <v>22826.959999999999</v>
      </c>
      <c r="M1424" s="96">
        <v>0.27529999999999999</v>
      </c>
      <c r="N1424" s="95">
        <v>29111.22</v>
      </c>
      <c r="O1424" s="95">
        <v>0</v>
      </c>
      <c r="P1424" s="95">
        <v>29111.22</v>
      </c>
      <c r="Q1424" s="95">
        <v>29111.22</v>
      </c>
      <c r="R1424" s="95">
        <v>0</v>
      </c>
      <c r="S1424" s="95">
        <v>29111.22</v>
      </c>
      <c r="U1424" s="106" t="str">
        <f>_xlfn.XLOOKUP(I1424,'[1]MAPA DE COTAÇÕES'!$D$12:$D$1058,'[1]MAPA DE COTAÇÕES'!$A$12:$A$1058,"")</f>
        <v>CLI_CE-MERCADO 01068</v>
      </c>
    </row>
    <row r="1425" spans="1:21" ht="25.5" x14ac:dyDescent="0.25">
      <c r="A1425" s="90" t="s">
        <v>3699</v>
      </c>
      <c r="B1425" s="90" t="s">
        <v>3226</v>
      </c>
      <c r="C1425" s="98" t="s">
        <v>3700</v>
      </c>
      <c r="D1425" s="108" t="s">
        <v>3701</v>
      </c>
      <c r="E1425" s="90" t="s">
        <v>16</v>
      </c>
      <c r="F1425" s="99">
        <v>1</v>
      </c>
      <c r="G1425" s="94">
        <v>21218.080000000002</v>
      </c>
      <c r="H1425" s="94">
        <v>0</v>
      </c>
      <c r="I1425" s="95">
        <v>21218.080000000002</v>
      </c>
      <c r="J1425" s="95">
        <v>21218.080000000002</v>
      </c>
      <c r="K1425" s="95">
        <v>0</v>
      </c>
      <c r="L1425" s="95">
        <v>21218.080000000002</v>
      </c>
      <c r="M1425" s="96">
        <v>0.27529999999999999</v>
      </c>
      <c r="N1425" s="95">
        <v>27059.42</v>
      </c>
      <c r="O1425" s="95">
        <v>0</v>
      </c>
      <c r="P1425" s="95">
        <v>27059.42</v>
      </c>
      <c r="Q1425" s="95">
        <v>27059.42</v>
      </c>
      <c r="R1425" s="95">
        <v>0</v>
      </c>
      <c r="S1425" s="95">
        <v>27059.42</v>
      </c>
      <c r="U1425" s="106" t="str">
        <f>_xlfn.XLOOKUP(I1425,'[1]MAPA DE COTAÇÕES'!$D$12:$D$1058,'[1]MAPA DE COTAÇÕES'!$A$12:$A$1058,"")</f>
        <v>CLI_CE-MERCADO 01069</v>
      </c>
    </row>
    <row r="1426" spans="1:21" ht="25.5" x14ac:dyDescent="0.25">
      <c r="A1426" s="90" t="s">
        <v>3702</v>
      </c>
      <c r="B1426" s="90" t="s">
        <v>3226</v>
      </c>
      <c r="C1426" s="98" t="s">
        <v>3703</v>
      </c>
      <c r="D1426" s="92" t="s">
        <v>3704</v>
      </c>
      <c r="E1426" s="90" t="s">
        <v>16</v>
      </c>
      <c r="F1426" s="99">
        <v>88</v>
      </c>
      <c r="G1426" s="94">
        <v>13681.2</v>
      </c>
      <c r="H1426" s="94">
        <v>0</v>
      </c>
      <c r="I1426" s="95">
        <v>13681.2</v>
      </c>
      <c r="J1426" s="95">
        <v>1203945.6000000001</v>
      </c>
      <c r="K1426" s="95">
        <v>0</v>
      </c>
      <c r="L1426" s="95">
        <v>1203945.6000000001</v>
      </c>
      <c r="M1426" s="96">
        <v>0.27529999999999999</v>
      </c>
      <c r="N1426" s="95">
        <v>17447.63</v>
      </c>
      <c r="O1426" s="95">
        <v>0</v>
      </c>
      <c r="P1426" s="95">
        <v>17447.63</v>
      </c>
      <c r="Q1426" s="95">
        <v>1535391.44</v>
      </c>
      <c r="R1426" s="95">
        <v>0</v>
      </c>
      <c r="S1426" s="95">
        <v>1535391.44</v>
      </c>
      <c r="U1426" s="106" t="str">
        <f>_xlfn.XLOOKUP(I1426,'[1]MAPA DE COTAÇÕES'!$D$12:$D$1058,'[1]MAPA DE COTAÇÕES'!$A$12:$A$1058,"")</f>
        <v>CLI_CE-MERCADO 01070</v>
      </c>
    </row>
    <row r="1427" spans="1:21" ht="25.5" x14ac:dyDescent="0.25">
      <c r="A1427" s="90" t="s">
        <v>3705</v>
      </c>
      <c r="B1427" s="90" t="s">
        <v>3226</v>
      </c>
      <c r="C1427" s="98" t="s">
        <v>3706</v>
      </c>
      <c r="D1427" s="92" t="s">
        <v>3707</v>
      </c>
      <c r="E1427" s="90" t="s">
        <v>16</v>
      </c>
      <c r="F1427" s="99">
        <v>5</v>
      </c>
      <c r="G1427" s="94">
        <v>15491.84</v>
      </c>
      <c r="H1427" s="94">
        <v>0</v>
      </c>
      <c r="I1427" s="95">
        <v>15491.84</v>
      </c>
      <c r="J1427" s="95">
        <v>77459.199999999997</v>
      </c>
      <c r="K1427" s="95">
        <v>0</v>
      </c>
      <c r="L1427" s="95">
        <v>77459.199999999997</v>
      </c>
      <c r="M1427" s="96">
        <v>0.27529999999999999</v>
      </c>
      <c r="N1427" s="95">
        <v>19756.740000000002</v>
      </c>
      <c r="O1427" s="95">
        <v>0</v>
      </c>
      <c r="P1427" s="95">
        <v>19756.740000000002</v>
      </c>
      <c r="Q1427" s="95">
        <v>98783.7</v>
      </c>
      <c r="R1427" s="95">
        <v>0</v>
      </c>
      <c r="S1427" s="95">
        <v>98783.7</v>
      </c>
      <c r="U1427" s="106" t="str">
        <f>_xlfn.XLOOKUP(I1427,'[1]MAPA DE COTAÇÕES'!$D$12:$D$1058,'[1]MAPA DE COTAÇÕES'!$A$12:$A$1058,"")</f>
        <v>CLI_CE-MERCADO 01071</v>
      </c>
    </row>
    <row r="1428" spans="1:21" ht="15" x14ac:dyDescent="0.25">
      <c r="A1428" s="90" t="s">
        <v>3708</v>
      </c>
      <c r="B1428" s="90" t="s">
        <v>3290</v>
      </c>
      <c r="C1428" s="98" t="s">
        <v>3709</v>
      </c>
      <c r="D1428" s="92" t="s">
        <v>3710</v>
      </c>
      <c r="E1428" s="90" t="s">
        <v>16</v>
      </c>
      <c r="F1428" s="99">
        <v>205</v>
      </c>
      <c r="G1428" s="94">
        <v>108.9</v>
      </c>
      <c r="H1428" s="94">
        <v>366.84</v>
      </c>
      <c r="I1428" s="95">
        <v>475.74</v>
      </c>
      <c r="J1428" s="95">
        <v>22324.5</v>
      </c>
      <c r="K1428" s="95">
        <v>75202.2</v>
      </c>
      <c r="L1428" s="95">
        <v>97526.7</v>
      </c>
      <c r="M1428" s="96">
        <v>0.27529999999999999</v>
      </c>
      <c r="N1428" s="95">
        <v>138.88</v>
      </c>
      <c r="O1428" s="95">
        <v>467.83</v>
      </c>
      <c r="P1428" s="95">
        <v>606.71</v>
      </c>
      <c r="Q1428" s="95">
        <v>28470.400000000001</v>
      </c>
      <c r="R1428" s="95">
        <v>95905.15</v>
      </c>
      <c r="S1428" s="95">
        <v>124375.54999999999</v>
      </c>
      <c r="U1428" s="106" t="str">
        <f>_xlfn.XLOOKUP(I1428,'[1]MAPA DE COTAÇÕES'!$D$12:$D$1058,'[1]MAPA DE COTAÇÕES'!$A$12:$A$1058,"")</f>
        <v/>
      </c>
    </row>
    <row r="1429" spans="1:21" ht="15" x14ac:dyDescent="0.25">
      <c r="A1429" s="90" t="s">
        <v>3711</v>
      </c>
      <c r="B1429" s="90"/>
      <c r="C1429" s="98"/>
      <c r="D1429" s="92" t="s">
        <v>3712</v>
      </c>
      <c r="E1429" s="90"/>
      <c r="F1429" s="99"/>
      <c r="G1429" s="94"/>
      <c r="H1429" s="94"/>
      <c r="I1429" s="95"/>
      <c r="J1429" s="95"/>
      <c r="K1429" s="95"/>
      <c r="L1429" s="95"/>
      <c r="M1429" s="96"/>
      <c r="N1429" s="95"/>
      <c r="O1429" s="95"/>
      <c r="P1429" s="95"/>
      <c r="Q1429" s="95"/>
      <c r="R1429" s="95"/>
      <c r="S1429" s="95"/>
      <c r="U1429" s="106">
        <f>_xlfn.XLOOKUP(I1429,'[1]MAPA DE COTAÇÕES'!$D$12:$D$1058,'[1]MAPA DE COTAÇÕES'!$A$12:$A$1058,"")</f>
        <v>0</v>
      </c>
    </row>
    <row r="1430" spans="1:21" ht="15" x14ac:dyDescent="0.25">
      <c r="A1430" s="90" t="s">
        <v>3713</v>
      </c>
      <c r="B1430" s="90" t="s">
        <v>3290</v>
      </c>
      <c r="C1430" s="98" t="s">
        <v>3714</v>
      </c>
      <c r="D1430" s="92" t="s">
        <v>3715</v>
      </c>
      <c r="E1430" s="90" t="s">
        <v>93</v>
      </c>
      <c r="F1430" s="99">
        <v>305.60000000000014</v>
      </c>
      <c r="G1430" s="94">
        <v>23.02</v>
      </c>
      <c r="H1430" s="94">
        <v>23.15</v>
      </c>
      <c r="I1430" s="95">
        <v>46.17</v>
      </c>
      <c r="J1430" s="95">
        <v>7034.91</v>
      </c>
      <c r="K1430" s="95">
        <v>7074.64</v>
      </c>
      <c r="L1430" s="95">
        <v>14109.55</v>
      </c>
      <c r="M1430" s="96">
        <v>0.27529999999999999</v>
      </c>
      <c r="N1430" s="95">
        <v>29.36</v>
      </c>
      <c r="O1430" s="95">
        <v>29.52</v>
      </c>
      <c r="P1430" s="95">
        <v>58.879999999999995</v>
      </c>
      <c r="Q1430" s="95">
        <v>8972.42</v>
      </c>
      <c r="R1430" s="95">
        <v>9021.31</v>
      </c>
      <c r="S1430" s="95">
        <v>17993.73</v>
      </c>
      <c r="U1430" s="106" t="str">
        <f>_xlfn.XLOOKUP(I1430,'[1]MAPA DE COTAÇÕES'!$D$12:$D$1058,'[1]MAPA DE COTAÇÕES'!$A$12:$A$1058,"")</f>
        <v/>
      </c>
    </row>
    <row r="1431" spans="1:21" ht="15" x14ac:dyDescent="0.25">
      <c r="A1431" s="90" t="s">
        <v>3716</v>
      </c>
      <c r="B1431" s="90" t="s">
        <v>3290</v>
      </c>
      <c r="C1431" s="98" t="s">
        <v>3717</v>
      </c>
      <c r="D1431" s="92" t="s">
        <v>3718</v>
      </c>
      <c r="E1431" s="90" t="s">
        <v>93</v>
      </c>
      <c r="F1431" s="99">
        <v>90</v>
      </c>
      <c r="G1431" s="94">
        <v>35.28</v>
      </c>
      <c r="H1431" s="94">
        <v>23.15</v>
      </c>
      <c r="I1431" s="95">
        <v>58.43</v>
      </c>
      <c r="J1431" s="95">
        <v>3175.2</v>
      </c>
      <c r="K1431" s="95">
        <v>2083.5</v>
      </c>
      <c r="L1431" s="95">
        <v>5258.7</v>
      </c>
      <c r="M1431" s="96">
        <v>0.27529999999999999</v>
      </c>
      <c r="N1431" s="95">
        <v>44.99</v>
      </c>
      <c r="O1431" s="95">
        <v>29.52</v>
      </c>
      <c r="P1431" s="95">
        <v>74.510000000000005</v>
      </c>
      <c r="Q1431" s="95">
        <v>4049.1</v>
      </c>
      <c r="R1431" s="95">
        <v>2656.8</v>
      </c>
      <c r="S1431" s="95">
        <v>6705.9</v>
      </c>
      <c r="U1431" s="106" t="str">
        <f>_xlfn.XLOOKUP(I1431,'[1]MAPA DE COTAÇÕES'!$D$12:$D$1058,'[1]MAPA DE COTAÇÕES'!$A$12:$A$1058,"")</f>
        <v/>
      </c>
    </row>
    <row r="1432" spans="1:21" ht="15" x14ac:dyDescent="0.25">
      <c r="A1432" s="90" t="s">
        <v>3719</v>
      </c>
      <c r="B1432" s="90" t="s">
        <v>3290</v>
      </c>
      <c r="C1432" s="98" t="s">
        <v>3720</v>
      </c>
      <c r="D1432" s="92" t="s">
        <v>3721</v>
      </c>
      <c r="E1432" s="90" t="s">
        <v>93</v>
      </c>
      <c r="F1432" s="99">
        <v>886.50000000000023</v>
      </c>
      <c r="G1432" s="94">
        <v>49.89</v>
      </c>
      <c r="H1432" s="94">
        <v>23.15</v>
      </c>
      <c r="I1432" s="95">
        <v>73.039999999999992</v>
      </c>
      <c r="J1432" s="95">
        <v>44227.49</v>
      </c>
      <c r="K1432" s="95">
        <v>20522.48</v>
      </c>
      <c r="L1432" s="95">
        <v>64749.97</v>
      </c>
      <c r="M1432" s="96">
        <v>0.27529999999999999</v>
      </c>
      <c r="N1432" s="95">
        <v>63.62</v>
      </c>
      <c r="O1432" s="95">
        <v>29.52</v>
      </c>
      <c r="P1432" s="95">
        <v>93.14</v>
      </c>
      <c r="Q1432" s="95">
        <v>56399.13</v>
      </c>
      <c r="R1432" s="95">
        <v>26169.48</v>
      </c>
      <c r="S1432" s="95">
        <v>82568.61</v>
      </c>
      <c r="U1432" s="106" t="str">
        <f>_xlfn.XLOOKUP(I1432,'[1]MAPA DE COTAÇÕES'!$D$12:$D$1058,'[1]MAPA DE COTAÇÕES'!$A$12:$A$1058,"")</f>
        <v/>
      </c>
    </row>
    <row r="1433" spans="1:21" ht="15" x14ac:dyDescent="0.25">
      <c r="A1433" s="90" t="s">
        <v>3722</v>
      </c>
      <c r="B1433" s="90" t="s">
        <v>3290</v>
      </c>
      <c r="C1433" s="98" t="s">
        <v>3723</v>
      </c>
      <c r="D1433" s="92" t="s">
        <v>3724</v>
      </c>
      <c r="E1433" s="90" t="s">
        <v>93</v>
      </c>
      <c r="F1433" s="99">
        <v>95</v>
      </c>
      <c r="G1433" s="94">
        <v>41.25</v>
      </c>
      <c r="H1433" s="94">
        <v>23.15</v>
      </c>
      <c r="I1433" s="95">
        <v>64.400000000000006</v>
      </c>
      <c r="J1433" s="95">
        <v>3918.75</v>
      </c>
      <c r="K1433" s="95">
        <v>2199.25</v>
      </c>
      <c r="L1433" s="95">
        <v>6118</v>
      </c>
      <c r="M1433" s="96">
        <v>0.27529999999999999</v>
      </c>
      <c r="N1433" s="95">
        <v>52.61</v>
      </c>
      <c r="O1433" s="95">
        <v>29.52</v>
      </c>
      <c r="P1433" s="95">
        <v>82.13</v>
      </c>
      <c r="Q1433" s="95">
        <v>4997.95</v>
      </c>
      <c r="R1433" s="95">
        <v>2804.4</v>
      </c>
      <c r="S1433" s="95">
        <v>7802.35</v>
      </c>
      <c r="U1433" s="106" t="str">
        <f>_xlfn.XLOOKUP(I1433,'[1]MAPA DE COTAÇÕES'!$D$12:$D$1058,'[1]MAPA DE COTAÇÕES'!$A$12:$A$1058,"")</f>
        <v/>
      </c>
    </row>
    <row r="1434" spans="1:21" ht="15" x14ac:dyDescent="0.25">
      <c r="A1434" s="90" t="s">
        <v>3725</v>
      </c>
      <c r="B1434" s="90" t="s">
        <v>3290</v>
      </c>
      <c r="C1434" s="98" t="s">
        <v>3726</v>
      </c>
      <c r="D1434" s="108" t="s">
        <v>3727</v>
      </c>
      <c r="E1434" s="90" t="s">
        <v>249</v>
      </c>
      <c r="F1434" s="99">
        <v>14045.249999999996</v>
      </c>
      <c r="G1434" s="94">
        <v>84.89</v>
      </c>
      <c r="H1434" s="94">
        <v>34.72</v>
      </c>
      <c r="I1434" s="95">
        <v>119.61</v>
      </c>
      <c r="J1434" s="95">
        <v>1192301.27</v>
      </c>
      <c r="K1434" s="95">
        <v>487651.08</v>
      </c>
      <c r="L1434" s="95">
        <v>1679952.35</v>
      </c>
      <c r="M1434" s="96">
        <v>0.27529999999999999</v>
      </c>
      <c r="N1434" s="95">
        <v>108.26</v>
      </c>
      <c r="O1434" s="95">
        <v>44.28</v>
      </c>
      <c r="P1434" s="95">
        <v>152.54000000000002</v>
      </c>
      <c r="Q1434" s="95">
        <v>1520538.77</v>
      </c>
      <c r="R1434" s="95">
        <v>621923.67000000004</v>
      </c>
      <c r="S1434" s="95">
        <v>2142462.44</v>
      </c>
      <c r="U1434" s="106" t="str">
        <f>_xlfn.XLOOKUP(I1434,'[1]MAPA DE COTAÇÕES'!$D$12:$D$1058,'[1]MAPA DE COTAÇÕES'!$A$12:$A$1058,"")</f>
        <v/>
      </c>
    </row>
    <row r="1435" spans="1:21" ht="15" x14ac:dyDescent="0.25">
      <c r="A1435" s="90" t="s">
        <v>3728</v>
      </c>
      <c r="B1435" s="90" t="s">
        <v>3290</v>
      </c>
      <c r="C1435" s="98" t="s">
        <v>3729</v>
      </c>
      <c r="D1435" s="108" t="s">
        <v>3730</v>
      </c>
      <c r="E1435" s="90" t="s">
        <v>249</v>
      </c>
      <c r="F1435" s="99">
        <v>2126</v>
      </c>
      <c r="G1435" s="94">
        <v>69.69</v>
      </c>
      <c r="H1435" s="94">
        <v>34.72</v>
      </c>
      <c r="I1435" s="95">
        <v>104.41</v>
      </c>
      <c r="J1435" s="95">
        <v>148160.94</v>
      </c>
      <c r="K1435" s="95">
        <v>73814.720000000001</v>
      </c>
      <c r="L1435" s="95">
        <v>221975.66</v>
      </c>
      <c r="M1435" s="96">
        <v>0.27529999999999999</v>
      </c>
      <c r="N1435" s="95">
        <v>88.88</v>
      </c>
      <c r="O1435" s="95">
        <v>44.28</v>
      </c>
      <c r="P1435" s="95">
        <v>133.16</v>
      </c>
      <c r="Q1435" s="95">
        <v>188958.88</v>
      </c>
      <c r="R1435" s="95">
        <v>94139.28</v>
      </c>
      <c r="S1435" s="95">
        <v>283098.16000000003</v>
      </c>
      <c r="U1435" s="106" t="str">
        <f>_xlfn.XLOOKUP(I1435,'[1]MAPA DE COTAÇÕES'!$D$12:$D$1058,'[1]MAPA DE COTAÇÕES'!$A$12:$A$1058,"")</f>
        <v/>
      </c>
    </row>
    <row r="1436" spans="1:21" ht="15" x14ac:dyDescent="0.25">
      <c r="A1436" s="90" t="s">
        <v>3731</v>
      </c>
      <c r="B1436" s="90" t="s">
        <v>3290</v>
      </c>
      <c r="C1436" s="98" t="s">
        <v>3732</v>
      </c>
      <c r="D1436" s="92" t="s">
        <v>3733</v>
      </c>
      <c r="E1436" s="90" t="s">
        <v>385</v>
      </c>
      <c r="F1436" s="99">
        <v>2600</v>
      </c>
      <c r="G1436" s="94">
        <v>14.05</v>
      </c>
      <c r="H1436" s="94">
        <v>13.89</v>
      </c>
      <c r="I1436" s="95">
        <v>27.94</v>
      </c>
      <c r="J1436" s="95">
        <v>36530</v>
      </c>
      <c r="K1436" s="95">
        <v>36114</v>
      </c>
      <c r="L1436" s="95">
        <v>72644</v>
      </c>
      <c r="M1436" s="96">
        <v>0.27529999999999999</v>
      </c>
      <c r="N1436" s="95">
        <v>17.920000000000002</v>
      </c>
      <c r="O1436" s="95">
        <v>17.71</v>
      </c>
      <c r="P1436" s="95">
        <v>35.630000000000003</v>
      </c>
      <c r="Q1436" s="95">
        <v>46592</v>
      </c>
      <c r="R1436" s="95">
        <v>46046</v>
      </c>
      <c r="S1436" s="95">
        <v>92638</v>
      </c>
      <c r="U1436" s="106" t="str">
        <f>_xlfn.XLOOKUP(I1436,'[1]MAPA DE COTAÇÕES'!$D$12:$D$1058,'[1]MAPA DE COTAÇÕES'!$A$12:$A$1058,"")</f>
        <v/>
      </c>
    </row>
    <row r="1437" spans="1:21" ht="15" x14ac:dyDescent="0.25">
      <c r="A1437" s="90" t="s">
        <v>3734</v>
      </c>
      <c r="B1437" s="90" t="s">
        <v>3290</v>
      </c>
      <c r="C1437" s="98" t="s">
        <v>3735</v>
      </c>
      <c r="D1437" s="92" t="s">
        <v>3736</v>
      </c>
      <c r="E1437" s="90" t="s">
        <v>16</v>
      </c>
      <c r="F1437" s="99">
        <v>950</v>
      </c>
      <c r="G1437" s="94">
        <v>107.76</v>
      </c>
      <c r="H1437" s="94">
        <v>115.74</v>
      </c>
      <c r="I1437" s="95">
        <v>223.5</v>
      </c>
      <c r="J1437" s="95">
        <v>102372</v>
      </c>
      <c r="K1437" s="95">
        <v>109953</v>
      </c>
      <c r="L1437" s="95">
        <v>212325</v>
      </c>
      <c r="M1437" s="96">
        <v>0.27529999999999999</v>
      </c>
      <c r="N1437" s="95">
        <v>137.43</v>
      </c>
      <c r="O1437" s="95">
        <v>147.6</v>
      </c>
      <c r="P1437" s="95">
        <v>285.02999999999997</v>
      </c>
      <c r="Q1437" s="95">
        <v>130558.5</v>
      </c>
      <c r="R1437" s="95">
        <v>140220</v>
      </c>
      <c r="S1437" s="95">
        <v>270778.5</v>
      </c>
      <c r="U1437" s="106" t="str">
        <f>_xlfn.XLOOKUP(I1437,'[1]MAPA DE COTAÇÕES'!$D$12:$D$1058,'[1]MAPA DE COTAÇÕES'!$A$12:$A$1058,"")</f>
        <v/>
      </c>
    </row>
    <row r="1438" spans="1:21" ht="15" x14ac:dyDescent="0.25">
      <c r="A1438" s="90" t="s">
        <v>3737</v>
      </c>
      <c r="B1438" s="90" t="s">
        <v>3290</v>
      </c>
      <c r="C1438" s="98" t="s">
        <v>3738</v>
      </c>
      <c r="D1438" s="108" t="s">
        <v>3739</v>
      </c>
      <c r="E1438" s="90" t="s">
        <v>16</v>
      </c>
      <c r="F1438" s="99">
        <v>31</v>
      </c>
      <c r="G1438" s="94">
        <v>2029.05</v>
      </c>
      <c r="H1438" s="94">
        <v>95.53</v>
      </c>
      <c r="I1438" s="95">
        <v>2124.58</v>
      </c>
      <c r="J1438" s="95">
        <v>62900.55</v>
      </c>
      <c r="K1438" s="95">
        <v>2961.43</v>
      </c>
      <c r="L1438" s="95">
        <v>65861.98</v>
      </c>
      <c r="M1438" s="96">
        <v>0.27529999999999999</v>
      </c>
      <c r="N1438" s="95">
        <v>2587.65</v>
      </c>
      <c r="O1438" s="95">
        <v>121.83</v>
      </c>
      <c r="P1438" s="95">
        <v>2709.48</v>
      </c>
      <c r="Q1438" s="95">
        <v>80217.149999999994</v>
      </c>
      <c r="R1438" s="95">
        <v>3776.73</v>
      </c>
      <c r="S1438" s="95">
        <v>83993.87999999999</v>
      </c>
      <c r="U1438" s="106" t="str">
        <f>_xlfn.XLOOKUP(I1438,'[1]MAPA DE COTAÇÕES'!$D$12:$D$1058,'[1]MAPA DE COTAÇÕES'!$A$12:$A$1058,"")</f>
        <v/>
      </c>
    </row>
    <row r="1439" spans="1:21" ht="15" x14ac:dyDescent="0.25">
      <c r="A1439" s="90" t="s">
        <v>3740</v>
      </c>
      <c r="B1439" s="90" t="s">
        <v>3290</v>
      </c>
      <c r="C1439" s="98" t="s">
        <v>3741</v>
      </c>
      <c r="D1439" s="108" t="s">
        <v>3742</v>
      </c>
      <c r="E1439" s="90" t="s">
        <v>16</v>
      </c>
      <c r="F1439" s="99">
        <v>965</v>
      </c>
      <c r="G1439" s="94">
        <v>730.15</v>
      </c>
      <c r="H1439" s="94">
        <v>95.53</v>
      </c>
      <c r="I1439" s="95">
        <v>825.68</v>
      </c>
      <c r="J1439" s="95">
        <v>704594.75</v>
      </c>
      <c r="K1439" s="95">
        <v>92186.45</v>
      </c>
      <c r="L1439" s="95">
        <v>796781.2</v>
      </c>
      <c r="M1439" s="96">
        <v>0.27529999999999999</v>
      </c>
      <c r="N1439" s="95">
        <v>931.16</v>
      </c>
      <c r="O1439" s="95">
        <v>121.83</v>
      </c>
      <c r="P1439" s="95">
        <v>1052.99</v>
      </c>
      <c r="Q1439" s="95">
        <v>898569.4</v>
      </c>
      <c r="R1439" s="95">
        <v>117565.95</v>
      </c>
      <c r="S1439" s="95">
        <v>1016135.35</v>
      </c>
      <c r="U1439" s="106" t="str">
        <f>_xlfn.XLOOKUP(I1439,'[1]MAPA DE COTAÇÕES'!$D$12:$D$1058,'[1]MAPA DE COTAÇÕES'!$A$12:$A$1058,"")</f>
        <v/>
      </c>
    </row>
    <row r="1440" spans="1:21" ht="15" x14ac:dyDescent="0.25">
      <c r="A1440" s="90" t="s">
        <v>3743</v>
      </c>
      <c r="B1440" s="90" t="s">
        <v>3290</v>
      </c>
      <c r="C1440" s="98" t="s">
        <v>3744</v>
      </c>
      <c r="D1440" s="108" t="s">
        <v>3745</v>
      </c>
      <c r="E1440" s="90" t="s">
        <v>16</v>
      </c>
      <c r="F1440" s="99">
        <v>115</v>
      </c>
      <c r="G1440" s="94">
        <v>851.83</v>
      </c>
      <c r="H1440" s="94">
        <v>95.53</v>
      </c>
      <c r="I1440" s="95">
        <v>947.36</v>
      </c>
      <c r="J1440" s="95">
        <v>97960.45</v>
      </c>
      <c r="K1440" s="95">
        <v>10985.95</v>
      </c>
      <c r="L1440" s="95">
        <v>108946.4</v>
      </c>
      <c r="M1440" s="96">
        <v>0.27529999999999999</v>
      </c>
      <c r="N1440" s="95">
        <v>1086.3399999999999</v>
      </c>
      <c r="O1440" s="95">
        <v>121.83</v>
      </c>
      <c r="P1440" s="95">
        <v>1208.1699999999998</v>
      </c>
      <c r="Q1440" s="95">
        <v>124929.1</v>
      </c>
      <c r="R1440" s="95">
        <v>14010.45</v>
      </c>
      <c r="S1440" s="95">
        <v>138939.55000000002</v>
      </c>
      <c r="U1440" s="106" t="str">
        <f>_xlfn.XLOOKUP(I1440,'[1]MAPA DE COTAÇÕES'!$D$12:$D$1058,'[1]MAPA DE COTAÇÕES'!$A$12:$A$1058,"")</f>
        <v/>
      </c>
    </row>
    <row r="1441" spans="1:21" ht="15" x14ac:dyDescent="0.25">
      <c r="A1441" s="90" t="s">
        <v>3746</v>
      </c>
      <c r="B1441" s="90" t="s">
        <v>3290</v>
      </c>
      <c r="C1441" s="98" t="s">
        <v>3747</v>
      </c>
      <c r="D1441" s="108" t="s">
        <v>3748</v>
      </c>
      <c r="E1441" s="90" t="s">
        <v>16</v>
      </c>
      <c r="F1441" s="99">
        <v>382</v>
      </c>
      <c r="G1441" s="94">
        <v>507.8</v>
      </c>
      <c r="H1441" s="94">
        <v>95.53</v>
      </c>
      <c r="I1441" s="95">
        <v>603.33000000000004</v>
      </c>
      <c r="J1441" s="95">
        <v>193979.6</v>
      </c>
      <c r="K1441" s="95">
        <v>36492.46</v>
      </c>
      <c r="L1441" s="95">
        <v>230472.06</v>
      </c>
      <c r="M1441" s="96">
        <v>0.27529999999999999</v>
      </c>
      <c r="N1441" s="95">
        <v>647.6</v>
      </c>
      <c r="O1441" s="95">
        <v>121.83</v>
      </c>
      <c r="P1441" s="95">
        <v>769.43000000000006</v>
      </c>
      <c r="Q1441" s="95">
        <v>247383.2</v>
      </c>
      <c r="R1441" s="95">
        <v>46539.06</v>
      </c>
      <c r="S1441" s="95">
        <v>293922.26</v>
      </c>
      <c r="U1441" s="106" t="str">
        <f>_xlfn.XLOOKUP(I1441,'[1]MAPA DE COTAÇÕES'!$D$12:$D$1058,'[1]MAPA DE COTAÇÕES'!$A$12:$A$1058,"")</f>
        <v/>
      </c>
    </row>
    <row r="1442" spans="1:21" ht="15" x14ac:dyDescent="0.25">
      <c r="A1442" s="90" t="s">
        <v>3749</v>
      </c>
      <c r="B1442" s="90" t="s">
        <v>3290</v>
      </c>
      <c r="C1442" s="98" t="s">
        <v>3750</v>
      </c>
      <c r="D1442" s="108" t="s">
        <v>3751</v>
      </c>
      <c r="E1442" s="90" t="s">
        <v>16</v>
      </c>
      <c r="F1442" s="99">
        <v>20</v>
      </c>
      <c r="G1442" s="94">
        <v>1405.53</v>
      </c>
      <c r="H1442" s="94">
        <v>95.53</v>
      </c>
      <c r="I1442" s="95">
        <v>1501.06</v>
      </c>
      <c r="J1442" s="95">
        <v>28110.6</v>
      </c>
      <c r="K1442" s="95">
        <v>1910.6</v>
      </c>
      <c r="L1442" s="95">
        <v>30021.199999999997</v>
      </c>
      <c r="M1442" s="96">
        <v>0.27529999999999999</v>
      </c>
      <c r="N1442" s="95">
        <v>1792.47</v>
      </c>
      <c r="O1442" s="95">
        <v>121.83</v>
      </c>
      <c r="P1442" s="95">
        <v>1914.3</v>
      </c>
      <c r="Q1442" s="95">
        <v>35849.4</v>
      </c>
      <c r="R1442" s="95">
        <v>2436.6</v>
      </c>
      <c r="S1442" s="95">
        <v>38286</v>
      </c>
      <c r="U1442" s="106" t="str">
        <f>_xlfn.XLOOKUP(I1442,'[1]MAPA DE COTAÇÕES'!$D$12:$D$1058,'[1]MAPA DE COTAÇÕES'!$A$12:$A$1058,"")</f>
        <v/>
      </c>
    </row>
    <row r="1443" spans="1:21" ht="15" x14ac:dyDescent="0.25">
      <c r="A1443" s="90" t="s">
        <v>3752</v>
      </c>
      <c r="B1443" s="90" t="s">
        <v>3290</v>
      </c>
      <c r="C1443" s="98" t="s">
        <v>3753</v>
      </c>
      <c r="D1443" s="108" t="s">
        <v>3754</v>
      </c>
      <c r="E1443" s="90" t="s">
        <v>16</v>
      </c>
      <c r="F1443" s="99">
        <v>40</v>
      </c>
      <c r="G1443" s="94">
        <v>2241.27</v>
      </c>
      <c r="H1443" s="94">
        <v>95.53</v>
      </c>
      <c r="I1443" s="95">
        <v>2336.8000000000002</v>
      </c>
      <c r="J1443" s="95">
        <v>89650.8</v>
      </c>
      <c r="K1443" s="95">
        <v>3821.2</v>
      </c>
      <c r="L1443" s="95">
        <v>93472</v>
      </c>
      <c r="M1443" s="96">
        <v>0.27529999999999999</v>
      </c>
      <c r="N1443" s="95">
        <v>2858.29</v>
      </c>
      <c r="O1443" s="95">
        <v>121.83</v>
      </c>
      <c r="P1443" s="95">
        <v>2980.12</v>
      </c>
      <c r="Q1443" s="95">
        <v>114331.6</v>
      </c>
      <c r="R1443" s="95">
        <v>4873.2</v>
      </c>
      <c r="S1443" s="95">
        <v>119204.8</v>
      </c>
      <c r="U1443" s="106" t="str">
        <f>_xlfn.XLOOKUP(I1443,'[1]MAPA DE COTAÇÕES'!$D$12:$D$1058,'[1]MAPA DE COTAÇÕES'!$A$12:$A$1058,"")</f>
        <v/>
      </c>
    </row>
    <row r="1444" spans="1:21" ht="15" x14ac:dyDescent="0.25">
      <c r="A1444" s="90" t="s">
        <v>3755</v>
      </c>
      <c r="B1444" s="90" t="s">
        <v>3290</v>
      </c>
      <c r="C1444" s="98" t="s">
        <v>3756</v>
      </c>
      <c r="D1444" s="108" t="s">
        <v>3757</v>
      </c>
      <c r="E1444" s="90" t="s">
        <v>16</v>
      </c>
      <c r="F1444" s="99">
        <v>20</v>
      </c>
      <c r="G1444" s="94">
        <v>3210.03</v>
      </c>
      <c r="H1444" s="94">
        <v>95.53</v>
      </c>
      <c r="I1444" s="95">
        <v>3305.5600000000004</v>
      </c>
      <c r="J1444" s="95">
        <v>64200.6</v>
      </c>
      <c r="K1444" s="95">
        <v>1910.6</v>
      </c>
      <c r="L1444" s="95">
        <v>66111.199999999997</v>
      </c>
      <c r="M1444" s="96">
        <v>0.27529999999999999</v>
      </c>
      <c r="N1444" s="95">
        <v>4093.75</v>
      </c>
      <c r="O1444" s="95">
        <v>121.83</v>
      </c>
      <c r="P1444" s="95">
        <v>4215.58</v>
      </c>
      <c r="Q1444" s="95">
        <v>81875</v>
      </c>
      <c r="R1444" s="95">
        <v>2436.6</v>
      </c>
      <c r="S1444" s="95">
        <v>84311.6</v>
      </c>
      <c r="U1444" s="106" t="str">
        <f>_xlfn.XLOOKUP(I1444,'[1]MAPA DE COTAÇÕES'!$D$12:$D$1058,'[1]MAPA DE COTAÇÕES'!$A$12:$A$1058,"")</f>
        <v/>
      </c>
    </row>
    <row r="1445" spans="1:21" ht="15" x14ac:dyDescent="0.25">
      <c r="A1445" s="90" t="s">
        <v>3758</v>
      </c>
      <c r="B1445" s="90" t="s">
        <v>3290</v>
      </c>
      <c r="C1445" s="98" t="s">
        <v>3759</v>
      </c>
      <c r="D1445" s="108" t="s">
        <v>3760</v>
      </c>
      <c r="E1445" s="90" t="s">
        <v>16</v>
      </c>
      <c r="F1445" s="99">
        <v>2</v>
      </c>
      <c r="G1445" s="94">
        <v>125.32</v>
      </c>
      <c r="H1445" s="94">
        <v>95.53</v>
      </c>
      <c r="I1445" s="95">
        <v>220.85</v>
      </c>
      <c r="J1445" s="95">
        <v>250.64</v>
      </c>
      <c r="K1445" s="95">
        <v>191.06</v>
      </c>
      <c r="L1445" s="95">
        <v>441.7</v>
      </c>
      <c r="M1445" s="96">
        <v>0.27529999999999999</v>
      </c>
      <c r="N1445" s="95">
        <v>159.82</v>
      </c>
      <c r="O1445" s="95">
        <v>121.83</v>
      </c>
      <c r="P1445" s="95">
        <v>281.64999999999998</v>
      </c>
      <c r="Q1445" s="95">
        <v>319.64</v>
      </c>
      <c r="R1445" s="95">
        <v>243.66</v>
      </c>
      <c r="S1445" s="95">
        <v>563.29999999999995</v>
      </c>
      <c r="U1445" s="106" t="str">
        <f>_xlfn.XLOOKUP(I1445,'[1]MAPA DE COTAÇÕES'!$D$12:$D$1058,'[1]MAPA DE COTAÇÕES'!$A$12:$A$1058,"")</f>
        <v/>
      </c>
    </row>
    <row r="1446" spans="1:21" ht="15" x14ac:dyDescent="0.25">
      <c r="A1446" s="90" t="s">
        <v>3761</v>
      </c>
      <c r="B1446" s="90" t="s">
        <v>3290</v>
      </c>
      <c r="C1446" s="98" t="s">
        <v>3762</v>
      </c>
      <c r="D1446" s="108" t="s">
        <v>3763</v>
      </c>
      <c r="E1446" s="90" t="s">
        <v>16</v>
      </c>
      <c r="F1446" s="99">
        <v>183</v>
      </c>
      <c r="G1446" s="94">
        <v>135.04</v>
      </c>
      <c r="H1446" s="94">
        <v>95.53</v>
      </c>
      <c r="I1446" s="95">
        <v>230.57</v>
      </c>
      <c r="J1446" s="95">
        <v>24712.32</v>
      </c>
      <c r="K1446" s="95">
        <v>17481.990000000002</v>
      </c>
      <c r="L1446" s="95">
        <v>42194.31</v>
      </c>
      <c r="M1446" s="96">
        <v>0.27529999999999999</v>
      </c>
      <c r="N1446" s="95">
        <v>172.22</v>
      </c>
      <c r="O1446" s="95">
        <v>121.83</v>
      </c>
      <c r="P1446" s="95">
        <v>294.05</v>
      </c>
      <c r="Q1446" s="95">
        <v>31516.26</v>
      </c>
      <c r="R1446" s="95">
        <v>22294.89</v>
      </c>
      <c r="S1446" s="95">
        <v>53811.149999999994</v>
      </c>
      <c r="U1446" s="106" t="str">
        <f>_xlfn.XLOOKUP(I1446,'[1]MAPA DE COTAÇÕES'!$D$12:$D$1058,'[1]MAPA DE COTAÇÕES'!$A$12:$A$1058,"")</f>
        <v/>
      </c>
    </row>
    <row r="1447" spans="1:21" ht="15" x14ac:dyDescent="0.25">
      <c r="A1447" s="90" t="s">
        <v>3764</v>
      </c>
      <c r="B1447" s="90" t="s">
        <v>3290</v>
      </c>
      <c r="C1447" s="98" t="s">
        <v>3765</v>
      </c>
      <c r="D1447" s="108" t="s">
        <v>3766</v>
      </c>
      <c r="E1447" s="90" t="s">
        <v>16</v>
      </c>
      <c r="F1447" s="99">
        <v>86</v>
      </c>
      <c r="G1447" s="94">
        <v>1049.04</v>
      </c>
      <c r="H1447" s="94">
        <v>95.53</v>
      </c>
      <c r="I1447" s="95">
        <v>1144.57</v>
      </c>
      <c r="J1447" s="95">
        <v>90217.44</v>
      </c>
      <c r="K1447" s="95">
        <v>8215.58</v>
      </c>
      <c r="L1447" s="95">
        <v>98433.02</v>
      </c>
      <c r="M1447" s="96">
        <v>0.27529999999999999</v>
      </c>
      <c r="N1447" s="95">
        <v>1337.84</v>
      </c>
      <c r="O1447" s="95">
        <v>121.83</v>
      </c>
      <c r="P1447" s="95">
        <v>1459.6699999999998</v>
      </c>
      <c r="Q1447" s="95">
        <v>115054.24</v>
      </c>
      <c r="R1447" s="95">
        <v>10477.379999999999</v>
      </c>
      <c r="S1447" s="95">
        <v>125531.62000000001</v>
      </c>
      <c r="U1447" s="106" t="str">
        <f>_xlfn.XLOOKUP(I1447,'[1]MAPA DE COTAÇÕES'!$D$12:$D$1058,'[1]MAPA DE COTAÇÕES'!$A$12:$A$1058,"")</f>
        <v/>
      </c>
    </row>
    <row r="1448" spans="1:21" ht="15" x14ac:dyDescent="0.25">
      <c r="A1448" s="90" t="s">
        <v>3767</v>
      </c>
      <c r="B1448" s="90" t="s">
        <v>3290</v>
      </c>
      <c r="C1448" s="98" t="s">
        <v>3768</v>
      </c>
      <c r="D1448" s="108" t="s">
        <v>3769</v>
      </c>
      <c r="E1448" s="90" t="s">
        <v>16</v>
      </c>
      <c r="F1448" s="99">
        <v>5</v>
      </c>
      <c r="G1448" s="94">
        <v>1603.65</v>
      </c>
      <c r="H1448" s="94">
        <v>95.53</v>
      </c>
      <c r="I1448" s="95">
        <v>1699.18</v>
      </c>
      <c r="J1448" s="95">
        <v>8018.25</v>
      </c>
      <c r="K1448" s="95">
        <v>477.65</v>
      </c>
      <c r="L1448" s="95">
        <v>8495.9</v>
      </c>
      <c r="M1448" s="96">
        <v>0.27529999999999999</v>
      </c>
      <c r="N1448" s="95">
        <v>2045.13</v>
      </c>
      <c r="O1448" s="95">
        <v>121.83</v>
      </c>
      <c r="P1448" s="95">
        <v>2166.96</v>
      </c>
      <c r="Q1448" s="95">
        <v>10225.65</v>
      </c>
      <c r="R1448" s="95">
        <v>609.15</v>
      </c>
      <c r="S1448" s="95">
        <v>10834.8</v>
      </c>
      <c r="U1448" s="106" t="str">
        <f>_xlfn.XLOOKUP(I1448,'[1]MAPA DE COTAÇÕES'!$D$12:$D$1058,'[1]MAPA DE COTAÇÕES'!$A$12:$A$1058,"")</f>
        <v/>
      </c>
    </row>
    <row r="1449" spans="1:21" ht="15" x14ac:dyDescent="0.25">
      <c r="A1449" s="90" t="s">
        <v>3770</v>
      </c>
      <c r="B1449" s="90" t="s">
        <v>3290</v>
      </c>
      <c r="C1449" s="98" t="s">
        <v>3771</v>
      </c>
      <c r="D1449" s="108" t="s">
        <v>3772</v>
      </c>
      <c r="E1449" s="90" t="s">
        <v>16</v>
      </c>
      <c r="F1449" s="99">
        <v>89</v>
      </c>
      <c r="G1449" s="94">
        <v>239.2</v>
      </c>
      <c r="H1449" s="94">
        <v>95.53</v>
      </c>
      <c r="I1449" s="95">
        <v>334.73</v>
      </c>
      <c r="J1449" s="95">
        <v>21288.799999999999</v>
      </c>
      <c r="K1449" s="95">
        <v>8502.17</v>
      </c>
      <c r="L1449" s="95">
        <v>29790.97</v>
      </c>
      <c r="M1449" s="96">
        <v>0.27529999999999999</v>
      </c>
      <c r="N1449" s="95">
        <v>305.05</v>
      </c>
      <c r="O1449" s="95">
        <v>121.83</v>
      </c>
      <c r="P1449" s="95">
        <v>426.88</v>
      </c>
      <c r="Q1449" s="95">
        <v>27149.45</v>
      </c>
      <c r="R1449" s="95">
        <v>10842.87</v>
      </c>
      <c r="S1449" s="95">
        <v>37992.32</v>
      </c>
      <c r="U1449" s="106" t="str">
        <f>_xlfn.XLOOKUP(I1449,'[1]MAPA DE COTAÇÕES'!$D$12:$D$1058,'[1]MAPA DE COTAÇÕES'!$A$12:$A$1058,"")</f>
        <v/>
      </c>
    </row>
    <row r="1450" spans="1:21" ht="15" x14ac:dyDescent="0.25">
      <c r="A1450" s="90" t="s">
        <v>3773</v>
      </c>
      <c r="B1450" s="90" t="s">
        <v>3290</v>
      </c>
      <c r="C1450" s="98" t="s">
        <v>3774</v>
      </c>
      <c r="D1450" s="108" t="s">
        <v>3775</v>
      </c>
      <c r="E1450" s="90" t="s">
        <v>16</v>
      </c>
      <c r="F1450" s="99">
        <v>43</v>
      </c>
      <c r="G1450" s="94">
        <v>101.45</v>
      </c>
      <c r="H1450" s="94">
        <v>95.53</v>
      </c>
      <c r="I1450" s="95">
        <v>196.98000000000002</v>
      </c>
      <c r="J1450" s="95">
        <v>4362.3500000000004</v>
      </c>
      <c r="K1450" s="95">
        <v>4107.79</v>
      </c>
      <c r="L1450" s="95">
        <v>8470.14</v>
      </c>
      <c r="M1450" s="96">
        <v>0.27529999999999999</v>
      </c>
      <c r="N1450" s="95">
        <v>129.38</v>
      </c>
      <c r="O1450" s="95">
        <v>121.83</v>
      </c>
      <c r="P1450" s="95">
        <v>251.20999999999998</v>
      </c>
      <c r="Q1450" s="95">
        <v>5563.34</v>
      </c>
      <c r="R1450" s="95">
        <v>5238.6899999999996</v>
      </c>
      <c r="S1450" s="95">
        <v>10802.029999999999</v>
      </c>
      <c r="U1450" s="106" t="str">
        <f>_xlfn.XLOOKUP(I1450,'[1]MAPA DE COTAÇÕES'!$D$12:$D$1058,'[1]MAPA DE COTAÇÕES'!$A$12:$A$1058,"")</f>
        <v/>
      </c>
    </row>
    <row r="1451" spans="1:21" ht="15" x14ac:dyDescent="0.25">
      <c r="A1451" s="90" t="s">
        <v>3776</v>
      </c>
      <c r="B1451" s="90" t="s">
        <v>3290</v>
      </c>
      <c r="C1451" s="98" t="s">
        <v>3777</v>
      </c>
      <c r="D1451" s="108" t="s">
        <v>3778</v>
      </c>
      <c r="E1451" s="90" t="s">
        <v>16</v>
      </c>
      <c r="F1451" s="99">
        <v>5</v>
      </c>
      <c r="G1451" s="94">
        <v>155.55000000000001</v>
      </c>
      <c r="H1451" s="94">
        <v>104.99</v>
      </c>
      <c r="I1451" s="95">
        <v>260.54000000000002</v>
      </c>
      <c r="J1451" s="95">
        <v>777.75</v>
      </c>
      <c r="K1451" s="95">
        <v>524.95000000000005</v>
      </c>
      <c r="L1451" s="95">
        <v>1302.7</v>
      </c>
      <c r="M1451" s="96">
        <v>0.27529999999999999</v>
      </c>
      <c r="N1451" s="95">
        <v>198.37</v>
      </c>
      <c r="O1451" s="95">
        <v>133.88999999999999</v>
      </c>
      <c r="P1451" s="95">
        <v>332.26</v>
      </c>
      <c r="Q1451" s="95">
        <v>991.85</v>
      </c>
      <c r="R1451" s="95">
        <v>669.45</v>
      </c>
      <c r="S1451" s="95">
        <v>1661.3000000000002</v>
      </c>
      <c r="U1451" s="106" t="str">
        <f>_xlfn.XLOOKUP(I1451,'[1]MAPA DE COTAÇÕES'!$D$12:$D$1058,'[1]MAPA DE COTAÇÕES'!$A$12:$A$1058,"")</f>
        <v/>
      </c>
    </row>
    <row r="1452" spans="1:21" ht="15" x14ac:dyDescent="0.25">
      <c r="A1452" s="90" t="s">
        <v>3779</v>
      </c>
      <c r="B1452" s="90" t="s">
        <v>3290</v>
      </c>
      <c r="C1452" s="98" t="s">
        <v>3780</v>
      </c>
      <c r="D1452" s="108" t="s">
        <v>3781</v>
      </c>
      <c r="E1452" s="90" t="s">
        <v>16</v>
      </c>
      <c r="F1452" s="99">
        <v>63</v>
      </c>
      <c r="G1452" s="94">
        <v>125.32</v>
      </c>
      <c r="H1452" s="94">
        <v>95.53</v>
      </c>
      <c r="I1452" s="95">
        <v>220.85</v>
      </c>
      <c r="J1452" s="95">
        <v>7895.16</v>
      </c>
      <c r="K1452" s="95">
        <v>6018.39</v>
      </c>
      <c r="L1452" s="95">
        <v>13913.55</v>
      </c>
      <c r="M1452" s="96">
        <v>0.27529999999999999</v>
      </c>
      <c r="N1452" s="95">
        <v>159.82</v>
      </c>
      <c r="O1452" s="95">
        <v>121.83</v>
      </c>
      <c r="P1452" s="95">
        <v>281.64999999999998</v>
      </c>
      <c r="Q1452" s="95">
        <v>10068.66</v>
      </c>
      <c r="R1452" s="95">
        <v>7675.29</v>
      </c>
      <c r="S1452" s="95">
        <v>17743.95</v>
      </c>
      <c r="U1452" s="106" t="str">
        <f>_xlfn.XLOOKUP(I1452,'[1]MAPA DE COTAÇÕES'!$D$12:$D$1058,'[1]MAPA DE COTAÇÕES'!$A$12:$A$1058,"")</f>
        <v/>
      </c>
    </row>
    <row r="1453" spans="1:21" ht="15" x14ac:dyDescent="0.25">
      <c r="A1453" s="90" t="s">
        <v>3782</v>
      </c>
      <c r="B1453" s="90" t="s">
        <v>3290</v>
      </c>
      <c r="C1453" s="98" t="s">
        <v>3783</v>
      </c>
      <c r="D1453" s="108" t="s">
        <v>3784</v>
      </c>
      <c r="E1453" s="90" t="s">
        <v>16</v>
      </c>
      <c r="F1453" s="99">
        <v>2</v>
      </c>
      <c r="G1453" s="94">
        <v>167.66</v>
      </c>
      <c r="H1453" s="94">
        <v>105.89</v>
      </c>
      <c r="I1453" s="95">
        <v>273.55</v>
      </c>
      <c r="J1453" s="95">
        <v>335.32</v>
      </c>
      <c r="K1453" s="95">
        <v>211.78</v>
      </c>
      <c r="L1453" s="95">
        <v>547.1</v>
      </c>
      <c r="M1453" s="96">
        <v>0.27529999999999999</v>
      </c>
      <c r="N1453" s="95">
        <v>213.82</v>
      </c>
      <c r="O1453" s="95">
        <v>135.04</v>
      </c>
      <c r="P1453" s="95">
        <v>348.86</v>
      </c>
      <c r="Q1453" s="95">
        <v>427.64</v>
      </c>
      <c r="R1453" s="95">
        <v>270.08</v>
      </c>
      <c r="S1453" s="95">
        <v>697.72</v>
      </c>
      <c r="U1453" s="106" t="str">
        <f>_xlfn.XLOOKUP(I1453,'[1]MAPA DE COTAÇÕES'!$D$12:$D$1058,'[1]MAPA DE COTAÇÕES'!$A$12:$A$1058,"")</f>
        <v/>
      </c>
    </row>
    <row r="1454" spans="1:21" ht="15" x14ac:dyDescent="0.25">
      <c r="A1454" s="90" t="s">
        <v>3785</v>
      </c>
      <c r="B1454" s="90" t="s">
        <v>3290</v>
      </c>
      <c r="C1454" s="98" t="s">
        <v>3786</v>
      </c>
      <c r="D1454" s="108" t="s">
        <v>3787</v>
      </c>
      <c r="E1454" s="90" t="s">
        <v>16</v>
      </c>
      <c r="F1454" s="99">
        <v>52</v>
      </c>
      <c r="G1454" s="94">
        <v>280.10000000000002</v>
      </c>
      <c r="H1454" s="94">
        <v>114.17</v>
      </c>
      <c r="I1454" s="95">
        <v>394.27000000000004</v>
      </c>
      <c r="J1454" s="95">
        <v>14565.2</v>
      </c>
      <c r="K1454" s="95">
        <v>5936.84</v>
      </c>
      <c r="L1454" s="95">
        <v>20502.04</v>
      </c>
      <c r="M1454" s="96">
        <v>0.27529999999999999</v>
      </c>
      <c r="N1454" s="95">
        <v>357.21</v>
      </c>
      <c r="O1454" s="95">
        <v>145.6</v>
      </c>
      <c r="P1454" s="95">
        <v>502.80999999999995</v>
      </c>
      <c r="Q1454" s="95">
        <v>18574.919999999998</v>
      </c>
      <c r="R1454" s="95">
        <v>7571.2</v>
      </c>
      <c r="S1454" s="95">
        <v>26146.12</v>
      </c>
      <c r="U1454" s="106" t="str">
        <f>_xlfn.XLOOKUP(I1454,'[1]MAPA DE COTAÇÕES'!$D$12:$D$1058,'[1]MAPA DE COTAÇÕES'!$A$12:$A$1058,"")</f>
        <v/>
      </c>
    </row>
    <row r="1455" spans="1:21" ht="15" x14ac:dyDescent="0.25">
      <c r="A1455" s="90" t="s">
        <v>3788</v>
      </c>
      <c r="B1455" s="90" t="s">
        <v>3290</v>
      </c>
      <c r="C1455" s="98" t="s">
        <v>3789</v>
      </c>
      <c r="D1455" s="108" t="s">
        <v>3790</v>
      </c>
      <c r="E1455" s="90" t="s">
        <v>16</v>
      </c>
      <c r="F1455" s="99">
        <v>53</v>
      </c>
      <c r="G1455" s="94">
        <v>271.39</v>
      </c>
      <c r="H1455" s="94">
        <v>95.53</v>
      </c>
      <c r="I1455" s="95">
        <v>366.91999999999996</v>
      </c>
      <c r="J1455" s="95">
        <v>14383.67</v>
      </c>
      <c r="K1455" s="95">
        <v>5063.09</v>
      </c>
      <c r="L1455" s="95">
        <v>19446.760000000002</v>
      </c>
      <c r="M1455" s="96">
        <v>0.27529999999999999</v>
      </c>
      <c r="N1455" s="95">
        <v>346.1</v>
      </c>
      <c r="O1455" s="95">
        <v>121.83</v>
      </c>
      <c r="P1455" s="95">
        <v>467.93</v>
      </c>
      <c r="Q1455" s="95">
        <v>18343.3</v>
      </c>
      <c r="R1455" s="95">
        <v>6456.99</v>
      </c>
      <c r="S1455" s="95">
        <v>24800.29</v>
      </c>
      <c r="U1455" s="106" t="str">
        <f>_xlfn.XLOOKUP(I1455,'[1]MAPA DE COTAÇÕES'!$D$12:$D$1058,'[1]MAPA DE COTAÇÕES'!$A$12:$A$1058,"")</f>
        <v/>
      </c>
    </row>
    <row r="1456" spans="1:21" ht="15" x14ac:dyDescent="0.25">
      <c r="A1456" s="90" t="s">
        <v>3791</v>
      </c>
      <c r="B1456" s="90" t="s">
        <v>3290</v>
      </c>
      <c r="C1456" s="98" t="s">
        <v>3792</v>
      </c>
      <c r="D1456" s="108" t="s">
        <v>3793</v>
      </c>
      <c r="E1456" s="90" t="s">
        <v>16</v>
      </c>
      <c r="F1456" s="99">
        <v>19</v>
      </c>
      <c r="G1456" s="94">
        <v>248.91</v>
      </c>
      <c r="H1456" s="94">
        <v>95.53</v>
      </c>
      <c r="I1456" s="95">
        <v>344.44</v>
      </c>
      <c r="J1456" s="95">
        <v>4729.29</v>
      </c>
      <c r="K1456" s="95">
        <v>1815.07</v>
      </c>
      <c r="L1456" s="95">
        <v>6544.36</v>
      </c>
      <c r="M1456" s="96">
        <v>0.27529999999999999</v>
      </c>
      <c r="N1456" s="95">
        <v>317.43</v>
      </c>
      <c r="O1456" s="95">
        <v>121.83</v>
      </c>
      <c r="P1456" s="95">
        <v>439.26</v>
      </c>
      <c r="Q1456" s="95">
        <v>6031.17</v>
      </c>
      <c r="R1456" s="95">
        <v>2314.77</v>
      </c>
      <c r="S1456" s="95">
        <v>8345.94</v>
      </c>
      <c r="U1456" s="106" t="str">
        <f>_xlfn.XLOOKUP(I1456,'[1]MAPA DE COTAÇÕES'!$D$12:$D$1058,'[1]MAPA DE COTAÇÕES'!$A$12:$A$1058,"")</f>
        <v/>
      </c>
    </row>
    <row r="1457" spans="1:21" ht="15" x14ac:dyDescent="0.25">
      <c r="A1457" s="90" t="s">
        <v>3794</v>
      </c>
      <c r="B1457" s="90" t="s">
        <v>3290</v>
      </c>
      <c r="C1457" s="98" t="s">
        <v>3795</v>
      </c>
      <c r="D1457" s="108" t="s">
        <v>3796</v>
      </c>
      <c r="E1457" s="90" t="s">
        <v>16</v>
      </c>
      <c r="F1457" s="99">
        <v>12</v>
      </c>
      <c r="G1457" s="94">
        <v>321.64</v>
      </c>
      <c r="H1457" s="94">
        <v>95.53</v>
      </c>
      <c r="I1457" s="95">
        <v>417.16999999999996</v>
      </c>
      <c r="J1457" s="95">
        <v>3859.68</v>
      </c>
      <c r="K1457" s="95">
        <v>1146.3599999999999</v>
      </c>
      <c r="L1457" s="95">
        <v>5006.04</v>
      </c>
      <c r="M1457" s="96">
        <v>0.27529999999999999</v>
      </c>
      <c r="N1457" s="95">
        <v>410.19</v>
      </c>
      <c r="O1457" s="95">
        <v>121.83</v>
      </c>
      <c r="P1457" s="95">
        <v>532.02</v>
      </c>
      <c r="Q1457" s="95">
        <v>4922.28</v>
      </c>
      <c r="R1457" s="95">
        <v>1461.96</v>
      </c>
      <c r="S1457" s="95">
        <v>6384.24</v>
      </c>
      <c r="U1457" s="106" t="str">
        <f>_xlfn.XLOOKUP(I1457,'[1]MAPA DE COTAÇÕES'!$D$12:$D$1058,'[1]MAPA DE COTAÇÕES'!$A$12:$A$1058,"")</f>
        <v/>
      </c>
    </row>
    <row r="1458" spans="1:21" ht="15" x14ac:dyDescent="0.25">
      <c r="A1458" s="90" t="s">
        <v>3797</v>
      </c>
      <c r="B1458" s="90" t="s">
        <v>3290</v>
      </c>
      <c r="C1458" s="98" t="s">
        <v>3798</v>
      </c>
      <c r="D1458" s="108" t="s">
        <v>3799</v>
      </c>
      <c r="E1458" s="90" t="s">
        <v>16</v>
      </c>
      <c r="F1458" s="99">
        <v>7</v>
      </c>
      <c r="G1458" s="94">
        <v>284.97000000000003</v>
      </c>
      <c r="H1458" s="94">
        <v>95.53</v>
      </c>
      <c r="I1458" s="95">
        <v>380.5</v>
      </c>
      <c r="J1458" s="95">
        <v>1994.79</v>
      </c>
      <c r="K1458" s="95">
        <v>668.71</v>
      </c>
      <c r="L1458" s="95">
        <v>2663.5</v>
      </c>
      <c r="M1458" s="96">
        <v>0.27529999999999999</v>
      </c>
      <c r="N1458" s="95">
        <v>363.42</v>
      </c>
      <c r="O1458" s="95">
        <v>121.83</v>
      </c>
      <c r="P1458" s="95">
        <v>485.25</v>
      </c>
      <c r="Q1458" s="95">
        <v>2543.94</v>
      </c>
      <c r="R1458" s="95">
        <v>852.81</v>
      </c>
      <c r="S1458" s="95">
        <v>3396.75</v>
      </c>
      <c r="U1458" s="106" t="str">
        <f>_xlfn.XLOOKUP(I1458,'[1]MAPA DE COTAÇÕES'!$D$12:$D$1058,'[1]MAPA DE COTAÇÕES'!$A$12:$A$1058,"")</f>
        <v/>
      </c>
    </row>
    <row r="1459" spans="1:21" ht="15" x14ac:dyDescent="0.25">
      <c r="A1459" s="90" t="s">
        <v>3800</v>
      </c>
      <c r="B1459" s="90" t="s">
        <v>3290</v>
      </c>
      <c r="C1459" s="98" t="s">
        <v>3801</v>
      </c>
      <c r="D1459" s="108" t="s">
        <v>3802</v>
      </c>
      <c r="E1459" s="90" t="s">
        <v>16</v>
      </c>
      <c r="F1459" s="99">
        <v>1</v>
      </c>
      <c r="G1459" s="94">
        <v>435.79</v>
      </c>
      <c r="H1459" s="94">
        <v>125.65</v>
      </c>
      <c r="I1459" s="95">
        <v>561.44000000000005</v>
      </c>
      <c r="J1459" s="95">
        <v>435.79</v>
      </c>
      <c r="K1459" s="95">
        <v>125.65</v>
      </c>
      <c r="L1459" s="95">
        <v>561.44000000000005</v>
      </c>
      <c r="M1459" s="96">
        <v>0.27529999999999999</v>
      </c>
      <c r="N1459" s="95">
        <v>555.76</v>
      </c>
      <c r="O1459" s="95">
        <v>160.24</v>
      </c>
      <c r="P1459" s="95">
        <v>716</v>
      </c>
      <c r="Q1459" s="95">
        <v>555.76</v>
      </c>
      <c r="R1459" s="95">
        <v>160.24</v>
      </c>
      <c r="S1459" s="95">
        <v>716</v>
      </c>
      <c r="U1459" s="106" t="str">
        <f>_xlfn.XLOOKUP(I1459,'[1]MAPA DE COTAÇÕES'!$D$12:$D$1058,'[1]MAPA DE COTAÇÕES'!$A$12:$A$1058,"")</f>
        <v/>
      </c>
    </row>
    <row r="1460" spans="1:21" ht="15" x14ac:dyDescent="0.25">
      <c r="A1460" s="90" t="s">
        <v>3803</v>
      </c>
      <c r="B1460" s="90" t="s">
        <v>3290</v>
      </c>
      <c r="C1460" s="98" t="s">
        <v>3804</v>
      </c>
      <c r="D1460" s="108" t="s">
        <v>3805</v>
      </c>
      <c r="E1460" s="90" t="s">
        <v>16</v>
      </c>
      <c r="F1460" s="99">
        <v>8</v>
      </c>
      <c r="G1460" s="94">
        <v>376.23</v>
      </c>
      <c r="H1460" s="94">
        <v>95.53</v>
      </c>
      <c r="I1460" s="95">
        <v>471.76</v>
      </c>
      <c r="J1460" s="95">
        <v>3009.84</v>
      </c>
      <c r="K1460" s="95">
        <v>764.24</v>
      </c>
      <c r="L1460" s="95">
        <v>3774.08</v>
      </c>
      <c r="M1460" s="96">
        <v>0.27529999999999999</v>
      </c>
      <c r="N1460" s="95">
        <v>479.81</v>
      </c>
      <c r="O1460" s="95">
        <v>121.83</v>
      </c>
      <c r="P1460" s="95">
        <v>601.64</v>
      </c>
      <c r="Q1460" s="95">
        <v>3838.48</v>
      </c>
      <c r="R1460" s="95">
        <v>974.64</v>
      </c>
      <c r="S1460" s="95">
        <v>4813.12</v>
      </c>
      <c r="U1460" s="106" t="str">
        <f>_xlfn.XLOOKUP(I1460,'[1]MAPA DE COTAÇÕES'!$D$12:$D$1058,'[1]MAPA DE COTAÇÕES'!$A$12:$A$1058,"")</f>
        <v/>
      </c>
    </row>
    <row r="1461" spans="1:21" ht="15" x14ac:dyDescent="0.25">
      <c r="A1461" s="90" t="s">
        <v>3806</v>
      </c>
      <c r="B1461" s="90" t="s">
        <v>3290</v>
      </c>
      <c r="C1461" s="98" t="s">
        <v>3807</v>
      </c>
      <c r="D1461" s="108" t="s">
        <v>3808</v>
      </c>
      <c r="E1461" s="90" t="s">
        <v>16</v>
      </c>
      <c r="F1461" s="99">
        <v>7</v>
      </c>
      <c r="G1461" s="94">
        <v>337.62</v>
      </c>
      <c r="H1461" s="94">
        <v>95.53</v>
      </c>
      <c r="I1461" s="95">
        <v>433.15</v>
      </c>
      <c r="J1461" s="95">
        <v>2363.34</v>
      </c>
      <c r="K1461" s="95">
        <v>668.71</v>
      </c>
      <c r="L1461" s="95">
        <v>3032.05</v>
      </c>
      <c r="M1461" s="96">
        <v>0.27529999999999999</v>
      </c>
      <c r="N1461" s="95">
        <v>430.57</v>
      </c>
      <c r="O1461" s="95">
        <v>121.83</v>
      </c>
      <c r="P1461" s="95">
        <v>552.4</v>
      </c>
      <c r="Q1461" s="95">
        <v>3013.99</v>
      </c>
      <c r="R1461" s="95">
        <v>852.81</v>
      </c>
      <c r="S1461" s="95">
        <v>3866.7999999999997</v>
      </c>
      <c r="U1461" s="106" t="str">
        <f>_xlfn.XLOOKUP(I1461,'[1]MAPA DE COTAÇÕES'!$D$12:$D$1058,'[1]MAPA DE COTAÇÕES'!$A$12:$A$1058,"")</f>
        <v/>
      </c>
    </row>
    <row r="1462" spans="1:21" ht="15" x14ac:dyDescent="0.25">
      <c r="A1462" s="90" t="s">
        <v>3809</v>
      </c>
      <c r="B1462" s="90" t="s">
        <v>3290</v>
      </c>
      <c r="C1462" s="98" t="s">
        <v>3810</v>
      </c>
      <c r="D1462" s="108" t="s">
        <v>3811</v>
      </c>
      <c r="E1462" s="90" t="s">
        <v>16</v>
      </c>
      <c r="F1462" s="99">
        <v>14</v>
      </c>
      <c r="G1462" s="94">
        <v>550.33000000000004</v>
      </c>
      <c r="H1462" s="94">
        <v>95.53</v>
      </c>
      <c r="I1462" s="95">
        <v>645.86</v>
      </c>
      <c r="J1462" s="95">
        <v>7704.62</v>
      </c>
      <c r="K1462" s="95">
        <v>1337.42</v>
      </c>
      <c r="L1462" s="95">
        <v>9042.0400000000009</v>
      </c>
      <c r="M1462" s="96">
        <v>0.27529999999999999</v>
      </c>
      <c r="N1462" s="95">
        <v>701.84</v>
      </c>
      <c r="O1462" s="95">
        <v>121.83</v>
      </c>
      <c r="P1462" s="95">
        <v>823.67000000000007</v>
      </c>
      <c r="Q1462" s="95">
        <v>9825.76</v>
      </c>
      <c r="R1462" s="95">
        <v>1705.62</v>
      </c>
      <c r="S1462" s="95">
        <v>11531.380000000001</v>
      </c>
      <c r="U1462" s="106" t="str">
        <f>_xlfn.XLOOKUP(I1462,'[1]MAPA DE COTAÇÕES'!$D$12:$D$1058,'[1]MAPA DE COTAÇÕES'!$A$12:$A$1058,"")</f>
        <v/>
      </c>
    </row>
    <row r="1463" spans="1:21" ht="15" x14ac:dyDescent="0.25">
      <c r="A1463" s="90" t="s">
        <v>3812</v>
      </c>
      <c r="B1463" s="90" t="s">
        <v>3290</v>
      </c>
      <c r="C1463" s="98" t="s">
        <v>3813</v>
      </c>
      <c r="D1463" s="108" t="s">
        <v>3814</v>
      </c>
      <c r="E1463" s="90" t="s">
        <v>16</v>
      </c>
      <c r="F1463" s="99">
        <v>8</v>
      </c>
      <c r="G1463" s="94">
        <v>500.33</v>
      </c>
      <c r="H1463" s="94">
        <v>95.53</v>
      </c>
      <c r="I1463" s="95">
        <v>595.86</v>
      </c>
      <c r="J1463" s="95">
        <v>4002.64</v>
      </c>
      <c r="K1463" s="95">
        <v>764.24</v>
      </c>
      <c r="L1463" s="95">
        <v>4766.88</v>
      </c>
      <c r="M1463" s="96">
        <v>0.27529999999999999</v>
      </c>
      <c r="N1463" s="95">
        <v>638.07000000000005</v>
      </c>
      <c r="O1463" s="95">
        <v>121.83</v>
      </c>
      <c r="P1463" s="95">
        <v>759.90000000000009</v>
      </c>
      <c r="Q1463" s="95">
        <v>5104.5600000000004</v>
      </c>
      <c r="R1463" s="95">
        <v>974.64</v>
      </c>
      <c r="S1463" s="95">
        <v>6079.2000000000007</v>
      </c>
      <c r="U1463" s="106" t="str">
        <f>_xlfn.XLOOKUP(I1463,'[1]MAPA DE COTAÇÕES'!$D$12:$D$1058,'[1]MAPA DE COTAÇÕES'!$A$12:$A$1058,"")</f>
        <v/>
      </c>
    </row>
    <row r="1464" spans="1:21" ht="15" x14ac:dyDescent="0.25">
      <c r="A1464" s="90" t="s">
        <v>3815</v>
      </c>
      <c r="B1464" s="90" t="s">
        <v>3290</v>
      </c>
      <c r="C1464" s="98" t="s">
        <v>3816</v>
      </c>
      <c r="D1464" s="108" t="s">
        <v>3817</v>
      </c>
      <c r="E1464" s="90" t="s">
        <v>16</v>
      </c>
      <c r="F1464" s="99">
        <v>17</v>
      </c>
      <c r="G1464" s="94">
        <v>837.89</v>
      </c>
      <c r="H1464" s="94">
        <v>95.53</v>
      </c>
      <c r="I1464" s="95">
        <v>933.42</v>
      </c>
      <c r="J1464" s="95">
        <v>14244.13</v>
      </c>
      <c r="K1464" s="95">
        <v>1624.01</v>
      </c>
      <c r="L1464" s="95">
        <v>15868.14</v>
      </c>
      <c r="M1464" s="96">
        <v>0.27529999999999999</v>
      </c>
      <c r="N1464" s="95">
        <v>1068.56</v>
      </c>
      <c r="O1464" s="95">
        <v>121.83</v>
      </c>
      <c r="P1464" s="95">
        <v>1190.3899999999999</v>
      </c>
      <c r="Q1464" s="95">
        <v>18165.52</v>
      </c>
      <c r="R1464" s="95">
        <v>2071.11</v>
      </c>
      <c r="S1464" s="95">
        <v>20236.63</v>
      </c>
      <c r="U1464" s="106" t="str">
        <f>_xlfn.XLOOKUP(I1464,'[1]MAPA DE COTAÇÕES'!$D$12:$D$1058,'[1]MAPA DE COTAÇÕES'!$A$12:$A$1058,"")</f>
        <v/>
      </c>
    </row>
    <row r="1465" spans="1:21" ht="15" x14ac:dyDescent="0.25">
      <c r="A1465" s="90" t="s">
        <v>3818</v>
      </c>
      <c r="B1465" s="90" t="s">
        <v>3290</v>
      </c>
      <c r="C1465" s="98" t="s">
        <v>3819</v>
      </c>
      <c r="D1465" s="108" t="s">
        <v>3820</v>
      </c>
      <c r="E1465" s="90" t="s">
        <v>16</v>
      </c>
      <c r="F1465" s="99">
        <v>2</v>
      </c>
      <c r="G1465" s="94">
        <v>1525.63</v>
      </c>
      <c r="H1465" s="94">
        <v>205.99</v>
      </c>
      <c r="I1465" s="95">
        <v>1731.6200000000001</v>
      </c>
      <c r="J1465" s="95">
        <v>3051.26</v>
      </c>
      <c r="K1465" s="95">
        <v>411.98</v>
      </c>
      <c r="L1465" s="95">
        <v>3463.2400000000002</v>
      </c>
      <c r="M1465" s="96">
        <v>0.27529999999999999</v>
      </c>
      <c r="N1465" s="95">
        <v>1945.64</v>
      </c>
      <c r="O1465" s="95">
        <v>262.7</v>
      </c>
      <c r="P1465" s="95">
        <v>2208.34</v>
      </c>
      <c r="Q1465" s="95">
        <v>3891.28</v>
      </c>
      <c r="R1465" s="95">
        <v>525.4</v>
      </c>
      <c r="S1465" s="95">
        <v>4416.68</v>
      </c>
      <c r="U1465" s="106" t="str">
        <f>_xlfn.XLOOKUP(I1465,'[1]MAPA DE COTAÇÕES'!$D$12:$D$1058,'[1]MAPA DE COTAÇÕES'!$A$12:$A$1058,"")</f>
        <v/>
      </c>
    </row>
    <row r="1466" spans="1:21" ht="15" x14ac:dyDescent="0.25">
      <c r="A1466" s="90" t="s">
        <v>3821</v>
      </c>
      <c r="B1466" s="90" t="s">
        <v>3290</v>
      </c>
      <c r="C1466" s="98" t="s">
        <v>3822</v>
      </c>
      <c r="D1466" s="108" t="s">
        <v>3823</v>
      </c>
      <c r="E1466" s="90" t="s">
        <v>16</v>
      </c>
      <c r="F1466" s="99">
        <v>88</v>
      </c>
      <c r="G1466" s="94">
        <v>825.02</v>
      </c>
      <c r="H1466" s="94">
        <v>154.34</v>
      </c>
      <c r="I1466" s="95">
        <v>979.36</v>
      </c>
      <c r="J1466" s="95">
        <v>72601.759999999995</v>
      </c>
      <c r="K1466" s="95">
        <v>13581.92</v>
      </c>
      <c r="L1466" s="95">
        <v>86183.679999999993</v>
      </c>
      <c r="M1466" s="96">
        <v>0.27529999999999999</v>
      </c>
      <c r="N1466" s="95">
        <v>1052.1500000000001</v>
      </c>
      <c r="O1466" s="95">
        <v>196.83</v>
      </c>
      <c r="P1466" s="95">
        <v>1248.98</v>
      </c>
      <c r="Q1466" s="95">
        <v>92589.2</v>
      </c>
      <c r="R1466" s="95">
        <v>17321.04</v>
      </c>
      <c r="S1466" s="95">
        <v>109910.23999999999</v>
      </c>
      <c r="U1466" s="106" t="str">
        <f>_xlfn.XLOOKUP(I1466,'[1]MAPA DE COTAÇÕES'!$D$12:$D$1058,'[1]MAPA DE COTAÇÕES'!$A$12:$A$1058,"")</f>
        <v/>
      </c>
    </row>
    <row r="1467" spans="1:21" ht="15" x14ac:dyDescent="0.25">
      <c r="A1467" s="90" t="s">
        <v>3824</v>
      </c>
      <c r="B1467" s="90" t="s">
        <v>3290</v>
      </c>
      <c r="C1467" s="98" t="s">
        <v>3825</v>
      </c>
      <c r="D1467" s="108" t="s">
        <v>3826</v>
      </c>
      <c r="E1467" s="90" t="s">
        <v>16</v>
      </c>
      <c r="F1467" s="99">
        <v>19</v>
      </c>
      <c r="G1467" s="94">
        <v>647.16999999999996</v>
      </c>
      <c r="H1467" s="94">
        <v>95.53</v>
      </c>
      <c r="I1467" s="95">
        <v>742.69999999999993</v>
      </c>
      <c r="J1467" s="95">
        <v>12296.23</v>
      </c>
      <c r="K1467" s="95">
        <v>1815.07</v>
      </c>
      <c r="L1467" s="95">
        <v>14111.3</v>
      </c>
      <c r="M1467" s="96">
        <v>0.27529999999999999</v>
      </c>
      <c r="N1467" s="95">
        <v>825.34</v>
      </c>
      <c r="O1467" s="95">
        <v>121.83</v>
      </c>
      <c r="P1467" s="95">
        <v>947.17000000000007</v>
      </c>
      <c r="Q1467" s="95">
        <v>15681.46</v>
      </c>
      <c r="R1467" s="95">
        <v>2314.77</v>
      </c>
      <c r="S1467" s="95">
        <v>17996.23</v>
      </c>
      <c r="U1467" s="106" t="str">
        <f>_xlfn.XLOOKUP(I1467,'[1]MAPA DE COTAÇÕES'!$D$12:$D$1058,'[1]MAPA DE COTAÇÕES'!$A$12:$A$1058,"")</f>
        <v/>
      </c>
    </row>
    <row r="1468" spans="1:21" ht="15" x14ac:dyDescent="0.25">
      <c r="A1468" s="90" t="s">
        <v>3827</v>
      </c>
      <c r="B1468" s="90" t="s">
        <v>3290</v>
      </c>
      <c r="C1468" s="98" t="s">
        <v>3828</v>
      </c>
      <c r="D1468" s="108" t="s">
        <v>3829</v>
      </c>
      <c r="E1468" s="90" t="s">
        <v>16</v>
      </c>
      <c r="F1468" s="99">
        <v>60</v>
      </c>
      <c r="G1468" s="94">
        <v>837.89</v>
      </c>
      <c r="H1468" s="94">
        <v>95.53</v>
      </c>
      <c r="I1468" s="95">
        <v>933.42</v>
      </c>
      <c r="J1468" s="95">
        <v>50273.4</v>
      </c>
      <c r="K1468" s="95">
        <v>5731.8</v>
      </c>
      <c r="L1468" s="95">
        <v>56005.200000000004</v>
      </c>
      <c r="M1468" s="96">
        <v>0.27529999999999999</v>
      </c>
      <c r="N1468" s="95">
        <v>1068.56</v>
      </c>
      <c r="O1468" s="95">
        <v>121.83</v>
      </c>
      <c r="P1468" s="95">
        <v>1190.3899999999999</v>
      </c>
      <c r="Q1468" s="95">
        <v>64113.599999999999</v>
      </c>
      <c r="R1468" s="95">
        <v>7309.8</v>
      </c>
      <c r="S1468" s="95">
        <v>71423.399999999994</v>
      </c>
      <c r="U1468" s="106" t="str">
        <f>_xlfn.XLOOKUP(I1468,'[1]MAPA DE COTAÇÕES'!$D$12:$D$1058,'[1]MAPA DE COTAÇÕES'!$A$12:$A$1058,"")</f>
        <v/>
      </c>
    </row>
    <row r="1469" spans="1:21" ht="15" x14ac:dyDescent="0.25">
      <c r="A1469" s="90" t="s">
        <v>3830</v>
      </c>
      <c r="B1469" s="90" t="s">
        <v>3290</v>
      </c>
      <c r="C1469" s="98" t="s">
        <v>3831</v>
      </c>
      <c r="D1469" s="108" t="s">
        <v>3832</v>
      </c>
      <c r="E1469" s="90" t="s">
        <v>16</v>
      </c>
      <c r="F1469" s="99">
        <v>7</v>
      </c>
      <c r="G1469" s="94">
        <v>120.15</v>
      </c>
      <c r="H1469" s="94">
        <v>101.74</v>
      </c>
      <c r="I1469" s="95">
        <v>221.89</v>
      </c>
      <c r="J1469" s="95">
        <v>841.05</v>
      </c>
      <c r="K1469" s="95">
        <v>712.18</v>
      </c>
      <c r="L1469" s="95">
        <v>1553.23</v>
      </c>
      <c r="M1469" s="96">
        <v>0.27529999999999999</v>
      </c>
      <c r="N1469" s="95">
        <v>153.22999999999999</v>
      </c>
      <c r="O1469" s="95">
        <v>129.75</v>
      </c>
      <c r="P1469" s="95">
        <v>282.98</v>
      </c>
      <c r="Q1469" s="95">
        <v>1072.6099999999999</v>
      </c>
      <c r="R1469" s="95">
        <v>908.25</v>
      </c>
      <c r="S1469" s="95">
        <v>1980.86</v>
      </c>
      <c r="U1469" s="106" t="str">
        <f>_xlfn.XLOOKUP(I1469,'[1]MAPA DE COTAÇÕES'!$D$12:$D$1058,'[1]MAPA DE COTAÇÕES'!$A$12:$A$1058,"")</f>
        <v/>
      </c>
    </row>
    <row r="1470" spans="1:21" ht="15" x14ac:dyDescent="0.25">
      <c r="A1470" s="90" t="s">
        <v>3833</v>
      </c>
      <c r="B1470" s="90" t="s">
        <v>3290</v>
      </c>
      <c r="C1470" s="98" t="s">
        <v>3834</v>
      </c>
      <c r="D1470" s="108" t="s">
        <v>3835</v>
      </c>
      <c r="E1470" s="90" t="s">
        <v>16</v>
      </c>
      <c r="F1470" s="99">
        <v>72</v>
      </c>
      <c r="G1470" s="94">
        <v>89.71</v>
      </c>
      <c r="H1470" s="94">
        <v>101.74</v>
      </c>
      <c r="I1470" s="95">
        <v>191.45</v>
      </c>
      <c r="J1470" s="95">
        <v>6459.12</v>
      </c>
      <c r="K1470" s="95">
        <v>7325.28</v>
      </c>
      <c r="L1470" s="95">
        <v>13784.4</v>
      </c>
      <c r="M1470" s="96">
        <v>0.27529999999999999</v>
      </c>
      <c r="N1470" s="95">
        <v>114.41</v>
      </c>
      <c r="O1470" s="95">
        <v>129.75</v>
      </c>
      <c r="P1470" s="95">
        <v>244.16</v>
      </c>
      <c r="Q1470" s="95">
        <v>8237.52</v>
      </c>
      <c r="R1470" s="95">
        <v>9342</v>
      </c>
      <c r="S1470" s="95">
        <v>17579.52</v>
      </c>
      <c r="U1470" s="106" t="str">
        <f>_xlfn.XLOOKUP(I1470,'[1]MAPA DE COTAÇÕES'!$D$12:$D$1058,'[1]MAPA DE COTAÇÕES'!$A$12:$A$1058,"")</f>
        <v/>
      </c>
    </row>
    <row r="1471" spans="1:21" ht="15" x14ac:dyDescent="0.25">
      <c r="A1471" s="90" t="s">
        <v>3836</v>
      </c>
      <c r="B1471" s="90" t="s">
        <v>3290</v>
      </c>
      <c r="C1471" s="98" t="s">
        <v>3837</v>
      </c>
      <c r="D1471" s="108" t="s">
        <v>3838</v>
      </c>
      <c r="E1471" s="90" t="s">
        <v>16</v>
      </c>
      <c r="F1471" s="99">
        <v>1</v>
      </c>
      <c r="G1471" s="94">
        <v>295.42</v>
      </c>
      <c r="H1471" s="94">
        <v>101.74</v>
      </c>
      <c r="I1471" s="95">
        <v>397.16</v>
      </c>
      <c r="J1471" s="95">
        <v>295.42</v>
      </c>
      <c r="K1471" s="95">
        <v>101.74</v>
      </c>
      <c r="L1471" s="95">
        <v>397.16</v>
      </c>
      <c r="M1471" s="96">
        <v>0.27529999999999999</v>
      </c>
      <c r="N1471" s="95">
        <v>376.75</v>
      </c>
      <c r="O1471" s="95">
        <v>129.75</v>
      </c>
      <c r="P1471" s="95">
        <v>506.5</v>
      </c>
      <c r="Q1471" s="95">
        <v>376.75</v>
      </c>
      <c r="R1471" s="95">
        <v>129.75</v>
      </c>
      <c r="S1471" s="95">
        <v>506.5</v>
      </c>
      <c r="U1471" s="106" t="str">
        <f>_xlfn.XLOOKUP(I1471,'[1]MAPA DE COTAÇÕES'!$D$12:$D$1058,'[1]MAPA DE COTAÇÕES'!$A$12:$A$1058,"")</f>
        <v/>
      </c>
    </row>
    <row r="1472" spans="1:21" ht="15" x14ac:dyDescent="0.25">
      <c r="A1472" s="90" t="s">
        <v>3839</v>
      </c>
      <c r="B1472" s="90" t="s">
        <v>3290</v>
      </c>
      <c r="C1472" s="98" t="s">
        <v>3840</v>
      </c>
      <c r="D1472" s="108" t="s">
        <v>3841</v>
      </c>
      <c r="E1472" s="90" t="s">
        <v>16</v>
      </c>
      <c r="F1472" s="99">
        <v>3</v>
      </c>
      <c r="G1472" s="94">
        <v>395.84</v>
      </c>
      <c r="H1472" s="94">
        <v>101.74</v>
      </c>
      <c r="I1472" s="95">
        <v>497.58</v>
      </c>
      <c r="J1472" s="95">
        <v>1187.52</v>
      </c>
      <c r="K1472" s="95">
        <v>305.22000000000003</v>
      </c>
      <c r="L1472" s="95">
        <v>1492.74</v>
      </c>
      <c r="M1472" s="96">
        <v>0.27529999999999999</v>
      </c>
      <c r="N1472" s="95">
        <v>504.81</v>
      </c>
      <c r="O1472" s="95">
        <v>129.75</v>
      </c>
      <c r="P1472" s="95">
        <v>634.55999999999995</v>
      </c>
      <c r="Q1472" s="95">
        <v>1514.43</v>
      </c>
      <c r="R1472" s="95">
        <v>389.25</v>
      </c>
      <c r="S1472" s="95">
        <v>1903.68</v>
      </c>
      <c r="U1472" s="106" t="str">
        <f>_xlfn.XLOOKUP(I1472,'[1]MAPA DE COTAÇÕES'!$D$12:$D$1058,'[1]MAPA DE COTAÇÕES'!$A$12:$A$1058,"")</f>
        <v/>
      </c>
    </row>
    <row r="1473" spans="1:21" ht="15" x14ac:dyDescent="0.25">
      <c r="A1473" s="90" t="s">
        <v>3842</v>
      </c>
      <c r="B1473" s="90" t="s">
        <v>3290</v>
      </c>
      <c r="C1473" s="98" t="s">
        <v>3843</v>
      </c>
      <c r="D1473" s="108" t="s">
        <v>3844</v>
      </c>
      <c r="E1473" s="90" t="s">
        <v>16</v>
      </c>
      <c r="F1473" s="99">
        <v>2</v>
      </c>
      <c r="G1473" s="94">
        <v>563.08000000000004</v>
      </c>
      <c r="H1473" s="94">
        <v>101.74</v>
      </c>
      <c r="I1473" s="95">
        <v>664.82</v>
      </c>
      <c r="J1473" s="95">
        <v>1126.1600000000001</v>
      </c>
      <c r="K1473" s="95">
        <v>203.48</v>
      </c>
      <c r="L1473" s="95">
        <v>1329.64</v>
      </c>
      <c r="M1473" s="96">
        <v>0.27529999999999999</v>
      </c>
      <c r="N1473" s="95">
        <v>718.1</v>
      </c>
      <c r="O1473" s="95">
        <v>129.75</v>
      </c>
      <c r="P1473" s="95">
        <v>847.85</v>
      </c>
      <c r="Q1473" s="95">
        <v>1436.2</v>
      </c>
      <c r="R1473" s="95">
        <v>259.5</v>
      </c>
      <c r="S1473" s="95">
        <v>1695.7</v>
      </c>
      <c r="U1473" s="106" t="str">
        <f>_xlfn.XLOOKUP(I1473,'[1]MAPA DE COTAÇÕES'!$D$12:$D$1058,'[1]MAPA DE COTAÇÕES'!$A$12:$A$1058,"")</f>
        <v/>
      </c>
    </row>
    <row r="1474" spans="1:21" ht="15" x14ac:dyDescent="0.25">
      <c r="A1474" s="90" t="s">
        <v>3845</v>
      </c>
      <c r="B1474" s="90" t="s">
        <v>3290</v>
      </c>
      <c r="C1474" s="98" t="s">
        <v>3846</v>
      </c>
      <c r="D1474" s="108" t="s">
        <v>3847</v>
      </c>
      <c r="E1474" s="90" t="s">
        <v>16</v>
      </c>
      <c r="F1474" s="99">
        <v>6</v>
      </c>
      <c r="G1474" s="94">
        <v>640.85</v>
      </c>
      <c r="H1474" s="94">
        <v>101.74</v>
      </c>
      <c r="I1474" s="95">
        <v>742.59</v>
      </c>
      <c r="J1474" s="95">
        <v>3845.1</v>
      </c>
      <c r="K1474" s="95">
        <v>610.44000000000005</v>
      </c>
      <c r="L1474" s="95">
        <v>4455.54</v>
      </c>
      <c r="M1474" s="96">
        <v>0.27529999999999999</v>
      </c>
      <c r="N1474" s="95">
        <v>817.28</v>
      </c>
      <c r="O1474" s="95">
        <v>129.75</v>
      </c>
      <c r="P1474" s="95">
        <v>947.03</v>
      </c>
      <c r="Q1474" s="95">
        <v>4903.68</v>
      </c>
      <c r="R1474" s="95">
        <v>778.5</v>
      </c>
      <c r="S1474" s="95">
        <v>5682.18</v>
      </c>
      <c r="U1474" s="106" t="str">
        <f>_xlfn.XLOOKUP(I1474,'[1]MAPA DE COTAÇÕES'!$D$12:$D$1058,'[1]MAPA DE COTAÇÕES'!$A$12:$A$1058,"")</f>
        <v/>
      </c>
    </row>
    <row r="1475" spans="1:21" ht="15" x14ac:dyDescent="0.25">
      <c r="A1475" s="90" t="s">
        <v>3848</v>
      </c>
      <c r="B1475" s="90" t="s">
        <v>3290</v>
      </c>
      <c r="C1475" s="98" t="s">
        <v>3849</v>
      </c>
      <c r="D1475" s="108" t="s">
        <v>3850</v>
      </c>
      <c r="E1475" s="90" t="s">
        <v>16</v>
      </c>
      <c r="F1475" s="99">
        <v>1</v>
      </c>
      <c r="G1475" s="94">
        <v>1068.72</v>
      </c>
      <c r="H1475" s="94">
        <v>101.74</v>
      </c>
      <c r="I1475" s="95">
        <v>1170.46</v>
      </c>
      <c r="J1475" s="95">
        <v>1068.72</v>
      </c>
      <c r="K1475" s="95">
        <v>101.74</v>
      </c>
      <c r="L1475" s="95">
        <v>1170.46</v>
      </c>
      <c r="M1475" s="96">
        <v>0.27529999999999999</v>
      </c>
      <c r="N1475" s="95">
        <v>1362.94</v>
      </c>
      <c r="O1475" s="95">
        <v>129.75</v>
      </c>
      <c r="P1475" s="95">
        <v>1492.69</v>
      </c>
      <c r="Q1475" s="95">
        <v>1362.94</v>
      </c>
      <c r="R1475" s="95">
        <v>129.75</v>
      </c>
      <c r="S1475" s="95">
        <v>1492.69</v>
      </c>
      <c r="U1475" s="106" t="str">
        <f>_xlfn.XLOOKUP(I1475,'[1]MAPA DE COTAÇÕES'!$D$12:$D$1058,'[1]MAPA DE COTAÇÕES'!$A$12:$A$1058,"")</f>
        <v/>
      </c>
    </row>
    <row r="1476" spans="1:21" ht="15" x14ac:dyDescent="0.25">
      <c r="A1476" s="90" t="s">
        <v>3851</v>
      </c>
      <c r="B1476" s="90" t="s">
        <v>3290</v>
      </c>
      <c r="C1476" s="98" t="s">
        <v>3852</v>
      </c>
      <c r="D1476" s="92" t="s">
        <v>3853</v>
      </c>
      <c r="E1476" s="90" t="s">
        <v>16</v>
      </c>
      <c r="F1476" s="99">
        <v>1</v>
      </c>
      <c r="G1476" s="94">
        <v>164.02</v>
      </c>
      <c r="H1476" s="94">
        <v>98.76</v>
      </c>
      <c r="I1476" s="95">
        <v>262.78000000000003</v>
      </c>
      <c r="J1476" s="95">
        <v>164.02</v>
      </c>
      <c r="K1476" s="95">
        <v>98.76</v>
      </c>
      <c r="L1476" s="95">
        <v>262.78000000000003</v>
      </c>
      <c r="M1476" s="96">
        <v>0.27529999999999999</v>
      </c>
      <c r="N1476" s="95">
        <v>209.17</v>
      </c>
      <c r="O1476" s="95">
        <v>125.95</v>
      </c>
      <c r="P1476" s="95">
        <v>335.12</v>
      </c>
      <c r="Q1476" s="95">
        <v>209.17</v>
      </c>
      <c r="R1476" s="95">
        <v>125.95</v>
      </c>
      <c r="S1476" s="95">
        <v>335.12</v>
      </c>
      <c r="U1476" s="106" t="str">
        <f>_xlfn.XLOOKUP(I1476,'[1]MAPA DE COTAÇÕES'!$D$12:$D$1058,'[1]MAPA DE COTAÇÕES'!$A$12:$A$1058,"")</f>
        <v/>
      </c>
    </row>
    <row r="1477" spans="1:21" ht="15" x14ac:dyDescent="0.25">
      <c r="A1477" s="90" t="s">
        <v>3854</v>
      </c>
      <c r="B1477" s="90" t="s">
        <v>3290</v>
      </c>
      <c r="C1477" s="98" t="s">
        <v>3855</v>
      </c>
      <c r="D1477" s="92" t="s">
        <v>3856</v>
      </c>
      <c r="E1477" s="90" t="s">
        <v>16</v>
      </c>
      <c r="F1477" s="99">
        <v>31</v>
      </c>
      <c r="G1477" s="94">
        <v>183.78</v>
      </c>
      <c r="H1477" s="94">
        <v>98.76</v>
      </c>
      <c r="I1477" s="95">
        <v>282.54000000000002</v>
      </c>
      <c r="J1477" s="95">
        <v>5697.18</v>
      </c>
      <c r="K1477" s="95">
        <v>3061.56</v>
      </c>
      <c r="L1477" s="95">
        <v>8758.74</v>
      </c>
      <c r="M1477" s="96">
        <v>0.27529999999999999</v>
      </c>
      <c r="N1477" s="95">
        <v>234.37</v>
      </c>
      <c r="O1477" s="95">
        <v>125.95</v>
      </c>
      <c r="P1477" s="95">
        <v>360.32</v>
      </c>
      <c r="Q1477" s="95">
        <v>7265.47</v>
      </c>
      <c r="R1477" s="95">
        <v>3904.45</v>
      </c>
      <c r="S1477" s="95">
        <v>11169.92</v>
      </c>
      <c r="U1477" s="106" t="str">
        <f>_xlfn.XLOOKUP(I1477,'[1]MAPA DE COTAÇÕES'!$D$12:$D$1058,'[1]MAPA DE COTAÇÕES'!$A$12:$A$1058,"")</f>
        <v/>
      </c>
    </row>
    <row r="1478" spans="1:21" ht="15" x14ac:dyDescent="0.25">
      <c r="A1478" s="90" t="s">
        <v>3857</v>
      </c>
      <c r="B1478" s="90" t="s">
        <v>3290</v>
      </c>
      <c r="C1478" s="98" t="s">
        <v>3858</v>
      </c>
      <c r="D1478" s="92" t="s">
        <v>3859</v>
      </c>
      <c r="E1478" s="90" t="s">
        <v>16</v>
      </c>
      <c r="F1478" s="99">
        <v>1</v>
      </c>
      <c r="G1478" s="94">
        <v>203.53</v>
      </c>
      <c r="H1478" s="94">
        <v>98.76</v>
      </c>
      <c r="I1478" s="95">
        <v>302.29000000000002</v>
      </c>
      <c r="J1478" s="95">
        <v>203.53</v>
      </c>
      <c r="K1478" s="95">
        <v>98.76</v>
      </c>
      <c r="L1478" s="95">
        <v>302.29000000000002</v>
      </c>
      <c r="M1478" s="96">
        <v>0.27529999999999999</v>
      </c>
      <c r="N1478" s="95">
        <v>259.56</v>
      </c>
      <c r="O1478" s="95">
        <v>125.95</v>
      </c>
      <c r="P1478" s="95">
        <v>385.51</v>
      </c>
      <c r="Q1478" s="95">
        <v>259.56</v>
      </c>
      <c r="R1478" s="95">
        <v>125.95</v>
      </c>
      <c r="S1478" s="95">
        <v>385.51</v>
      </c>
      <c r="U1478" s="106" t="str">
        <f>_xlfn.XLOOKUP(I1478,'[1]MAPA DE COTAÇÕES'!$D$12:$D$1058,'[1]MAPA DE COTAÇÕES'!$A$12:$A$1058,"")</f>
        <v/>
      </c>
    </row>
    <row r="1479" spans="1:21" ht="15" x14ac:dyDescent="0.25">
      <c r="A1479" s="90" t="s">
        <v>3860</v>
      </c>
      <c r="B1479" s="90" t="s">
        <v>3290</v>
      </c>
      <c r="C1479" s="98" t="s">
        <v>3861</v>
      </c>
      <c r="D1479" s="92" t="s">
        <v>3862</v>
      </c>
      <c r="E1479" s="90" t="s">
        <v>16</v>
      </c>
      <c r="F1479" s="99">
        <v>1</v>
      </c>
      <c r="G1479" s="94">
        <v>282.54000000000002</v>
      </c>
      <c r="H1479" s="94">
        <v>98.76</v>
      </c>
      <c r="I1479" s="95">
        <v>381.3</v>
      </c>
      <c r="J1479" s="95">
        <v>282.54000000000002</v>
      </c>
      <c r="K1479" s="95">
        <v>98.76</v>
      </c>
      <c r="L1479" s="95">
        <v>381.3</v>
      </c>
      <c r="M1479" s="96">
        <v>0.27529999999999999</v>
      </c>
      <c r="N1479" s="95">
        <v>360.32</v>
      </c>
      <c r="O1479" s="95">
        <v>125.95</v>
      </c>
      <c r="P1479" s="95">
        <v>486.27</v>
      </c>
      <c r="Q1479" s="95">
        <v>360.32</v>
      </c>
      <c r="R1479" s="95">
        <v>125.95</v>
      </c>
      <c r="S1479" s="95">
        <v>486.27</v>
      </c>
      <c r="U1479" s="106" t="str">
        <f>_xlfn.XLOOKUP(I1479,'[1]MAPA DE COTAÇÕES'!$D$12:$D$1058,'[1]MAPA DE COTAÇÕES'!$A$12:$A$1058,"")</f>
        <v/>
      </c>
    </row>
    <row r="1480" spans="1:21" ht="15" x14ac:dyDescent="0.25">
      <c r="A1480" s="90" t="s">
        <v>3863</v>
      </c>
      <c r="B1480" s="90" t="s">
        <v>3290</v>
      </c>
      <c r="C1480" s="98" t="s">
        <v>3864</v>
      </c>
      <c r="D1480" s="92" t="s">
        <v>3865</v>
      </c>
      <c r="E1480" s="90" t="s">
        <v>16</v>
      </c>
      <c r="F1480" s="99">
        <v>2</v>
      </c>
      <c r="G1480" s="94">
        <v>203.53</v>
      </c>
      <c r="H1480" s="94">
        <v>98.76</v>
      </c>
      <c r="I1480" s="95">
        <v>302.29000000000002</v>
      </c>
      <c r="J1480" s="95">
        <v>407.06</v>
      </c>
      <c r="K1480" s="95">
        <v>197.52</v>
      </c>
      <c r="L1480" s="95">
        <v>604.58000000000004</v>
      </c>
      <c r="M1480" s="96">
        <v>0.27529999999999999</v>
      </c>
      <c r="N1480" s="95">
        <v>259.56</v>
      </c>
      <c r="O1480" s="95">
        <v>125.95</v>
      </c>
      <c r="P1480" s="95">
        <v>385.51</v>
      </c>
      <c r="Q1480" s="95">
        <v>519.12</v>
      </c>
      <c r="R1480" s="95">
        <v>251.9</v>
      </c>
      <c r="S1480" s="95">
        <v>771.02</v>
      </c>
      <c r="U1480" s="106" t="str">
        <f>_xlfn.XLOOKUP(I1480,'[1]MAPA DE COTAÇÕES'!$D$12:$D$1058,'[1]MAPA DE COTAÇÕES'!$A$12:$A$1058,"")</f>
        <v/>
      </c>
    </row>
    <row r="1481" spans="1:21" ht="15" x14ac:dyDescent="0.25">
      <c r="A1481" s="90" t="s">
        <v>3866</v>
      </c>
      <c r="B1481" s="90" t="s">
        <v>3290</v>
      </c>
      <c r="C1481" s="98" t="s">
        <v>3867</v>
      </c>
      <c r="D1481" s="92" t="s">
        <v>3868</v>
      </c>
      <c r="E1481" s="90" t="s">
        <v>16</v>
      </c>
      <c r="F1481" s="99">
        <v>15</v>
      </c>
      <c r="G1481" s="94">
        <v>216.97</v>
      </c>
      <c r="H1481" s="94">
        <v>98.76</v>
      </c>
      <c r="I1481" s="95">
        <v>315.73</v>
      </c>
      <c r="J1481" s="95">
        <v>3254.55</v>
      </c>
      <c r="K1481" s="95">
        <v>1481.4</v>
      </c>
      <c r="L1481" s="95">
        <v>4735.9500000000007</v>
      </c>
      <c r="M1481" s="96">
        <v>0.27529999999999999</v>
      </c>
      <c r="N1481" s="95">
        <v>276.7</v>
      </c>
      <c r="O1481" s="95">
        <v>125.95</v>
      </c>
      <c r="P1481" s="95">
        <v>402.65</v>
      </c>
      <c r="Q1481" s="95">
        <v>4150.5</v>
      </c>
      <c r="R1481" s="95">
        <v>1889.25</v>
      </c>
      <c r="S1481" s="95">
        <v>6039.75</v>
      </c>
      <c r="U1481" s="106" t="str">
        <f>_xlfn.XLOOKUP(I1481,'[1]MAPA DE COTAÇÕES'!$D$12:$D$1058,'[1]MAPA DE COTAÇÕES'!$A$12:$A$1058,"")</f>
        <v/>
      </c>
    </row>
    <row r="1482" spans="1:21" ht="15" x14ac:dyDescent="0.25">
      <c r="A1482" s="90" t="s">
        <v>3869</v>
      </c>
      <c r="B1482" s="90" t="s">
        <v>3290</v>
      </c>
      <c r="C1482" s="98" t="s">
        <v>3870</v>
      </c>
      <c r="D1482" s="92" t="s">
        <v>3871</v>
      </c>
      <c r="E1482" s="90" t="s">
        <v>16</v>
      </c>
      <c r="F1482" s="99">
        <v>18</v>
      </c>
      <c r="G1482" s="94">
        <v>238.09</v>
      </c>
      <c r="H1482" s="94">
        <v>98.76</v>
      </c>
      <c r="I1482" s="95">
        <v>336.85</v>
      </c>
      <c r="J1482" s="95">
        <v>4285.62</v>
      </c>
      <c r="K1482" s="95">
        <v>1777.68</v>
      </c>
      <c r="L1482" s="95">
        <v>6063.3</v>
      </c>
      <c r="M1482" s="96">
        <v>0.27529999999999999</v>
      </c>
      <c r="N1482" s="95">
        <v>303.64</v>
      </c>
      <c r="O1482" s="95">
        <v>125.95</v>
      </c>
      <c r="P1482" s="95">
        <v>429.59</v>
      </c>
      <c r="Q1482" s="95">
        <v>5465.52</v>
      </c>
      <c r="R1482" s="95">
        <v>2267.1</v>
      </c>
      <c r="S1482" s="95">
        <v>7732.6200000000008</v>
      </c>
      <c r="U1482" s="106" t="str">
        <f>_xlfn.XLOOKUP(I1482,'[1]MAPA DE COTAÇÕES'!$D$12:$D$1058,'[1]MAPA DE COTAÇÕES'!$A$12:$A$1058,"")</f>
        <v/>
      </c>
    </row>
    <row r="1483" spans="1:21" ht="15" x14ac:dyDescent="0.25">
      <c r="A1483" s="90" t="s">
        <v>3872</v>
      </c>
      <c r="B1483" s="90" t="s">
        <v>3290</v>
      </c>
      <c r="C1483" s="98" t="s">
        <v>3873</v>
      </c>
      <c r="D1483" s="92" t="s">
        <v>3874</v>
      </c>
      <c r="E1483" s="90" t="s">
        <v>16</v>
      </c>
      <c r="F1483" s="99">
        <v>7</v>
      </c>
      <c r="G1483" s="94">
        <v>259.2</v>
      </c>
      <c r="H1483" s="94">
        <v>98.76</v>
      </c>
      <c r="I1483" s="95">
        <v>357.96</v>
      </c>
      <c r="J1483" s="95">
        <v>1814.4</v>
      </c>
      <c r="K1483" s="95">
        <v>691.32</v>
      </c>
      <c r="L1483" s="95">
        <v>2505.7200000000003</v>
      </c>
      <c r="M1483" s="96">
        <v>0.27529999999999999</v>
      </c>
      <c r="N1483" s="95">
        <v>330.56</v>
      </c>
      <c r="O1483" s="95">
        <v>125.95</v>
      </c>
      <c r="P1483" s="95">
        <v>456.51</v>
      </c>
      <c r="Q1483" s="95">
        <v>2313.92</v>
      </c>
      <c r="R1483" s="95">
        <v>881.65</v>
      </c>
      <c r="S1483" s="95">
        <v>3195.57</v>
      </c>
      <c r="U1483" s="106" t="str">
        <f>_xlfn.XLOOKUP(I1483,'[1]MAPA DE COTAÇÕES'!$D$12:$D$1058,'[1]MAPA DE COTAÇÕES'!$A$12:$A$1058,"")</f>
        <v/>
      </c>
    </row>
    <row r="1484" spans="1:21" ht="15" x14ac:dyDescent="0.25">
      <c r="A1484" s="90" t="s">
        <v>3875</v>
      </c>
      <c r="B1484" s="90" t="s">
        <v>3290</v>
      </c>
      <c r="C1484" s="98" t="s">
        <v>3876</v>
      </c>
      <c r="D1484" s="92" t="s">
        <v>3877</v>
      </c>
      <c r="E1484" s="90" t="s">
        <v>16</v>
      </c>
      <c r="F1484" s="99">
        <v>7</v>
      </c>
      <c r="G1484" s="94">
        <v>261.89999999999998</v>
      </c>
      <c r="H1484" s="94">
        <v>98.76</v>
      </c>
      <c r="I1484" s="95">
        <v>360.65999999999997</v>
      </c>
      <c r="J1484" s="95">
        <v>1833.3</v>
      </c>
      <c r="K1484" s="95">
        <v>691.32</v>
      </c>
      <c r="L1484" s="95">
        <v>2524.62</v>
      </c>
      <c r="M1484" s="96">
        <v>0.27529999999999999</v>
      </c>
      <c r="N1484" s="95">
        <v>334</v>
      </c>
      <c r="O1484" s="95">
        <v>125.95</v>
      </c>
      <c r="P1484" s="95">
        <v>459.95</v>
      </c>
      <c r="Q1484" s="95">
        <v>2338</v>
      </c>
      <c r="R1484" s="95">
        <v>881.65</v>
      </c>
      <c r="S1484" s="95">
        <v>3219.65</v>
      </c>
      <c r="U1484" s="106" t="str">
        <f>_xlfn.XLOOKUP(I1484,'[1]MAPA DE COTAÇÕES'!$D$12:$D$1058,'[1]MAPA DE COTAÇÕES'!$A$12:$A$1058,"")</f>
        <v/>
      </c>
    </row>
    <row r="1485" spans="1:21" ht="15" x14ac:dyDescent="0.25">
      <c r="A1485" s="90" t="s">
        <v>3878</v>
      </c>
      <c r="B1485" s="90" t="s">
        <v>3290</v>
      </c>
      <c r="C1485" s="98" t="s">
        <v>3879</v>
      </c>
      <c r="D1485" s="92" t="s">
        <v>3880</v>
      </c>
      <c r="E1485" s="90" t="s">
        <v>16</v>
      </c>
      <c r="F1485" s="99">
        <v>1</v>
      </c>
      <c r="G1485" s="94">
        <v>301.45</v>
      </c>
      <c r="H1485" s="94">
        <v>98.76</v>
      </c>
      <c r="I1485" s="95">
        <v>400.21</v>
      </c>
      <c r="J1485" s="95">
        <v>301.45</v>
      </c>
      <c r="K1485" s="95">
        <v>98.76</v>
      </c>
      <c r="L1485" s="95">
        <v>400.21</v>
      </c>
      <c r="M1485" s="96">
        <v>0.27529999999999999</v>
      </c>
      <c r="N1485" s="95">
        <v>384.44</v>
      </c>
      <c r="O1485" s="95">
        <v>125.95</v>
      </c>
      <c r="P1485" s="95">
        <v>510.39</v>
      </c>
      <c r="Q1485" s="95">
        <v>384.44</v>
      </c>
      <c r="R1485" s="95">
        <v>125.95</v>
      </c>
      <c r="S1485" s="95">
        <v>510.39</v>
      </c>
      <c r="U1485" s="106" t="str">
        <f>_xlfn.XLOOKUP(I1485,'[1]MAPA DE COTAÇÕES'!$D$12:$D$1058,'[1]MAPA DE COTAÇÕES'!$A$12:$A$1058,"")</f>
        <v/>
      </c>
    </row>
    <row r="1486" spans="1:21" ht="15" x14ac:dyDescent="0.25">
      <c r="A1486" s="90" t="s">
        <v>3881</v>
      </c>
      <c r="B1486" s="90" t="s">
        <v>3290</v>
      </c>
      <c r="C1486" s="98" t="s">
        <v>3882</v>
      </c>
      <c r="D1486" s="92" t="s">
        <v>3883</v>
      </c>
      <c r="E1486" s="90" t="s">
        <v>16</v>
      </c>
      <c r="F1486" s="99">
        <v>8</v>
      </c>
      <c r="G1486" s="94">
        <v>223.28</v>
      </c>
      <c r="H1486" s="94">
        <v>98.76</v>
      </c>
      <c r="I1486" s="95">
        <v>322.04000000000002</v>
      </c>
      <c r="J1486" s="95">
        <v>1786.24</v>
      </c>
      <c r="K1486" s="95">
        <v>790.08</v>
      </c>
      <c r="L1486" s="95">
        <v>2576.3200000000002</v>
      </c>
      <c r="M1486" s="96">
        <v>0.27529999999999999</v>
      </c>
      <c r="N1486" s="95">
        <v>284.75</v>
      </c>
      <c r="O1486" s="95">
        <v>125.95</v>
      </c>
      <c r="P1486" s="95">
        <v>410.7</v>
      </c>
      <c r="Q1486" s="95">
        <v>2278</v>
      </c>
      <c r="R1486" s="95">
        <v>1007.6</v>
      </c>
      <c r="S1486" s="95">
        <v>3285.6</v>
      </c>
      <c r="U1486" s="106" t="str">
        <f>_xlfn.XLOOKUP(I1486,'[1]MAPA DE COTAÇÕES'!$D$12:$D$1058,'[1]MAPA DE COTAÇÕES'!$A$12:$A$1058,"")</f>
        <v/>
      </c>
    </row>
    <row r="1487" spans="1:21" ht="15" x14ac:dyDescent="0.25">
      <c r="A1487" s="90" t="s">
        <v>3884</v>
      </c>
      <c r="B1487" s="90" t="s">
        <v>3290</v>
      </c>
      <c r="C1487" s="98" t="s">
        <v>3885</v>
      </c>
      <c r="D1487" s="92" t="s">
        <v>3886</v>
      </c>
      <c r="E1487" s="90" t="s">
        <v>16</v>
      </c>
      <c r="F1487" s="99">
        <v>5</v>
      </c>
      <c r="G1487" s="94">
        <v>238.09</v>
      </c>
      <c r="H1487" s="94">
        <v>98.76</v>
      </c>
      <c r="I1487" s="95">
        <v>336.85</v>
      </c>
      <c r="J1487" s="95">
        <v>1190.45</v>
      </c>
      <c r="K1487" s="95">
        <v>493.8</v>
      </c>
      <c r="L1487" s="95">
        <v>1684.25</v>
      </c>
      <c r="M1487" s="96">
        <v>0.27529999999999999</v>
      </c>
      <c r="N1487" s="95">
        <v>303.64</v>
      </c>
      <c r="O1487" s="95">
        <v>125.95</v>
      </c>
      <c r="P1487" s="95">
        <v>429.59</v>
      </c>
      <c r="Q1487" s="95">
        <v>1518.2</v>
      </c>
      <c r="R1487" s="95">
        <v>629.75</v>
      </c>
      <c r="S1487" s="95">
        <v>2147.9499999999998</v>
      </c>
      <c r="U1487" s="106" t="str">
        <f>_xlfn.XLOOKUP(I1487,'[1]MAPA DE COTAÇÕES'!$D$12:$D$1058,'[1]MAPA DE COTAÇÕES'!$A$12:$A$1058,"")</f>
        <v/>
      </c>
    </row>
    <row r="1488" spans="1:21" ht="15" x14ac:dyDescent="0.25">
      <c r="A1488" s="90" t="s">
        <v>3887</v>
      </c>
      <c r="B1488" s="90" t="s">
        <v>3290</v>
      </c>
      <c r="C1488" s="98" t="s">
        <v>3888</v>
      </c>
      <c r="D1488" s="92" t="s">
        <v>3889</v>
      </c>
      <c r="E1488" s="90" t="s">
        <v>16</v>
      </c>
      <c r="F1488" s="99">
        <v>1</v>
      </c>
      <c r="G1488" s="94">
        <v>248.07</v>
      </c>
      <c r="H1488" s="94">
        <v>101.74</v>
      </c>
      <c r="I1488" s="95">
        <v>349.81</v>
      </c>
      <c r="J1488" s="95">
        <v>248.07</v>
      </c>
      <c r="K1488" s="95">
        <v>101.74</v>
      </c>
      <c r="L1488" s="95">
        <v>349.81</v>
      </c>
      <c r="M1488" s="96">
        <v>0.27529999999999999</v>
      </c>
      <c r="N1488" s="95">
        <v>316.36</v>
      </c>
      <c r="O1488" s="95">
        <v>129.75</v>
      </c>
      <c r="P1488" s="95">
        <v>446.11</v>
      </c>
      <c r="Q1488" s="95">
        <v>316.36</v>
      </c>
      <c r="R1488" s="95">
        <v>129.75</v>
      </c>
      <c r="S1488" s="95">
        <v>446.11</v>
      </c>
      <c r="U1488" s="106" t="str">
        <f>_xlfn.XLOOKUP(I1488,'[1]MAPA DE COTAÇÕES'!$D$12:$D$1058,'[1]MAPA DE COTAÇÕES'!$A$12:$A$1058,"")</f>
        <v/>
      </c>
    </row>
    <row r="1489" spans="1:21" ht="15" x14ac:dyDescent="0.25">
      <c r="A1489" s="90" t="s">
        <v>3890</v>
      </c>
      <c r="B1489" s="90" t="s">
        <v>3290</v>
      </c>
      <c r="C1489" s="98" t="s">
        <v>3891</v>
      </c>
      <c r="D1489" s="92" t="s">
        <v>3892</v>
      </c>
      <c r="E1489" s="90" t="s">
        <v>16</v>
      </c>
      <c r="F1489" s="99">
        <v>11</v>
      </c>
      <c r="G1489" s="94">
        <v>297.86</v>
      </c>
      <c r="H1489" s="94">
        <v>98.76</v>
      </c>
      <c r="I1489" s="95">
        <v>396.62</v>
      </c>
      <c r="J1489" s="95">
        <v>3276.46</v>
      </c>
      <c r="K1489" s="95">
        <v>1086.3599999999999</v>
      </c>
      <c r="L1489" s="95">
        <v>4362.82</v>
      </c>
      <c r="M1489" s="96">
        <v>0.27529999999999999</v>
      </c>
      <c r="N1489" s="95">
        <v>379.86</v>
      </c>
      <c r="O1489" s="95">
        <v>125.95</v>
      </c>
      <c r="P1489" s="95">
        <v>505.81</v>
      </c>
      <c r="Q1489" s="95">
        <v>4178.46</v>
      </c>
      <c r="R1489" s="95">
        <v>1385.45</v>
      </c>
      <c r="S1489" s="95">
        <v>5563.91</v>
      </c>
      <c r="U1489" s="106" t="str">
        <f>_xlfn.XLOOKUP(I1489,'[1]MAPA DE COTAÇÕES'!$D$12:$D$1058,'[1]MAPA DE COTAÇÕES'!$A$12:$A$1058,"")</f>
        <v/>
      </c>
    </row>
    <row r="1490" spans="1:21" ht="15" x14ac:dyDescent="0.25">
      <c r="A1490" s="90" t="s">
        <v>3893</v>
      </c>
      <c r="B1490" s="90" t="s">
        <v>3290</v>
      </c>
      <c r="C1490" s="98" t="s">
        <v>3894</v>
      </c>
      <c r="D1490" s="92" t="s">
        <v>3895</v>
      </c>
      <c r="E1490" s="90" t="s">
        <v>16</v>
      </c>
      <c r="F1490" s="99">
        <v>6</v>
      </c>
      <c r="G1490" s="94">
        <v>276.45999999999998</v>
      </c>
      <c r="H1490" s="94">
        <v>98.76</v>
      </c>
      <c r="I1490" s="95">
        <v>375.21999999999997</v>
      </c>
      <c r="J1490" s="95">
        <v>1658.76</v>
      </c>
      <c r="K1490" s="95">
        <v>592.55999999999995</v>
      </c>
      <c r="L1490" s="95">
        <v>2251.3199999999997</v>
      </c>
      <c r="M1490" s="96">
        <v>0.27529999999999999</v>
      </c>
      <c r="N1490" s="95">
        <v>352.57</v>
      </c>
      <c r="O1490" s="95">
        <v>125.95</v>
      </c>
      <c r="P1490" s="95">
        <v>478.52</v>
      </c>
      <c r="Q1490" s="95">
        <v>2115.42</v>
      </c>
      <c r="R1490" s="95">
        <v>755.7</v>
      </c>
      <c r="S1490" s="95">
        <v>2871.12</v>
      </c>
      <c r="U1490" s="106" t="str">
        <f>_xlfn.XLOOKUP(I1490,'[1]MAPA DE COTAÇÕES'!$D$12:$D$1058,'[1]MAPA DE COTAÇÕES'!$A$12:$A$1058,"")</f>
        <v/>
      </c>
    </row>
    <row r="1491" spans="1:21" ht="15" x14ac:dyDescent="0.25">
      <c r="A1491" s="90" t="s">
        <v>3896</v>
      </c>
      <c r="B1491" s="90" t="s">
        <v>3290</v>
      </c>
      <c r="C1491" s="98" t="s">
        <v>3897</v>
      </c>
      <c r="D1491" s="92" t="s">
        <v>3898</v>
      </c>
      <c r="E1491" s="90" t="s">
        <v>16</v>
      </c>
      <c r="F1491" s="99">
        <v>10</v>
      </c>
      <c r="G1491" s="94">
        <v>243.03</v>
      </c>
      <c r="H1491" s="94">
        <v>98.76</v>
      </c>
      <c r="I1491" s="95">
        <v>341.79</v>
      </c>
      <c r="J1491" s="95">
        <v>2430.3000000000002</v>
      </c>
      <c r="K1491" s="95">
        <v>987.6</v>
      </c>
      <c r="L1491" s="95">
        <v>3417.9</v>
      </c>
      <c r="M1491" s="96">
        <v>0.27529999999999999</v>
      </c>
      <c r="N1491" s="95">
        <v>309.94</v>
      </c>
      <c r="O1491" s="95">
        <v>125.95</v>
      </c>
      <c r="P1491" s="95">
        <v>435.89</v>
      </c>
      <c r="Q1491" s="95">
        <v>3099.4</v>
      </c>
      <c r="R1491" s="95">
        <v>1259.5</v>
      </c>
      <c r="S1491" s="95">
        <v>4358.8999999999996</v>
      </c>
      <c r="U1491" s="106" t="str">
        <f>_xlfn.XLOOKUP(I1491,'[1]MAPA DE COTAÇÕES'!$D$12:$D$1058,'[1]MAPA DE COTAÇÕES'!$A$12:$A$1058,"")</f>
        <v/>
      </c>
    </row>
    <row r="1492" spans="1:21" ht="15" x14ac:dyDescent="0.25">
      <c r="A1492" s="90" t="s">
        <v>3899</v>
      </c>
      <c r="B1492" s="90" t="s">
        <v>3290</v>
      </c>
      <c r="C1492" s="98" t="s">
        <v>3900</v>
      </c>
      <c r="D1492" s="92" t="s">
        <v>3901</v>
      </c>
      <c r="E1492" s="90" t="s">
        <v>16</v>
      </c>
      <c r="F1492" s="99">
        <v>2</v>
      </c>
      <c r="G1492" s="94">
        <v>259.2</v>
      </c>
      <c r="H1492" s="94">
        <v>98.76</v>
      </c>
      <c r="I1492" s="95">
        <v>357.96</v>
      </c>
      <c r="J1492" s="95">
        <v>518.4</v>
      </c>
      <c r="K1492" s="95">
        <v>197.52</v>
      </c>
      <c r="L1492" s="95">
        <v>715.92</v>
      </c>
      <c r="M1492" s="96">
        <v>0.27529999999999999</v>
      </c>
      <c r="N1492" s="95">
        <v>330.56</v>
      </c>
      <c r="O1492" s="95">
        <v>125.95</v>
      </c>
      <c r="P1492" s="95">
        <v>456.51</v>
      </c>
      <c r="Q1492" s="95">
        <v>661.12</v>
      </c>
      <c r="R1492" s="95">
        <v>251.9</v>
      </c>
      <c r="S1492" s="95">
        <v>913.02</v>
      </c>
      <c r="U1492" s="106" t="str">
        <f>_xlfn.XLOOKUP(I1492,'[1]MAPA DE COTAÇÕES'!$D$12:$D$1058,'[1]MAPA DE COTAÇÕES'!$A$12:$A$1058,"")</f>
        <v/>
      </c>
    </row>
    <row r="1493" spans="1:21" ht="15" x14ac:dyDescent="0.25">
      <c r="A1493" s="90" t="s">
        <v>3902</v>
      </c>
      <c r="B1493" s="90" t="s">
        <v>3290</v>
      </c>
      <c r="C1493" s="98" t="s">
        <v>3903</v>
      </c>
      <c r="D1493" s="92" t="s">
        <v>3904</v>
      </c>
      <c r="E1493" s="90" t="s">
        <v>16</v>
      </c>
      <c r="F1493" s="99">
        <v>11</v>
      </c>
      <c r="G1493" s="94">
        <v>297.86</v>
      </c>
      <c r="H1493" s="94">
        <v>98.76</v>
      </c>
      <c r="I1493" s="95">
        <v>396.62</v>
      </c>
      <c r="J1493" s="95">
        <v>3276.46</v>
      </c>
      <c r="K1493" s="95">
        <v>1086.3599999999999</v>
      </c>
      <c r="L1493" s="95">
        <v>4362.82</v>
      </c>
      <c r="M1493" s="96">
        <v>0.27529999999999999</v>
      </c>
      <c r="N1493" s="95">
        <v>379.86</v>
      </c>
      <c r="O1493" s="95">
        <v>125.95</v>
      </c>
      <c r="P1493" s="95">
        <v>505.81</v>
      </c>
      <c r="Q1493" s="95">
        <v>4178.46</v>
      </c>
      <c r="R1493" s="95">
        <v>1385.45</v>
      </c>
      <c r="S1493" s="95">
        <v>5563.91</v>
      </c>
      <c r="U1493" s="106" t="str">
        <f>_xlfn.XLOOKUP(I1493,'[1]MAPA DE COTAÇÕES'!$D$12:$D$1058,'[1]MAPA DE COTAÇÕES'!$A$12:$A$1058,"")</f>
        <v/>
      </c>
    </row>
    <row r="1494" spans="1:21" ht="15" x14ac:dyDescent="0.25">
      <c r="A1494" s="90" t="s">
        <v>3905</v>
      </c>
      <c r="B1494" s="90" t="s">
        <v>3290</v>
      </c>
      <c r="C1494" s="98" t="s">
        <v>3906</v>
      </c>
      <c r="D1494" s="92" t="s">
        <v>3907</v>
      </c>
      <c r="E1494" s="90" t="s">
        <v>16</v>
      </c>
      <c r="F1494" s="99">
        <v>3</v>
      </c>
      <c r="G1494" s="94">
        <v>328.75</v>
      </c>
      <c r="H1494" s="94">
        <v>98.76</v>
      </c>
      <c r="I1494" s="95">
        <v>427.51</v>
      </c>
      <c r="J1494" s="95">
        <v>986.25</v>
      </c>
      <c r="K1494" s="95">
        <v>296.27999999999997</v>
      </c>
      <c r="L1494" s="95">
        <v>1282.53</v>
      </c>
      <c r="M1494" s="96">
        <v>0.27529999999999999</v>
      </c>
      <c r="N1494" s="95">
        <v>419.25</v>
      </c>
      <c r="O1494" s="95">
        <v>125.95</v>
      </c>
      <c r="P1494" s="95">
        <v>545.20000000000005</v>
      </c>
      <c r="Q1494" s="95">
        <v>1257.75</v>
      </c>
      <c r="R1494" s="95">
        <v>377.85</v>
      </c>
      <c r="S1494" s="95">
        <v>1635.6</v>
      </c>
      <c r="U1494" s="106" t="str">
        <f>_xlfn.XLOOKUP(I1494,'[1]MAPA DE COTAÇÕES'!$D$12:$D$1058,'[1]MAPA DE COTAÇÕES'!$A$12:$A$1058,"")</f>
        <v/>
      </c>
    </row>
    <row r="1495" spans="1:21" ht="15" x14ac:dyDescent="0.25">
      <c r="A1495" s="90" t="s">
        <v>3908</v>
      </c>
      <c r="B1495" s="90" t="s">
        <v>3290</v>
      </c>
      <c r="C1495" s="98" t="s">
        <v>3909</v>
      </c>
      <c r="D1495" s="92" t="s">
        <v>3910</v>
      </c>
      <c r="E1495" s="90" t="s">
        <v>16</v>
      </c>
      <c r="F1495" s="99">
        <v>13</v>
      </c>
      <c r="G1495" s="94">
        <v>271.48</v>
      </c>
      <c r="H1495" s="94">
        <v>98.76</v>
      </c>
      <c r="I1495" s="95">
        <v>370.24</v>
      </c>
      <c r="J1495" s="95">
        <v>3529.24</v>
      </c>
      <c r="K1495" s="95">
        <v>1283.8800000000001</v>
      </c>
      <c r="L1495" s="95">
        <v>4813.12</v>
      </c>
      <c r="M1495" s="96">
        <v>0.27529999999999999</v>
      </c>
      <c r="N1495" s="95">
        <v>346.22</v>
      </c>
      <c r="O1495" s="95">
        <v>125.95</v>
      </c>
      <c r="P1495" s="95">
        <v>472.17</v>
      </c>
      <c r="Q1495" s="95">
        <v>4500.8599999999997</v>
      </c>
      <c r="R1495" s="95">
        <v>1637.35</v>
      </c>
      <c r="S1495" s="95">
        <v>6138.2099999999991</v>
      </c>
      <c r="U1495" s="106" t="str">
        <f>_xlfn.XLOOKUP(I1495,'[1]MAPA DE COTAÇÕES'!$D$12:$D$1058,'[1]MAPA DE COTAÇÕES'!$A$12:$A$1058,"")</f>
        <v/>
      </c>
    </row>
    <row r="1496" spans="1:21" ht="15" x14ac:dyDescent="0.25">
      <c r="A1496" s="90" t="s">
        <v>3911</v>
      </c>
      <c r="B1496" s="90" t="s">
        <v>3290</v>
      </c>
      <c r="C1496" s="98" t="s">
        <v>3912</v>
      </c>
      <c r="D1496" s="92" t="s">
        <v>3913</v>
      </c>
      <c r="E1496" s="90" t="s">
        <v>16</v>
      </c>
      <c r="F1496" s="99">
        <v>6</v>
      </c>
      <c r="G1496" s="94">
        <v>232.07</v>
      </c>
      <c r="H1496" s="94">
        <v>98.76</v>
      </c>
      <c r="I1496" s="95">
        <v>330.83</v>
      </c>
      <c r="J1496" s="95">
        <v>1392.42</v>
      </c>
      <c r="K1496" s="95">
        <v>592.55999999999995</v>
      </c>
      <c r="L1496" s="95">
        <v>1984.98</v>
      </c>
      <c r="M1496" s="96">
        <v>0.27529999999999999</v>
      </c>
      <c r="N1496" s="95">
        <v>295.95999999999998</v>
      </c>
      <c r="O1496" s="95">
        <v>125.95</v>
      </c>
      <c r="P1496" s="95">
        <v>421.90999999999997</v>
      </c>
      <c r="Q1496" s="95">
        <v>1775.76</v>
      </c>
      <c r="R1496" s="95">
        <v>755.7</v>
      </c>
      <c r="S1496" s="95">
        <v>2531.46</v>
      </c>
      <c r="U1496" s="106" t="str">
        <f>_xlfn.XLOOKUP(I1496,'[1]MAPA DE COTAÇÕES'!$D$12:$D$1058,'[1]MAPA DE COTAÇÕES'!$A$12:$A$1058,"")</f>
        <v/>
      </c>
    </row>
    <row r="1497" spans="1:21" ht="15" x14ac:dyDescent="0.25">
      <c r="A1497" s="90" t="s">
        <v>3914</v>
      </c>
      <c r="B1497" s="90" t="s">
        <v>3290</v>
      </c>
      <c r="C1497" s="98" t="s">
        <v>3915</v>
      </c>
      <c r="D1497" s="92" t="s">
        <v>3916</v>
      </c>
      <c r="E1497" s="90" t="s">
        <v>16</v>
      </c>
      <c r="F1497" s="99">
        <v>2</v>
      </c>
      <c r="G1497" s="94">
        <v>403.73</v>
      </c>
      <c r="H1497" s="94">
        <v>98.76</v>
      </c>
      <c r="I1497" s="95">
        <v>502.49</v>
      </c>
      <c r="J1497" s="95">
        <v>807.46</v>
      </c>
      <c r="K1497" s="95">
        <v>197.52</v>
      </c>
      <c r="L1497" s="95">
        <v>1004.98</v>
      </c>
      <c r="M1497" s="96">
        <v>0.27529999999999999</v>
      </c>
      <c r="N1497" s="95">
        <v>514.88</v>
      </c>
      <c r="O1497" s="95">
        <v>125.95</v>
      </c>
      <c r="P1497" s="95">
        <v>640.83000000000004</v>
      </c>
      <c r="Q1497" s="95">
        <v>1029.76</v>
      </c>
      <c r="R1497" s="95">
        <v>251.9</v>
      </c>
      <c r="S1497" s="95">
        <v>1281.6600000000001</v>
      </c>
      <c r="U1497" s="106" t="str">
        <f>_xlfn.XLOOKUP(I1497,'[1]MAPA DE COTAÇÕES'!$D$12:$D$1058,'[1]MAPA DE COTAÇÕES'!$A$12:$A$1058,"")</f>
        <v/>
      </c>
    </row>
    <row r="1498" spans="1:21" ht="15" x14ac:dyDescent="0.25">
      <c r="A1498" s="90" t="s">
        <v>3917</v>
      </c>
      <c r="B1498" s="90" t="s">
        <v>3290</v>
      </c>
      <c r="C1498" s="98" t="s">
        <v>3918</v>
      </c>
      <c r="D1498" s="92" t="s">
        <v>3919</v>
      </c>
      <c r="E1498" s="90" t="s">
        <v>16</v>
      </c>
      <c r="F1498" s="99">
        <v>2</v>
      </c>
      <c r="G1498" s="94">
        <v>276.45999999999998</v>
      </c>
      <c r="H1498" s="94">
        <v>98.76</v>
      </c>
      <c r="I1498" s="95">
        <v>375.21999999999997</v>
      </c>
      <c r="J1498" s="95">
        <v>552.91999999999996</v>
      </c>
      <c r="K1498" s="95">
        <v>197.52</v>
      </c>
      <c r="L1498" s="95">
        <v>750.43999999999994</v>
      </c>
      <c r="M1498" s="96">
        <v>0.27529999999999999</v>
      </c>
      <c r="N1498" s="95">
        <v>352.57</v>
      </c>
      <c r="O1498" s="95">
        <v>125.95</v>
      </c>
      <c r="P1498" s="95">
        <v>478.52</v>
      </c>
      <c r="Q1498" s="95">
        <v>705.14</v>
      </c>
      <c r="R1498" s="95">
        <v>251.9</v>
      </c>
      <c r="S1498" s="95">
        <v>957.04</v>
      </c>
      <c r="U1498" s="106" t="str">
        <f>_xlfn.XLOOKUP(I1498,'[1]MAPA DE COTAÇÕES'!$D$12:$D$1058,'[1]MAPA DE COTAÇÕES'!$A$12:$A$1058,"")</f>
        <v/>
      </c>
    </row>
    <row r="1499" spans="1:21" ht="15" x14ac:dyDescent="0.25">
      <c r="A1499" s="90" t="s">
        <v>3920</v>
      </c>
      <c r="B1499" s="90" t="s">
        <v>3290</v>
      </c>
      <c r="C1499" s="98" t="s">
        <v>3921</v>
      </c>
      <c r="D1499" s="92" t="s">
        <v>3922</v>
      </c>
      <c r="E1499" s="90" t="s">
        <v>16</v>
      </c>
      <c r="F1499" s="99">
        <v>4</v>
      </c>
      <c r="G1499" s="94">
        <v>287.64999999999998</v>
      </c>
      <c r="H1499" s="94">
        <v>98.76</v>
      </c>
      <c r="I1499" s="95">
        <v>386.40999999999997</v>
      </c>
      <c r="J1499" s="95">
        <v>1150.5999999999999</v>
      </c>
      <c r="K1499" s="95">
        <v>395.04</v>
      </c>
      <c r="L1499" s="95">
        <v>1545.6399999999999</v>
      </c>
      <c r="M1499" s="96">
        <v>0.27529999999999999</v>
      </c>
      <c r="N1499" s="95">
        <v>366.84</v>
      </c>
      <c r="O1499" s="95">
        <v>125.95</v>
      </c>
      <c r="P1499" s="95">
        <v>492.78999999999996</v>
      </c>
      <c r="Q1499" s="95">
        <v>1467.36</v>
      </c>
      <c r="R1499" s="95">
        <v>503.8</v>
      </c>
      <c r="S1499" s="95">
        <v>1971.1599999999999</v>
      </c>
      <c r="U1499" s="106" t="str">
        <f>_xlfn.XLOOKUP(I1499,'[1]MAPA DE COTAÇÕES'!$D$12:$D$1058,'[1]MAPA DE COTAÇÕES'!$A$12:$A$1058,"")</f>
        <v/>
      </c>
    </row>
    <row r="1500" spans="1:21" ht="15" x14ac:dyDescent="0.25">
      <c r="A1500" s="90" t="s">
        <v>3923</v>
      </c>
      <c r="B1500" s="90" t="s">
        <v>3290</v>
      </c>
      <c r="C1500" s="98" t="s">
        <v>3924</v>
      </c>
      <c r="D1500" s="92" t="s">
        <v>3925</v>
      </c>
      <c r="E1500" s="90" t="s">
        <v>16</v>
      </c>
      <c r="F1500" s="99">
        <v>5</v>
      </c>
      <c r="G1500" s="94">
        <v>301.45</v>
      </c>
      <c r="H1500" s="94">
        <v>98.76</v>
      </c>
      <c r="I1500" s="95">
        <v>400.21</v>
      </c>
      <c r="J1500" s="95">
        <v>1507.25</v>
      </c>
      <c r="K1500" s="95">
        <v>493.8</v>
      </c>
      <c r="L1500" s="95">
        <v>2001.05</v>
      </c>
      <c r="M1500" s="96">
        <v>0.27529999999999999</v>
      </c>
      <c r="N1500" s="95">
        <v>384.44</v>
      </c>
      <c r="O1500" s="95">
        <v>125.95</v>
      </c>
      <c r="P1500" s="95">
        <v>510.39</v>
      </c>
      <c r="Q1500" s="95">
        <v>1922.2</v>
      </c>
      <c r="R1500" s="95">
        <v>629.75</v>
      </c>
      <c r="S1500" s="95">
        <v>2551.9499999999998</v>
      </c>
      <c r="U1500" s="106" t="str">
        <f>_xlfn.XLOOKUP(I1500,'[1]MAPA DE COTAÇÕES'!$D$12:$D$1058,'[1]MAPA DE COTAÇÕES'!$A$12:$A$1058,"")</f>
        <v/>
      </c>
    </row>
    <row r="1501" spans="1:21" ht="15" x14ac:dyDescent="0.25">
      <c r="A1501" s="90" t="s">
        <v>3926</v>
      </c>
      <c r="B1501" s="90" t="s">
        <v>3290</v>
      </c>
      <c r="C1501" s="98" t="s">
        <v>3927</v>
      </c>
      <c r="D1501" s="92" t="s">
        <v>3928</v>
      </c>
      <c r="E1501" s="90" t="s">
        <v>16</v>
      </c>
      <c r="F1501" s="99">
        <v>28</v>
      </c>
      <c r="G1501" s="94">
        <v>271.48</v>
      </c>
      <c r="H1501" s="94">
        <v>98.76</v>
      </c>
      <c r="I1501" s="95">
        <v>370.24</v>
      </c>
      <c r="J1501" s="95">
        <v>7601.44</v>
      </c>
      <c r="K1501" s="95">
        <v>2765.28</v>
      </c>
      <c r="L1501" s="95">
        <v>10366.719999999999</v>
      </c>
      <c r="M1501" s="96">
        <v>0.27529999999999999</v>
      </c>
      <c r="N1501" s="95">
        <v>346.22</v>
      </c>
      <c r="O1501" s="95">
        <v>125.95</v>
      </c>
      <c r="P1501" s="95">
        <v>472.17</v>
      </c>
      <c r="Q1501" s="95">
        <v>9694.16</v>
      </c>
      <c r="R1501" s="95">
        <v>3526.6</v>
      </c>
      <c r="S1501" s="95">
        <v>13220.76</v>
      </c>
      <c r="U1501" s="106" t="str">
        <f>_xlfn.XLOOKUP(I1501,'[1]MAPA DE COTAÇÕES'!$D$12:$D$1058,'[1]MAPA DE COTAÇÕES'!$A$12:$A$1058,"")</f>
        <v/>
      </c>
    </row>
    <row r="1502" spans="1:21" ht="15" x14ac:dyDescent="0.25">
      <c r="A1502" s="90" t="s">
        <v>3929</v>
      </c>
      <c r="B1502" s="90" t="s">
        <v>3290</v>
      </c>
      <c r="C1502" s="98" t="s">
        <v>3930</v>
      </c>
      <c r="D1502" s="92" t="s">
        <v>3931</v>
      </c>
      <c r="E1502" s="90" t="s">
        <v>16</v>
      </c>
      <c r="F1502" s="99">
        <v>7</v>
      </c>
      <c r="G1502" s="94">
        <v>271.48</v>
      </c>
      <c r="H1502" s="94">
        <v>98.76</v>
      </c>
      <c r="I1502" s="95">
        <v>370.24</v>
      </c>
      <c r="J1502" s="95">
        <v>1900.36</v>
      </c>
      <c r="K1502" s="95">
        <v>691.32</v>
      </c>
      <c r="L1502" s="95">
        <v>2591.6799999999998</v>
      </c>
      <c r="M1502" s="96">
        <v>0.27529999999999999</v>
      </c>
      <c r="N1502" s="95">
        <v>346.22</v>
      </c>
      <c r="O1502" s="95">
        <v>125.95</v>
      </c>
      <c r="P1502" s="95">
        <v>472.17</v>
      </c>
      <c r="Q1502" s="95">
        <v>2423.54</v>
      </c>
      <c r="R1502" s="95">
        <v>881.65</v>
      </c>
      <c r="S1502" s="95">
        <v>3305.19</v>
      </c>
      <c r="U1502" s="106" t="str">
        <f>_xlfn.XLOOKUP(I1502,'[1]MAPA DE COTAÇÕES'!$D$12:$D$1058,'[1]MAPA DE COTAÇÕES'!$A$12:$A$1058,"")</f>
        <v/>
      </c>
    </row>
    <row r="1503" spans="1:21" ht="15" x14ac:dyDescent="0.25">
      <c r="A1503" s="90" t="s">
        <v>3932</v>
      </c>
      <c r="B1503" s="90" t="s">
        <v>3290</v>
      </c>
      <c r="C1503" s="98" t="s">
        <v>3933</v>
      </c>
      <c r="D1503" s="92" t="s">
        <v>3934</v>
      </c>
      <c r="E1503" s="90" t="s">
        <v>16</v>
      </c>
      <c r="F1503" s="99">
        <v>2</v>
      </c>
      <c r="G1503" s="94">
        <v>377.06</v>
      </c>
      <c r="H1503" s="94">
        <v>98.76</v>
      </c>
      <c r="I1503" s="95">
        <v>475.82</v>
      </c>
      <c r="J1503" s="95">
        <v>754.12</v>
      </c>
      <c r="K1503" s="95">
        <v>197.52</v>
      </c>
      <c r="L1503" s="95">
        <v>951.64</v>
      </c>
      <c r="M1503" s="96">
        <v>0.27529999999999999</v>
      </c>
      <c r="N1503" s="95">
        <v>480.86</v>
      </c>
      <c r="O1503" s="95">
        <v>125.95</v>
      </c>
      <c r="P1503" s="95">
        <v>606.81000000000006</v>
      </c>
      <c r="Q1503" s="95">
        <v>961.72</v>
      </c>
      <c r="R1503" s="95">
        <v>251.9</v>
      </c>
      <c r="S1503" s="95">
        <v>1213.6200000000001</v>
      </c>
      <c r="U1503" s="106" t="str">
        <f>_xlfn.XLOOKUP(I1503,'[1]MAPA DE COTAÇÕES'!$D$12:$D$1058,'[1]MAPA DE COTAÇÕES'!$A$12:$A$1058,"")</f>
        <v/>
      </c>
    </row>
    <row r="1504" spans="1:21" ht="15" x14ac:dyDescent="0.25">
      <c r="A1504" s="90" t="s">
        <v>3935</v>
      </c>
      <c r="B1504" s="90" t="s">
        <v>3290</v>
      </c>
      <c r="C1504" s="98" t="s">
        <v>3936</v>
      </c>
      <c r="D1504" s="92" t="s">
        <v>3937</v>
      </c>
      <c r="E1504" s="90" t="s">
        <v>16</v>
      </c>
      <c r="F1504" s="99">
        <v>16</v>
      </c>
      <c r="G1504" s="94">
        <v>466.23</v>
      </c>
      <c r="H1504" s="94">
        <v>98.76</v>
      </c>
      <c r="I1504" s="95">
        <v>564.99</v>
      </c>
      <c r="J1504" s="95">
        <v>7459.68</v>
      </c>
      <c r="K1504" s="95">
        <v>1580.16</v>
      </c>
      <c r="L1504" s="95">
        <v>9039.84</v>
      </c>
      <c r="M1504" s="96">
        <v>0.27529999999999999</v>
      </c>
      <c r="N1504" s="95">
        <v>594.58000000000004</v>
      </c>
      <c r="O1504" s="95">
        <v>125.95</v>
      </c>
      <c r="P1504" s="95">
        <v>720.53000000000009</v>
      </c>
      <c r="Q1504" s="95">
        <v>9513.2800000000007</v>
      </c>
      <c r="R1504" s="95">
        <v>2015.2</v>
      </c>
      <c r="S1504" s="95">
        <v>11528.480000000001</v>
      </c>
      <c r="U1504" s="106" t="str">
        <f>_xlfn.XLOOKUP(I1504,'[1]MAPA DE COTAÇÕES'!$D$12:$D$1058,'[1]MAPA DE COTAÇÕES'!$A$12:$A$1058,"")</f>
        <v/>
      </c>
    </row>
    <row r="1505" spans="1:21" ht="15" x14ac:dyDescent="0.25">
      <c r="A1505" s="90" t="s">
        <v>3938</v>
      </c>
      <c r="B1505" s="90" t="s">
        <v>3290</v>
      </c>
      <c r="C1505" s="98" t="s">
        <v>3939</v>
      </c>
      <c r="D1505" s="92" t="s">
        <v>3940</v>
      </c>
      <c r="E1505" s="90" t="s">
        <v>16</v>
      </c>
      <c r="F1505" s="99">
        <v>1</v>
      </c>
      <c r="G1505" s="94">
        <v>489.16</v>
      </c>
      <c r="H1505" s="94">
        <v>98.76</v>
      </c>
      <c r="I1505" s="95">
        <v>587.92000000000007</v>
      </c>
      <c r="J1505" s="95">
        <v>489.16</v>
      </c>
      <c r="K1505" s="95">
        <v>98.76</v>
      </c>
      <c r="L1505" s="95">
        <v>587.92000000000007</v>
      </c>
      <c r="M1505" s="96">
        <v>0.27529999999999999</v>
      </c>
      <c r="N1505" s="95">
        <v>623.83000000000004</v>
      </c>
      <c r="O1505" s="95">
        <v>125.95</v>
      </c>
      <c r="P1505" s="95">
        <v>749.78000000000009</v>
      </c>
      <c r="Q1505" s="95">
        <v>623.83000000000004</v>
      </c>
      <c r="R1505" s="95">
        <v>125.95</v>
      </c>
      <c r="S1505" s="95">
        <v>749.78000000000009</v>
      </c>
      <c r="U1505" s="106" t="str">
        <f>_xlfn.XLOOKUP(I1505,'[1]MAPA DE COTAÇÕES'!$D$12:$D$1058,'[1]MAPA DE COTAÇÕES'!$A$12:$A$1058,"")</f>
        <v/>
      </c>
    </row>
    <row r="1506" spans="1:21" ht="15" x14ac:dyDescent="0.25">
      <c r="A1506" s="90" t="s">
        <v>3941</v>
      </c>
      <c r="B1506" s="90" t="s">
        <v>3290</v>
      </c>
      <c r="C1506" s="98" t="s">
        <v>3942</v>
      </c>
      <c r="D1506" s="92" t="s">
        <v>3943</v>
      </c>
      <c r="E1506" s="90" t="s">
        <v>16</v>
      </c>
      <c r="F1506" s="99">
        <v>5</v>
      </c>
      <c r="G1506" s="94">
        <v>274.92</v>
      </c>
      <c r="H1506" s="94">
        <v>98.76</v>
      </c>
      <c r="I1506" s="95">
        <v>373.68</v>
      </c>
      <c r="J1506" s="95">
        <v>1374.6</v>
      </c>
      <c r="K1506" s="95">
        <v>493.8</v>
      </c>
      <c r="L1506" s="95">
        <v>1868.3999999999999</v>
      </c>
      <c r="M1506" s="96">
        <v>0.27529999999999999</v>
      </c>
      <c r="N1506" s="95">
        <v>350.61</v>
      </c>
      <c r="O1506" s="95">
        <v>125.95</v>
      </c>
      <c r="P1506" s="95">
        <v>476.56</v>
      </c>
      <c r="Q1506" s="95">
        <v>1753.05</v>
      </c>
      <c r="R1506" s="95">
        <v>629.75</v>
      </c>
      <c r="S1506" s="95">
        <v>2382.8000000000002</v>
      </c>
      <c r="U1506" s="106" t="str">
        <f>_xlfn.XLOOKUP(I1506,'[1]MAPA DE COTAÇÕES'!$D$12:$D$1058,'[1]MAPA DE COTAÇÕES'!$A$12:$A$1058,"")</f>
        <v/>
      </c>
    </row>
    <row r="1507" spans="1:21" ht="15" x14ac:dyDescent="0.25">
      <c r="A1507" s="90" t="s">
        <v>3944</v>
      </c>
      <c r="B1507" s="90" t="s">
        <v>3290</v>
      </c>
      <c r="C1507" s="98" t="s">
        <v>3945</v>
      </c>
      <c r="D1507" s="92" t="s">
        <v>3946</v>
      </c>
      <c r="E1507" s="90" t="s">
        <v>16</v>
      </c>
      <c r="F1507" s="99">
        <v>1</v>
      </c>
      <c r="G1507" s="94">
        <v>446.35</v>
      </c>
      <c r="H1507" s="94">
        <v>98.76</v>
      </c>
      <c r="I1507" s="95">
        <v>545.11</v>
      </c>
      <c r="J1507" s="95">
        <v>446.35</v>
      </c>
      <c r="K1507" s="95">
        <v>98.76</v>
      </c>
      <c r="L1507" s="95">
        <v>545.11</v>
      </c>
      <c r="M1507" s="96">
        <v>0.27529999999999999</v>
      </c>
      <c r="N1507" s="95">
        <v>569.23</v>
      </c>
      <c r="O1507" s="95">
        <v>125.95</v>
      </c>
      <c r="P1507" s="95">
        <v>695.18000000000006</v>
      </c>
      <c r="Q1507" s="95">
        <v>569.23</v>
      </c>
      <c r="R1507" s="95">
        <v>125.95</v>
      </c>
      <c r="S1507" s="95">
        <v>695.18000000000006</v>
      </c>
      <c r="U1507" s="106" t="str">
        <f>_xlfn.XLOOKUP(I1507,'[1]MAPA DE COTAÇÕES'!$D$12:$D$1058,'[1]MAPA DE COTAÇÕES'!$A$12:$A$1058,"")</f>
        <v/>
      </c>
    </row>
    <row r="1508" spans="1:21" ht="15" x14ac:dyDescent="0.25">
      <c r="A1508" s="90" t="s">
        <v>3947</v>
      </c>
      <c r="B1508" s="90" t="s">
        <v>3290</v>
      </c>
      <c r="C1508" s="98" t="s">
        <v>3948</v>
      </c>
      <c r="D1508" s="92" t="s">
        <v>3949</v>
      </c>
      <c r="E1508" s="90" t="s">
        <v>16</v>
      </c>
      <c r="F1508" s="99">
        <v>1</v>
      </c>
      <c r="G1508" s="94">
        <v>519.21</v>
      </c>
      <c r="H1508" s="94">
        <v>98.76</v>
      </c>
      <c r="I1508" s="95">
        <v>617.97</v>
      </c>
      <c r="J1508" s="95">
        <v>519.21</v>
      </c>
      <c r="K1508" s="95">
        <v>98.76</v>
      </c>
      <c r="L1508" s="95">
        <v>617.97</v>
      </c>
      <c r="M1508" s="96">
        <v>0.27529999999999999</v>
      </c>
      <c r="N1508" s="95">
        <v>662.15</v>
      </c>
      <c r="O1508" s="95">
        <v>125.95</v>
      </c>
      <c r="P1508" s="95">
        <v>788.1</v>
      </c>
      <c r="Q1508" s="95">
        <v>662.15</v>
      </c>
      <c r="R1508" s="95">
        <v>125.95</v>
      </c>
      <c r="S1508" s="95">
        <v>788.1</v>
      </c>
      <c r="U1508" s="106" t="str">
        <f>_xlfn.XLOOKUP(I1508,'[1]MAPA DE COTAÇÕES'!$D$12:$D$1058,'[1]MAPA DE COTAÇÕES'!$A$12:$A$1058,"")</f>
        <v/>
      </c>
    </row>
    <row r="1509" spans="1:21" ht="15" x14ac:dyDescent="0.25">
      <c r="A1509" s="90" t="s">
        <v>3950</v>
      </c>
      <c r="B1509" s="90" t="s">
        <v>3290</v>
      </c>
      <c r="C1509" s="98" t="s">
        <v>3951</v>
      </c>
      <c r="D1509" s="92" t="s">
        <v>3952</v>
      </c>
      <c r="E1509" s="90" t="s">
        <v>16</v>
      </c>
      <c r="F1509" s="99">
        <v>2</v>
      </c>
      <c r="G1509" s="94">
        <v>456.21</v>
      </c>
      <c r="H1509" s="94">
        <v>98.76</v>
      </c>
      <c r="I1509" s="95">
        <v>554.97</v>
      </c>
      <c r="J1509" s="95">
        <v>912.42</v>
      </c>
      <c r="K1509" s="95">
        <v>197.52</v>
      </c>
      <c r="L1509" s="95">
        <v>1109.94</v>
      </c>
      <c r="M1509" s="96">
        <v>0.27529999999999999</v>
      </c>
      <c r="N1509" s="95">
        <v>581.79999999999995</v>
      </c>
      <c r="O1509" s="95">
        <v>125.95</v>
      </c>
      <c r="P1509" s="95">
        <v>707.75</v>
      </c>
      <c r="Q1509" s="95">
        <v>1163.5999999999999</v>
      </c>
      <c r="R1509" s="95">
        <v>251.9</v>
      </c>
      <c r="S1509" s="95">
        <v>1415.5</v>
      </c>
      <c r="U1509" s="106" t="str">
        <f>_xlfn.XLOOKUP(I1509,'[1]MAPA DE COTAÇÕES'!$D$12:$D$1058,'[1]MAPA DE COTAÇÕES'!$A$12:$A$1058,"")</f>
        <v/>
      </c>
    </row>
    <row r="1510" spans="1:21" ht="15" x14ac:dyDescent="0.25">
      <c r="A1510" s="90" t="s">
        <v>3953</v>
      </c>
      <c r="B1510" s="90" t="s">
        <v>3290</v>
      </c>
      <c r="C1510" s="98" t="s">
        <v>3954</v>
      </c>
      <c r="D1510" s="92" t="s">
        <v>3955</v>
      </c>
      <c r="E1510" s="90" t="s">
        <v>16</v>
      </c>
      <c r="F1510" s="99">
        <v>4</v>
      </c>
      <c r="G1510" s="94">
        <v>460.78</v>
      </c>
      <c r="H1510" s="94">
        <v>98.76</v>
      </c>
      <c r="I1510" s="95">
        <v>559.54</v>
      </c>
      <c r="J1510" s="95">
        <v>1843.12</v>
      </c>
      <c r="K1510" s="95">
        <v>395.04</v>
      </c>
      <c r="L1510" s="95">
        <v>2238.16</v>
      </c>
      <c r="M1510" s="96">
        <v>0.27529999999999999</v>
      </c>
      <c r="N1510" s="95">
        <v>587.63</v>
      </c>
      <c r="O1510" s="95">
        <v>125.95</v>
      </c>
      <c r="P1510" s="95">
        <v>713.58</v>
      </c>
      <c r="Q1510" s="95">
        <v>2350.52</v>
      </c>
      <c r="R1510" s="95">
        <v>503.8</v>
      </c>
      <c r="S1510" s="95">
        <v>2854.32</v>
      </c>
      <c r="U1510" s="106" t="str">
        <f>_xlfn.XLOOKUP(I1510,'[1]MAPA DE COTAÇÕES'!$D$12:$D$1058,'[1]MAPA DE COTAÇÕES'!$A$12:$A$1058,"")</f>
        <v/>
      </c>
    </row>
    <row r="1511" spans="1:21" ht="15" x14ac:dyDescent="0.25">
      <c r="A1511" s="90" t="s">
        <v>3956</v>
      </c>
      <c r="B1511" s="90" t="s">
        <v>3290</v>
      </c>
      <c r="C1511" s="98" t="s">
        <v>3957</v>
      </c>
      <c r="D1511" s="92" t="s">
        <v>3958</v>
      </c>
      <c r="E1511" s="90" t="s">
        <v>16</v>
      </c>
      <c r="F1511" s="99">
        <v>1</v>
      </c>
      <c r="G1511" s="94">
        <v>457.42</v>
      </c>
      <c r="H1511" s="94">
        <v>98.76</v>
      </c>
      <c r="I1511" s="95">
        <v>556.18000000000006</v>
      </c>
      <c r="J1511" s="95">
        <v>457.42</v>
      </c>
      <c r="K1511" s="95">
        <v>98.76</v>
      </c>
      <c r="L1511" s="95">
        <v>556.18000000000006</v>
      </c>
      <c r="M1511" s="96">
        <v>0.27529999999999999</v>
      </c>
      <c r="N1511" s="95">
        <v>583.35</v>
      </c>
      <c r="O1511" s="95">
        <v>125.95</v>
      </c>
      <c r="P1511" s="95">
        <v>709.30000000000007</v>
      </c>
      <c r="Q1511" s="95">
        <v>583.35</v>
      </c>
      <c r="R1511" s="95">
        <v>125.95</v>
      </c>
      <c r="S1511" s="95">
        <v>709.30000000000007</v>
      </c>
      <c r="U1511" s="106" t="str">
        <f>_xlfn.XLOOKUP(I1511,'[1]MAPA DE COTAÇÕES'!$D$12:$D$1058,'[1]MAPA DE COTAÇÕES'!$A$12:$A$1058,"")</f>
        <v/>
      </c>
    </row>
    <row r="1512" spans="1:21" ht="15" x14ac:dyDescent="0.25">
      <c r="A1512" s="90" t="s">
        <v>3959</v>
      </c>
      <c r="B1512" s="90" t="s">
        <v>3290</v>
      </c>
      <c r="C1512" s="98" t="s">
        <v>3960</v>
      </c>
      <c r="D1512" s="92" t="s">
        <v>3961</v>
      </c>
      <c r="E1512" s="90" t="s">
        <v>16</v>
      </c>
      <c r="F1512" s="99">
        <v>1</v>
      </c>
      <c r="G1512" s="94">
        <v>487.41</v>
      </c>
      <c r="H1512" s="94">
        <v>98.76</v>
      </c>
      <c r="I1512" s="95">
        <v>586.17000000000007</v>
      </c>
      <c r="J1512" s="95">
        <v>487.41</v>
      </c>
      <c r="K1512" s="95">
        <v>98.76</v>
      </c>
      <c r="L1512" s="95">
        <v>586.17000000000007</v>
      </c>
      <c r="M1512" s="96">
        <v>0.27529999999999999</v>
      </c>
      <c r="N1512" s="95">
        <v>621.59</v>
      </c>
      <c r="O1512" s="95">
        <v>125.95</v>
      </c>
      <c r="P1512" s="95">
        <v>747.54000000000008</v>
      </c>
      <c r="Q1512" s="95">
        <v>621.59</v>
      </c>
      <c r="R1512" s="95">
        <v>125.95</v>
      </c>
      <c r="S1512" s="95">
        <v>747.54000000000008</v>
      </c>
      <c r="U1512" s="106" t="str">
        <f>_xlfn.XLOOKUP(I1512,'[1]MAPA DE COTAÇÕES'!$D$12:$D$1058,'[1]MAPA DE COTAÇÕES'!$A$12:$A$1058,"")</f>
        <v/>
      </c>
    </row>
    <row r="1513" spans="1:21" ht="15" x14ac:dyDescent="0.25">
      <c r="A1513" s="90" t="s">
        <v>3962</v>
      </c>
      <c r="B1513" s="90" t="s">
        <v>3290</v>
      </c>
      <c r="C1513" s="98" t="s">
        <v>3963</v>
      </c>
      <c r="D1513" s="92" t="s">
        <v>3964</v>
      </c>
      <c r="E1513" s="90" t="s">
        <v>16</v>
      </c>
      <c r="F1513" s="99">
        <v>5</v>
      </c>
      <c r="G1513" s="94">
        <v>793.92</v>
      </c>
      <c r="H1513" s="94">
        <v>98.76</v>
      </c>
      <c r="I1513" s="95">
        <v>892.68</v>
      </c>
      <c r="J1513" s="95">
        <v>3969.6</v>
      </c>
      <c r="K1513" s="95">
        <v>493.8</v>
      </c>
      <c r="L1513" s="95">
        <v>4463.3999999999996</v>
      </c>
      <c r="M1513" s="96">
        <v>0.27529999999999999</v>
      </c>
      <c r="N1513" s="95">
        <v>1012.49</v>
      </c>
      <c r="O1513" s="95">
        <v>125.95</v>
      </c>
      <c r="P1513" s="95">
        <v>1138.44</v>
      </c>
      <c r="Q1513" s="95">
        <v>5062.45</v>
      </c>
      <c r="R1513" s="95">
        <v>629.75</v>
      </c>
      <c r="S1513" s="95">
        <v>5692.2</v>
      </c>
      <c r="U1513" s="106" t="str">
        <f>_xlfn.XLOOKUP(I1513,'[1]MAPA DE COTAÇÕES'!$D$12:$D$1058,'[1]MAPA DE COTAÇÕES'!$A$12:$A$1058,"")</f>
        <v/>
      </c>
    </row>
    <row r="1514" spans="1:21" ht="15" x14ac:dyDescent="0.25">
      <c r="A1514" s="90" t="s">
        <v>3965</v>
      </c>
      <c r="B1514" s="90" t="s">
        <v>3290</v>
      </c>
      <c r="C1514" s="98" t="s">
        <v>3966</v>
      </c>
      <c r="D1514" s="92" t="s">
        <v>3967</v>
      </c>
      <c r="E1514" s="90" t="s">
        <v>16</v>
      </c>
      <c r="F1514" s="99">
        <v>1</v>
      </c>
      <c r="G1514" s="94">
        <v>324.48</v>
      </c>
      <c r="H1514" s="94">
        <v>98.76</v>
      </c>
      <c r="I1514" s="95">
        <v>423.24</v>
      </c>
      <c r="J1514" s="95">
        <v>324.48</v>
      </c>
      <c r="K1514" s="95">
        <v>98.76</v>
      </c>
      <c r="L1514" s="95">
        <v>423.24</v>
      </c>
      <c r="M1514" s="96">
        <v>0.27529999999999999</v>
      </c>
      <c r="N1514" s="95">
        <v>413.81</v>
      </c>
      <c r="O1514" s="95">
        <v>125.95</v>
      </c>
      <c r="P1514" s="95">
        <v>539.76</v>
      </c>
      <c r="Q1514" s="95">
        <v>413.81</v>
      </c>
      <c r="R1514" s="95">
        <v>125.95</v>
      </c>
      <c r="S1514" s="95">
        <v>539.76</v>
      </c>
      <c r="U1514" s="106" t="str">
        <f>_xlfn.XLOOKUP(I1514,'[1]MAPA DE COTAÇÕES'!$D$12:$D$1058,'[1]MAPA DE COTAÇÕES'!$A$12:$A$1058,"")</f>
        <v/>
      </c>
    </row>
    <row r="1515" spans="1:21" ht="15" x14ac:dyDescent="0.25">
      <c r="A1515" s="90" t="s">
        <v>3968</v>
      </c>
      <c r="B1515" s="90" t="s">
        <v>3290</v>
      </c>
      <c r="C1515" s="98" t="s">
        <v>3969</v>
      </c>
      <c r="D1515" s="92" t="s">
        <v>3970</v>
      </c>
      <c r="E1515" s="90" t="s">
        <v>16</v>
      </c>
      <c r="F1515" s="99">
        <v>1</v>
      </c>
      <c r="G1515" s="94">
        <v>368.51</v>
      </c>
      <c r="H1515" s="94">
        <v>98.76</v>
      </c>
      <c r="I1515" s="95">
        <v>467.27</v>
      </c>
      <c r="J1515" s="95">
        <v>368.51</v>
      </c>
      <c r="K1515" s="95">
        <v>98.76</v>
      </c>
      <c r="L1515" s="95">
        <v>467.27</v>
      </c>
      <c r="M1515" s="96">
        <v>0.27529999999999999</v>
      </c>
      <c r="N1515" s="95">
        <v>469.96</v>
      </c>
      <c r="O1515" s="95">
        <v>125.95</v>
      </c>
      <c r="P1515" s="95">
        <v>595.91</v>
      </c>
      <c r="Q1515" s="95">
        <v>469.96</v>
      </c>
      <c r="R1515" s="95">
        <v>125.95</v>
      </c>
      <c r="S1515" s="95">
        <v>595.91</v>
      </c>
      <c r="U1515" s="106" t="str">
        <f>_xlfn.XLOOKUP(I1515,'[1]MAPA DE COTAÇÕES'!$D$12:$D$1058,'[1]MAPA DE COTAÇÕES'!$A$12:$A$1058,"")</f>
        <v/>
      </c>
    </row>
    <row r="1516" spans="1:21" ht="15" x14ac:dyDescent="0.25">
      <c r="A1516" s="90" t="s">
        <v>3971</v>
      </c>
      <c r="B1516" s="90" t="s">
        <v>3290</v>
      </c>
      <c r="C1516" s="98" t="s">
        <v>3972</v>
      </c>
      <c r="D1516" s="92" t="s">
        <v>3973</v>
      </c>
      <c r="E1516" s="90" t="s">
        <v>16</v>
      </c>
      <c r="F1516" s="99">
        <v>4</v>
      </c>
      <c r="G1516" s="94">
        <v>421.57</v>
      </c>
      <c r="H1516" s="94">
        <v>98.76</v>
      </c>
      <c r="I1516" s="95">
        <v>520.33000000000004</v>
      </c>
      <c r="J1516" s="95">
        <v>1686.28</v>
      </c>
      <c r="K1516" s="95">
        <v>395.04</v>
      </c>
      <c r="L1516" s="95">
        <v>2081.3200000000002</v>
      </c>
      <c r="M1516" s="96">
        <v>0.27529999999999999</v>
      </c>
      <c r="N1516" s="95">
        <v>537.63</v>
      </c>
      <c r="O1516" s="95">
        <v>125.95</v>
      </c>
      <c r="P1516" s="95">
        <v>663.58</v>
      </c>
      <c r="Q1516" s="95">
        <v>2150.52</v>
      </c>
      <c r="R1516" s="95">
        <v>503.8</v>
      </c>
      <c r="S1516" s="95">
        <v>2654.32</v>
      </c>
      <c r="U1516" s="106" t="str">
        <f>_xlfn.XLOOKUP(I1516,'[1]MAPA DE COTAÇÕES'!$D$12:$D$1058,'[1]MAPA DE COTAÇÕES'!$A$12:$A$1058,"")</f>
        <v/>
      </c>
    </row>
    <row r="1517" spans="1:21" ht="15" x14ac:dyDescent="0.25">
      <c r="A1517" s="90" t="s">
        <v>3974</v>
      </c>
      <c r="B1517" s="90" t="s">
        <v>3290</v>
      </c>
      <c r="C1517" s="98" t="s">
        <v>3975</v>
      </c>
      <c r="D1517" s="92" t="s">
        <v>3976</v>
      </c>
      <c r="E1517" s="90" t="s">
        <v>16</v>
      </c>
      <c r="F1517" s="99">
        <v>6</v>
      </c>
      <c r="G1517" s="94">
        <v>442.28</v>
      </c>
      <c r="H1517" s="94">
        <v>98.76</v>
      </c>
      <c r="I1517" s="95">
        <v>541.04</v>
      </c>
      <c r="J1517" s="95">
        <v>2653.68</v>
      </c>
      <c r="K1517" s="95">
        <v>592.55999999999995</v>
      </c>
      <c r="L1517" s="95">
        <v>3246.24</v>
      </c>
      <c r="M1517" s="96">
        <v>0.27529999999999999</v>
      </c>
      <c r="N1517" s="95">
        <v>564.04</v>
      </c>
      <c r="O1517" s="95">
        <v>125.95</v>
      </c>
      <c r="P1517" s="95">
        <v>689.99</v>
      </c>
      <c r="Q1517" s="95">
        <v>3384.24</v>
      </c>
      <c r="R1517" s="95">
        <v>755.7</v>
      </c>
      <c r="S1517" s="95">
        <v>4139.9399999999996</v>
      </c>
      <c r="U1517" s="106" t="str">
        <f>_xlfn.XLOOKUP(I1517,'[1]MAPA DE COTAÇÕES'!$D$12:$D$1058,'[1]MAPA DE COTAÇÕES'!$A$12:$A$1058,"")</f>
        <v/>
      </c>
    </row>
    <row r="1518" spans="1:21" ht="15" x14ac:dyDescent="0.25">
      <c r="A1518" s="90" t="s">
        <v>3977</v>
      </c>
      <c r="B1518" s="90" t="s">
        <v>3290</v>
      </c>
      <c r="C1518" s="98" t="s">
        <v>3978</v>
      </c>
      <c r="D1518" s="92" t="s">
        <v>3979</v>
      </c>
      <c r="E1518" s="90" t="s">
        <v>16</v>
      </c>
      <c r="F1518" s="99">
        <v>1</v>
      </c>
      <c r="G1518" s="94">
        <v>725.94</v>
      </c>
      <c r="H1518" s="94">
        <v>98.76</v>
      </c>
      <c r="I1518" s="95">
        <v>824.7</v>
      </c>
      <c r="J1518" s="95">
        <v>725.94</v>
      </c>
      <c r="K1518" s="95">
        <v>98.76</v>
      </c>
      <c r="L1518" s="95">
        <v>824.7</v>
      </c>
      <c r="M1518" s="96">
        <v>0.27529999999999999</v>
      </c>
      <c r="N1518" s="95">
        <v>925.79</v>
      </c>
      <c r="O1518" s="95">
        <v>125.95</v>
      </c>
      <c r="P1518" s="95">
        <v>1051.74</v>
      </c>
      <c r="Q1518" s="95">
        <v>925.79</v>
      </c>
      <c r="R1518" s="95">
        <v>125.95</v>
      </c>
      <c r="S1518" s="95">
        <v>1051.74</v>
      </c>
      <c r="U1518" s="106" t="str">
        <f>_xlfn.XLOOKUP(I1518,'[1]MAPA DE COTAÇÕES'!$D$12:$D$1058,'[1]MAPA DE COTAÇÕES'!$A$12:$A$1058,"")</f>
        <v/>
      </c>
    </row>
    <row r="1519" spans="1:21" ht="15" x14ac:dyDescent="0.25">
      <c r="A1519" s="90" t="s">
        <v>3980</v>
      </c>
      <c r="B1519" s="90" t="s">
        <v>3290</v>
      </c>
      <c r="C1519" s="98" t="s">
        <v>3981</v>
      </c>
      <c r="D1519" s="92" t="s">
        <v>3982</v>
      </c>
      <c r="E1519" s="90" t="s">
        <v>16</v>
      </c>
      <c r="F1519" s="99">
        <v>1</v>
      </c>
      <c r="G1519" s="94">
        <v>769.21</v>
      </c>
      <c r="H1519" s="94">
        <v>98.76</v>
      </c>
      <c r="I1519" s="95">
        <v>867.97</v>
      </c>
      <c r="J1519" s="95">
        <v>769.21</v>
      </c>
      <c r="K1519" s="95">
        <v>98.76</v>
      </c>
      <c r="L1519" s="95">
        <v>867.97</v>
      </c>
      <c r="M1519" s="96">
        <v>0.27529999999999999</v>
      </c>
      <c r="N1519" s="95">
        <v>980.97</v>
      </c>
      <c r="O1519" s="95">
        <v>125.95</v>
      </c>
      <c r="P1519" s="95">
        <v>1106.92</v>
      </c>
      <c r="Q1519" s="95">
        <v>980.97</v>
      </c>
      <c r="R1519" s="95">
        <v>125.95</v>
      </c>
      <c r="S1519" s="95">
        <v>1106.92</v>
      </c>
      <c r="U1519" s="106" t="str">
        <f>_xlfn.XLOOKUP(I1519,'[1]MAPA DE COTAÇÕES'!$D$12:$D$1058,'[1]MAPA DE COTAÇÕES'!$A$12:$A$1058,"")</f>
        <v/>
      </c>
    </row>
    <row r="1520" spans="1:21" ht="15" x14ac:dyDescent="0.25">
      <c r="A1520" s="90" t="s">
        <v>3983</v>
      </c>
      <c r="B1520" s="90" t="s">
        <v>3290</v>
      </c>
      <c r="C1520" s="98" t="s">
        <v>3984</v>
      </c>
      <c r="D1520" s="92" t="s">
        <v>3985</v>
      </c>
      <c r="E1520" s="90" t="s">
        <v>16</v>
      </c>
      <c r="F1520" s="99">
        <v>2</v>
      </c>
      <c r="G1520" s="94">
        <v>773.12</v>
      </c>
      <c r="H1520" s="94">
        <v>98.76</v>
      </c>
      <c r="I1520" s="95">
        <v>871.88</v>
      </c>
      <c r="J1520" s="95">
        <v>1546.24</v>
      </c>
      <c r="K1520" s="95">
        <v>197.52</v>
      </c>
      <c r="L1520" s="95">
        <v>1743.76</v>
      </c>
      <c r="M1520" s="96">
        <v>0.27529999999999999</v>
      </c>
      <c r="N1520" s="95">
        <v>985.96</v>
      </c>
      <c r="O1520" s="95">
        <v>125.95</v>
      </c>
      <c r="P1520" s="95">
        <v>1111.9100000000001</v>
      </c>
      <c r="Q1520" s="95">
        <v>1971.92</v>
      </c>
      <c r="R1520" s="95">
        <v>251.9</v>
      </c>
      <c r="S1520" s="95">
        <v>2223.8200000000002</v>
      </c>
      <c r="U1520" s="106" t="str">
        <f>_xlfn.XLOOKUP(I1520,'[1]MAPA DE COTAÇÕES'!$D$12:$D$1058,'[1]MAPA DE COTAÇÕES'!$A$12:$A$1058,"")</f>
        <v/>
      </c>
    </row>
    <row r="1521" spans="1:21" ht="15" x14ac:dyDescent="0.25">
      <c r="A1521" s="90" t="s">
        <v>3986</v>
      </c>
      <c r="B1521" s="90" t="s">
        <v>3290</v>
      </c>
      <c r="C1521" s="98" t="s">
        <v>3987</v>
      </c>
      <c r="D1521" s="92" t="s">
        <v>3988</v>
      </c>
      <c r="E1521" s="90" t="s">
        <v>16</v>
      </c>
      <c r="F1521" s="99">
        <v>6</v>
      </c>
      <c r="G1521" s="94">
        <v>769.21</v>
      </c>
      <c r="H1521" s="94">
        <v>98.76</v>
      </c>
      <c r="I1521" s="95">
        <v>867.97</v>
      </c>
      <c r="J1521" s="95">
        <v>4615.26</v>
      </c>
      <c r="K1521" s="95">
        <v>592.55999999999995</v>
      </c>
      <c r="L1521" s="95">
        <v>5207.82</v>
      </c>
      <c r="M1521" s="96">
        <v>0.27529999999999999</v>
      </c>
      <c r="N1521" s="95">
        <v>980.97</v>
      </c>
      <c r="O1521" s="95">
        <v>125.95</v>
      </c>
      <c r="P1521" s="95">
        <v>1106.92</v>
      </c>
      <c r="Q1521" s="95">
        <v>5885.82</v>
      </c>
      <c r="R1521" s="95">
        <v>755.7</v>
      </c>
      <c r="S1521" s="95">
        <v>6641.5199999999995</v>
      </c>
      <c r="U1521" s="106" t="str">
        <f>_xlfn.XLOOKUP(I1521,'[1]MAPA DE COTAÇÕES'!$D$12:$D$1058,'[1]MAPA DE COTAÇÕES'!$A$12:$A$1058,"")</f>
        <v/>
      </c>
    </row>
    <row r="1522" spans="1:21" ht="15" x14ac:dyDescent="0.25">
      <c r="A1522" s="90" t="s">
        <v>3989</v>
      </c>
      <c r="B1522" s="90" t="s">
        <v>3290</v>
      </c>
      <c r="C1522" s="98" t="s">
        <v>3990</v>
      </c>
      <c r="D1522" s="92" t="s">
        <v>3991</v>
      </c>
      <c r="E1522" s="90" t="s">
        <v>16</v>
      </c>
      <c r="F1522" s="99">
        <v>5</v>
      </c>
      <c r="G1522" s="94">
        <v>649.29999999999995</v>
      </c>
      <c r="H1522" s="94">
        <v>98.76</v>
      </c>
      <c r="I1522" s="95">
        <v>748.06</v>
      </c>
      <c r="J1522" s="95">
        <v>3246.5</v>
      </c>
      <c r="K1522" s="95">
        <v>493.8</v>
      </c>
      <c r="L1522" s="95">
        <v>3740.3</v>
      </c>
      <c r="M1522" s="96">
        <v>0.27529999999999999</v>
      </c>
      <c r="N1522" s="95">
        <v>828.05</v>
      </c>
      <c r="O1522" s="95">
        <v>125.95</v>
      </c>
      <c r="P1522" s="95">
        <v>954</v>
      </c>
      <c r="Q1522" s="95">
        <v>4140.25</v>
      </c>
      <c r="R1522" s="95">
        <v>629.75</v>
      </c>
      <c r="S1522" s="95">
        <v>4770</v>
      </c>
      <c r="U1522" s="106" t="str">
        <f>_xlfn.XLOOKUP(I1522,'[1]MAPA DE COTAÇÕES'!$D$12:$D$1058,'[1]MAPA DE COTAÇÕES'!$A$12:$A$1058,"")</f>
        <v/>
      </c>
    </row>
    <row r="1523" spans="1:21" ht="15" x14ac:dyDescent="0.25">
      <c r="A1523" s="90" t="s">
        <v>3992</v>
      </c>
      <c r="B1523" s="90" t="s">
        <v>3290</v>
      </c>
      <c r="C1523" s="98" t="s">
        <v>3993</v>
      </c>
      <c r="D1523" s="92" t="s">
        <v>3994</v>
      </c>
      <c r="E1523" s="90" t="s">
        <v>16</v>
      </c>
      <c r="F1523" s="99">
        <v>4</v>
      </c>
      <c r="G1523" s="94">
        <v>954.91</v>
      </c>
      <c r="H1523" s="94">
        <v>98.76</v>
      </c>
      <c r="I1523" s="95">
        <v>1053.67</v>
      </c>
      <c r="J1523" s="95">
        <v>3819.64</v>
      </c>
      <c r="K1523" s="95">
        <v>395.04</v>
      </c>
      <c r="L1523" s="95">
        <v>4214.68</v>
      </c>
      <c r="M1523" s="96">
        <v>0.27529999999999999</v>
      </c>
      <c r="N1523" s="95">
        <v>1217.8</v>
      </c>
      <c r="O1523" s="95">
        <v>125.95</v>
      </c>
      <c r="P1523" s="95">
        <v>1343.75</v>
      </c>
      <c r="Q1523" s="95">
        <v>4871.2</v>
      </c>
      <c r="R1523" s="95">
        <v>503.8</v>
      </c>
      <c r="S1523" s="95">
        <v>5375</v>
      </c>
      <c r="U1523" s="106" t="str">
        <f>_xlfn.XLOOKUP(I1523,'[1]MAPA DE COTAÇÕES'!$D$12:$D$1058,'[1]MAPA DE COTAÇÕES'!$A$12:$A$1058,"")</f>
        <v/>
      </c>
    </row>
    <row r="1524" spans="1:21" ht="15" x14ac:dyDescent="0.25">
      <c r="A1524" s="90" t="s">
        <v>3995</v>
      </c>
      <c r="B1524" s="90" t="s">
        <v>3290</v>
      </c>
      <c r="C1524" s="98" t="s">
        <v>3996</v>
      </c>
      <c r="D1524" s="92" t="s">
        <v>3997</v>
      </c>
      <c r="E1524" s="90" t="s">
        <v>16</v>
      </c>
      <c r="F1524" s="99">
        <v>3</v>
      </c>
      <c r="G1524" s="94">
        <v>943.42</v>
      </c>
      <c r="H1524" s="94">
        <v>98.76</v>
      </c>
      <c r="I1524" s="95">
        <v>1042.18</v>
      </c>
      <c r="J1524" s="95">
        <v>2830.26</v>
      </c>
      <c r="K1524" s="95">
        <v>296.27999999999997</v>
      </c>
      <c r="L1524" s="95">
        <v>3126.54</v>
      </c>
      <c r="M1524" s="96">
        <v>0.27529999999999999</v>
      </c>
      <c r="N1524" s="95">
        <v>1203.1400000000001</v>
      </c>
      <c r="O1524" s="95">
        <v>125.95</v>
      </c>
      <c r="P1524" s="95">
        <v>1329.0900000000001</v>
      </c>
      <c r="Q1524" s="95">
        <v>3609.42</v>
      </c>
      <c r="R1524" s="95">
        <v>377.85</v>
      </c>
      <c r="S1524" s="95">
        <v>3987.27</v>
      </c>
      <c r="U1524" s="106" t="str">
        <f>_xlfn.XLOOKUP(I1524,'[1]MAPA DE COTAÇÕES'!$D$12:$D$1058,'[1]MAPA DE COTAÇÕES'!$A$12:$A$1058,"")</f>
        <v/>
      </c>
    </row>
    <row r="1525" spans="1:21" ht="15" x14ac:dyDescent="0.25">
      <c r="A1525" s="90" t="s">
        <v>3998</v>
      </c>
      <c r="B1525" s="90" t="s">
        <v>3290</v>
      </c>
      <c r="C1525" s="98" t="s">
        <v>3999</v>
      </c>
      <c r="D1525" s="92" t="s">
        <v>4000</v>
      </c>
      <c r="E1525" s="90" t="s">
        <v>16</v>
      </c>
      <c r="F1525" s="99">
        <v>1</v>
      </c>
      <c r="G1525" s="94">
        <v>1008.08</v>
      </c>
      <c r="H1525" s="94">
        <v>98.76</v>
      </c>
      <c r="I1525" s="95">
        <v>1106.8400000000001</v>
      </c>
      <c r="J1525" s="95">
        <v>1008.08</v>
      </c>
      <c r="K1525" s="95">
        <v>98.76</v>
      </c>
      <c r="L1525" s="95">
        <v>1106.8400000000001</v>
      </c>
      <c r="M1525" s="96">
        <v>0.27529999999999999</v>
      </c>
      <c r="N1525" s="95">
        <v>1285.5999999999999</v>
      </c>
      <c r="O1525" s="95">
        <v>125.95</v>
      </c>
      <c r="P1525" s="95">
        <v>1411.55</v>
      </c>
      <c r="Q1525" s="95">
        <v>1285.5999999999999</v>
      </c>
      <c r="R1525" s="95">
        <v>125.95</v>
      </c>
      <c r="S1525" s="95">
        <v>1411.55</v>
      </c>
      <c r="U1525" s="106" t="str">
        <f>_xlfn.XLOOKUP(I1525,'[1]MAPA DE COTAÇÕES'!$D$12:$D$1058,'[1]MAPA DE COTAÇÕES'!$A$12:$A$1058,"")</f>
        <v/>
      </c>
    </row>
    <row r="1526" spans="1:21" ht="15" x14ac:dyDescent="0.25">
      <c r="A1526" s="90" t="s">
        <v>4001</v>
      </c>
      <c r="B1526" s="90" t="s">
        <v>3290</v>
      </c>
      <c r="C1526" s="98" t="s">
        <v>4002</v>
      </c>
      <c r="D1526" s="92" t="s">
        <v>4003</v>
      </c>
      <c r="E1526" s="90" t="s">
        <v>16</v>
      </c>
      <c r="F1526" s="99">
        <v>1</v>
      </c>
      <c r="G1526" s="94">
        <v>1057.5</v>
      </c>
      <c r="H1526" s="94">
        <v>98.76</v>
      </c>
      <c r="I1526" s="95">
        <v>1156.26</v>
      </c>
      <c r="J1526" s="95">
        <v>1057.5</v>
      </c>
      <c r="K1526" s="95">
        <v>98.76</v>
      </c>
      <c r="L1526" s="95">
        <v>1156.26</v>
      </c>
      <c r="M1526" s="96">
        <v>0.27529999999999999</v>
      </c>
      <c r="N1526" s="95">
        <v>1348.63</v>
      </c>
      <c r="O1526" s="95">
        <v>125.95</v>
      </c>
      <c r="P1526" s="95">
        <v>1474.5800000000002</v>
      </c>
      <c r="Q1526" s="95">
        <v>1348.63</v>
      </c>
      <c r="R1526" s="95">
        <v>125.95</v>
      </c>
      <c r="S1526" s="95">
        <v>1474.5800000000002</v>
      </c>
      <c r="U1526" s="106" t="str">
        <f>_xlfn.XLOOKUP(I1526,'[1]MAPA DE COTAÇÕES'!$D$12:$D$1058,'[1]MAPA DE COTAÇÕES'!$A$12:$A$1058,"")</f>
        <v/>
      </c>
    </row>
    <row r="1527" spans="1:21" ht="15" x14ac:dyDescent="0.25">
      <c r="A1527" s="90" t="s">
        <v>4004</v>
      </c>
      <c r="B1527" s="90" t="s">
        <v>3290</v>
      </c>
      <c r="C1527" s="98" t="s">
        <v>4005</v>
      </c>
      <c r="D1527" s="92" t="s">
        <v>4006</v>
      </c>
      <c r="E1527" s="90" t="s">
        <v>16</v>
      </c>
      <c r="F1527" s="99">
        <v>1</v>
      </c>
      <c r="G1527" s="94">
        <v>193.78</v>
      </c>
      <c r="H1527" s="94">
        <v>117.12</v>
      </c>
      <c r="I1527" s="95">
        <v>310.89999999999998</v>
      </c>
      <c r="J1527" s="95">
        <v>193.78</v>
      </c>
      <c r="K1527" s="95">
        <v>117.12</v>
      </c>
      <c r="L1527" s="95">
        <v>310.89999999999998</v>
      </c>
      <c r="M1527" s="96">
        <v>0.27529999999999999</v>
      </c>
      <c r="N1527" s="95">
        <v>247.13</v>
      </c>
      <c r="O1527" s="95">
        <v>149.36000000000001</v>
      </c>
      <c r="P1527" s="95">
        <v>396.49</v>
      </c>
      <c r="Q1527" s="95">
        <v>247.13</v>
      </c>
      <c r="R1527" s="95">
        <v>149.36000000000001</v>
      </c>
      <c r="S1527" s="95">
        <v>396.49</v>
      </c>
      <c r="U1527" s="106" t="str">
        <f>_xlfn.XLOOKUP(I1527,'[1]MAPA DE COTAÇÕES'!$D$12:$D$1058,'[1]MAPA DE COTAÇÕES'!$A$12:$A$1058,"")</f>
        <v/>
      </c>
    </row>
    <row r="1528" spans="1:21" ht="15" x14ac:dyDescent="0.25">
      <c r="A1528" s="90" t="s">
        <v>4007</v>
      </c>
      <c r="B1528" s="90" t="s">
        <v>3290</v>
      </c>
      <c r="C1528" s="98" t="s">
        <v>4008</v>
      </c>
      <c r="D1528" s="92" t="s">
        <v>4009</v>
      </c>
      <c r="E1528" s="90" t="s">
        <v>16</v>
      </c>
      <c r="F1528" s="99">
        <v>1</v>
      </c>
      <c r="G1528" s="94">
        <v>225.9</v>
      </c>
      <c r="H1528" s="94">
        <v>117.12</v>
      </c>
      <c r="I1528" s="95">
        <v>343.02</v>
      </c>
      <c r="J1528" s="95">
        <v>225.9</v>
      </c>
      <c r="K1528" s="95">
        <v>117.12</v>
      </c>
      <c r="L1528" s="95">
        <v>343.02</v>
      </c>
      <c r="M1528" s="96">
        <v>0.27529999999999999</v>
      </c>
      <c r="N1528" s="95">
        <v>288.08999999999997</v>
      </c>
      <c r="O1528" s="95">
        <v>149.36000000000001</v>
      </c>
      <c r="P1528" s="95">
        <v>437.45</v>
      </c>
      <c r="Q1528" s="95">
        <v>288.08999999999997</v>
      </c>
      <c r="R1528" s="95">
        <v>149.36000000000001</v>
      </c>
      <c r="S1528" s="95">
        <v>437.45</v>
      </c>
      <c r="U1528" s="106" t="str">
        <f>_xlfn.XLOOKUP(I1528,'[1]MAPA DE COTAÇÕES'!$D$12:$D$1058,'[1]MAPA DE COTAÇÕES'!$A$12:$A$1058,"")</f>
        <v/>
      </c>
    </row>
    <row r="1529" spans="1:21" ht="15" x14ac:dyDescent="0.25">
      <c r="A1529" s="90" t="s">
        <v>4010</v>
      </c>
      <c r="B1529" s="90" t="s">
        <v>3290</v>
      </c>
      <c r="C1529" s="98" t="s">
        <v>4011</v>
      </c>
      <c r="D1529" s="92" t="s">
        <v>4012</v>
      </c>
      <c r="E1529" s="90" t="s">
        <v>16</v>
      </c>
      <c r="F1529" s="99">
        <v>2</v>
      </c>
      <c r="G1529" s="94">
        <v>177.71</v>
      </c>
      <c r="H1529" s="94">
        <v>117.12</v>
      </c>
      <c r="I1529" s="95">
        <v>294.83000000000004</v>
      </c>
      <c r="J1529" s="95">
        <v>355.42</v>
      </c>
      <c r="K1529" s="95">
        <v>234.24</v>
      </c>
      <c r="L1529" s="95">
        <v>589.66000000000008</v>
      </c>
      <c r="M1529" s="96">
        <v>0.27529999999999999</v>
      </c>
      <c r="N1529" s="95">
        <v>226.63</v>
      </c>
      <c r="O1529" s="95">
        <v>149.36000000000001</v>
      </c>
      <c r="P1529" s="95">
        <v>375.99</v>
      </c>
      <c r="Q1529" s="95">
        <v>453.26</v>
      </c>
      <c r="R1529" s="95">
        <v>298.72000000000003</v>
      </c>
      <c r="S1529" s="95">
        <v>751.98</v>
      </c>
      <c r="U1529" s="106" t="str">
        <f>_xlfn.XLOOKUP(I1529,'[1]MAPA DE COTAÇÕES'!$D$12:$D$1058,'[1]MAPA DE COTAÇÕES'!$A$12:$A$1058,"")</f>
        <v/>
      </c>
    </row>
    <row r="1530" spans="1:21" ht="15" x14ac:dyDescent="0.25">
      <c r="A1530" s="90" t="s">
        <v>4013</v>
      </c>
      <c r="B1530" s="90" t="s">
        <v>3290</v>
      </c>
      <c r="C1530" s="98" t="s">
        <v>4014</v>
      </c>
      <c r="D1530" s="92" t="s">
        <v>4015</v>
      </c>
      <c r="E1530" s="90" t="s">
        <v>16</v>
      </c>
      <c r="F1530" s="99">
        <v>1</v>
      </c>
      <c r="G1530" s="94">
        <v>322.29000000000002</v>
      </c>
      <c r="H1530" s="94">
        <v>117.12</v>
      </c>
      <c r="I1530" s="95">
        <v>439.41</v>
      </c>
      <c r="J1530" s="95">
        <v>322.29000000000002</v>
      </c>
      <c r="K1530" s="95">
        <v>117.12</v>
      </c>
      <c r="L1530" s="95">
        <v>439.41</v>
      </c>
      <c r="M1530" s="96">
        <v>0.27529999999999999</v>
      </c>
      <c r="N1530" s="95">
        <v>411.02</v>
      </c>
      <c r="O1530" s="95">
        <v>149.36000000000001</v>
      </c>
      <c r="P1530" s="95">
        <v>560.38</v>
      </c>
      <c r="Q1530" s="95">
        <v>411.02</v>
      </c>
      <c r="R1530" s="95">
        <v>149.36000000000001</v>
      </c>
      <c r="S1530" s="95">
        <v>560.38</v>
      </c>
      <c r="U1530" s="106" t="str">
        <f>_xlfn.XLOOKUP(I1530,'[1]MAPA DE COTAÇÕES'!$D$12:$D$1058,'[1]MAPA DE COTAÇÕES'!$A$12:$A$1058,"")</f>
        <v/>
      </c>
    </row>
    <row r="1531" spans="1:21" ht="15" x14ac:dyDescent="0.25">
      <c r="A1531" s="90" t="s">
        <v>4016</v>
      </c>
      <c r="B1531" s="90" t="s">
        <v>3290</v>
      </c>
      <c r="C1531" s="98" t="s">
        <v>4017</v>
      </c>
      <c r="D1531" s="92" t="s">
        <v>4018</v>
      </c>
      <c r="E1531" s="90" t="s">
        <v>16</v>
      </c>
      <c r="F1531" s="99">
        <v>1</v>
      </c>
      <c r="G1531" s="94">
        <v>418.67</v>
      </c>
      <c r="H1531" s="94">
        <v>117.12</v>
      </c>
      <c r="I1531" s="95">
        <v>535.79</v>
      </c>
      <c r="J1531" s="95">
        <v>418.67</v>
      </c>
      <c r="K1531" s="95">
        <v>117.12</v>
      </c>
      <c r="L1531" s="95">
        <v>535.79</v>
      </c>
      <c r="M1531" s="96">
        <v>0.27529999999999999</v>
      </c>
      <c r="N1531" s="95">
        <v>533.92999999999995</v>
      </c>
      <c r="O1531" s="95">
        <v>149.36000000000001</v>
      </c>
      <c r="P1531" s="95">
        <v>683.29</v>
      </c>
      <c r="Q1531" s="95">
        <v>533.92999999999995</v>
      </c>
      <c r="R1531" s="95">
        <v>149.36000000000001</v>
      </c>
      <c r="S1531" s="95">
        <v>683.29</v>
      </c>
      <c r="U1531" s="106" t="str">
        <f>_xlfn.XLOOKUP(I1531,'[1]MAPA DE COTAÇÕES'!$D$12:$D$1058,'[1]MAPA DE COTAÇÕES'!$A$12:$A$1058,"")</f>
        <v/>
      </c>
    </row>
    <row r="1532" spans="1:21" ht="15" x14ac:dyDescent="0.25">
      <c r="A1532" s="90" t="s">
        <v>4019</v>
      </c>
      <c r="B1532" s="90" t="s">
        <v>3290</v>
      </c>
      <c r="C1532" s="98" t="s">
        <v>4020</v>
      </c>
      <c r="D1532" s="92" t="s">
        <v>4021</v>
      </c>
      <c r="E1532" s="90" t="s">
        <v>16</v>
      </c>
      <c r="F1532" s="99">
        <v>1</v>
      </c>
      <c r="G1532" s="94">
        <v>547.19000000000005</v>
      </c>
      <c r="H1532" s="94">
        <v>117.12</v>
      </c>
      <c r="I1532" s="95">
        <v>664.31000000000006</v>
      </c>
      <c r="J1532" s="95">
        <v>547.19000000000005</v>
      </c>
      <c r="K1532" s="95">
        <v>117.12</v>
      </c>
      <c r="L1532" s="95">
        <v>664.31000000000006</v>
      </c>
      <c r="M1532" s="96">
        <v>0.27529999999999999</v>
      </c>
      <c r="N1532" s="95">
        <v>697.83</v>
      </c>
      <c r="O1532" s="95">
        <v>149.36000000000001</v>
      </c>
      <c r="P1532" s="95">
        <v>847.19</v>
      </c>
      <c r="Q1532" s="95">
        <v>697.83</v>
      </c>
      <c r="R1532" s="95">
        <v>149.36000000000001</v>
      </c>
      <c r="S1532" s="95">
        <v>847.19</v>
      </c>
      <c r="U1532" s="106" t="str">
        <f>_xlfn.XLOOKUP(I1532,'[1]MAPA DE COTAÇÕES'!$D$12:$D$1058,'[1]MAPA DE COTAÇÕES'!$A$12:$A$1058,"")</f>
        <v/>
      </c>
    </row>
    <row r="1533" spans="1:21" ht="15" x14ac:dyDescent="0.25">
      <c r="A1533" s="90" t="s">
        <v>4022</v>
      </c>
      <c r="B1533" s="90" t="s">
        <v>3290</v>
      </c>
      <c r="C1533" s="98" t="s">
        <v>4023</v>
      </c>
      <c r="D1533" s="92" t="s">
        <v>4024</v>
      </c>
      <c r="E1533" s="90" t="s">
        <v>16</v>
      </c>
      <c r="F1533" s="99">
        <v>1</v>
      </c>
      <c r="G1533" s="94">
        <v>290.16000000000003</v>
      </c>
      <c r="H1533" s="94">
        <v>117.12</v>
      </c>
      <c r="I1533" s="95">
        <v>407.28000000000003</v>
      </c>
      <c r="J1533" s="95">
        <v>290.16000000000003</v>
      </c>
      <c r="K1533" s="95">
        <v>117.12</v>
      </c>
      <c r="L1533" s="95">
        <v>407.28000000000003</v>
      </c>
      <c r="M1533" s="96">
        <v>0.27529999999999999</v>
      </c>
      <c r="N1533" s="95">
        <v>370.04</v>
      </c>
      <c r="O1533" s="95">
        <v>149.36000000000001</v>
      </c>
      <c r="P1533" s="95">
        <v>519.40000000000009</v>
      </c>
      <c r="Q1533" s="95">
        <v>370.04</v>
      </c>
      <c r="R1533" s="95">
        <v>149.36000000000001</v>
      </c>
      <c r="S1533" s="95">
        <v>519.40000000000009</v>
      </c>
      <c r="U1533" s="106" t="str">
        <f>_xlfn.XLOOKUP(I1533,'[1]MAPA DE COTAÇÕES'!$D$12:$D$1058,'[1]MAPA DE COTAÇÕES'!$A$12:$A$1058,"")</f>
        <v/>
      </c>
    </row>
    <row r="1534" spans="1:21" ht="15" x14ac:dyDescent="0.25">
      <c r="A1534" s="90" t="s">
        <v>4025</v>
      </c>
      <c r="B1534" s="90" t="s">
        <v>3290</v>
      </c>
      <c r="C1534" s="98" t="s">
        <v>4026</v>
      </c>
      <c r="D1534" s="92" t="s">
        <v>4027</v>
      </c>
      <c r="E1534" s="90" t="s">
        <v>16</v>
      </c>
      <c r="F1534" s="99">
        <v>1</v>
      </c>
      <c r="G1534" s="94">
        <v>418.67</v>
      </c>
      <c r="H1534" s="94">
        <v>117.12</v>
      </c>
      <c r="I1534" s="95">
        <v>535.79</v>
      </c>
      <c r="J1534" s="95">
        <v>418.67</v>
      </c>
      <c r="K1534" s="95">
        <v>117.12</v>
      </c>
      <c r="L1534" s="95">
        <v>535.79</v>
      </c>
      <c r="M1534" s="96">
        <v>0.27529999999999999</v>
      </c>
      <c r="N1534" s="95">
        <v>533.92999999999995</v>
      </c>
      <c r="O1534" s="95">
        <v>149.36000000000001</v>
      </c>
      <c r="P1534" s="95">
        <v>683.29</v>
      </c>
      <c r="Q1534" s="95">
        <v>533.92999999999995</v>
      </c>
      <c r="R1534" s="95">
        <v>149.36000000000001</v>
      </c>
      <c r="S1534" s="95">
        <v>683.29</v>
      </c>
      <c r="U1534" s="106" t="str">
        <f>_xlfn.XLOOKUP(I1534,'[1]MAPA DE COTAÇÕES'!$D$12:$D$1058,'[1]MAPA DE COTAÇÕES'!$A$12:$A$1058,"")</f>
        <v/>
      </c>
    </row>
    <row r="1535" spans="1:21" ht="15" x14ac:dyDescent="0.25">
      <c r="A1535" s="90" t="s">
        <v>4028</v>
      </c>
      <c r="B1535" s="90" t="s">
        <v>3290</v>
      </c>
      <c r="C1535" s="98" t="s">
        <v>4029</v>
      </c>
      <c r="D1535" s="92" t="s">
        <v>4030</v>
      </c>
      <c r="E1535" s="90" t="s">
        <v>16</v>
      </c>
      <c r="F1535" s="99">
        <v>2</v>
      </c>
      <c r="G1535" s="94">
        <v>354.42</v>
      </c>
      <c r="H1535" s="94">
        <v>117.12</v>
      </c>
      <c r="I1535" s="95">
        <v>471.54</v>
      </c>
      <c r="J1535" s="95">
        <v>708.84</v>
      </c>
      <c r="K1535" s="95">
        <v>234.24</v>
      </c>
      <c r="L1535" s="95">
        <v>943.08</v>
      </c>
      <c r="M1535" s="96">
        <v>0.27529999999999999</v>
      </c>
      <c r="N1535" s="95">
        <v>451.99</v>
      </c>
      <c r="O1535" s="95">
        <v>149.36000000000001</v>
      </c>
      <c r="P1535" s="95">
        <v>601.35</v>
      </c>
      <c r="Q1535" s="95">
        <v>903.98</v>
      </c>
      <c r="R1535" s="95">
        <v>298.72000000000003</v>
      </c>
      <c r="S1535" s="95">
        <v>1202.7</v>
      </c>
      <c r="U1535" s="106" t="str">
        <f>_xlfn.XLOOKUP(I1535,'[1]MAPA DE COTAÇÕES'!$D$12:$D$1058,'[1]MAPA DE COTAÇÕES'!$A$12:$A$1058,"")</f>
        <v/>
      </c>
    </row>
    <row r="1536" spans="1:21" ht="15" x14ac:dyDescent="0.25">
      <c r="A1536" s="90" t="s">
        <v>4031</v>
      </c>
      <c r="B1536" s="90" t="s">
        <v>3290</v>
      </c>
      <c r="C1536" s="98" t="s">
        <v>4032</v>
      </c>
      <c r="D1536" s="92" t="s">
        <v>4033</v>
      </c>
      <c r="E1536" s="90" t="s">
        <v>16</v>
      </c>
      <c r="F1536" s="99">
        <v>5</v>
      </c>
      <c r="G1536" s="94">
        <v>434.74</v>
      </c>
      <c r="H1536" s="94">
        <v>117.12</v>
      </c>
      <c r="I1536" s="95">
        <v>551.86</v>
      </c>
      <c r="J1536" s="95">
        <v>2173.6999999999998</v>
      </c>
      <c r="K1536" s="95">
        <v>585.6</v>
      </c>
      <c r="L1536" s="95">
        <v>2759.2999999999997</v>
      </c>
      <c r="M1536" s="96">
        <v>0.27529999999999999</v>
      </c>
      <c r="N1536" s="95">
        <v>554.41999999999996</v>
      </c>
      <c r="O1536" s="95">
        <v>149.36000000000001</v>
      </c>
      <c r="P1536" s="95">
        <v>703.78</v>
      </c>
      <c r="Q1536" s="95">
        <v>2772.1</v>
      </c>
      <c r="R1536" s="95">
        <v>746.8</v>
      </c>
      <c r="S1536" s="95">
        <v>3518.8999999999996</v>
      </c>
      <c r="U1536" s="106" t="str">
        <f>_xlfn.XLOOKUP(I1536,'[1]MAPA DE COTAÇÕES'!$D$12:$D$1058,'[1]MAPA DE COTAÇÕES'!$A$12:$A$1058,"")</f>
        <v/>
      </c>
    </row>
    <row r="1537" spans="1:21" ht="15" x14ac:dyDescent="0.25">
      <c r="A1537" s="90" t="s">
        <v>4034</v>
      </c>
      <c r="B1537" s="90" t="s">
        <v>3290</v>
      </c>
      <c r="C1537" s="98" t="s">
        <v>4035</v>
      </c>
      <c r="D1537" s="92" t="s">
        <v>4036</v>
      </c>
      <c r="E1537" s="90" t="s">
        <v>16</v>
      </c>
      <c r="F1537" s="99">
        <v>3</v>
      </c>
      <c r="G1537" s="94">
        <v>515.05999999999995</v>
      </c>
      <c r="H1537" s="94">
        <v>117.12</v>
      </c>
      <c r="I1537" s="95">
        <v>632.17999999999995</v>
      </c>
      <c r="J1537" s="95">
        <v>1545.18</v>
      </c>
      <c r="K1537" s="95">
        <v>351.36</v>
      </c>
      <c r="L1537" s="95">
        <v>1896.54</v>
      </c>
      <c r="M1537" s="96">
        <v>0.27529999999999999</v>
      </c>
      <c r="N1537" s="95">
        <v>656.86</v>
      </c>
      <c r="O1537" s="95">
        <v>149.36000000000001</v>
      </c>
      <c r="P1537" s="95">
        <v>806.22</v>
      </c>
      <c r="Q1537" s="95">
        <v>1970.58</v>
      </c>
      <c r="R1537" s="95">
        <v>448.08</v>
      </c>
      <c r="S1537" s="95">
        <v>2418.66</v>
      </c>
      <c r="U1537" s="106" t="str">
        <f>_xlfn.XLOOKUP(I1537,'[1]MAPA DE COTAÇÕES'!$D$12:$D$1058,'[1]MAPA DE COTAÇÕES'!$A$12:$A$1058,"")</f>
        <v/>
      </c>
    </row>
    <row r="1538" spans="1:21" ht="15" x14ac:dyDescent="0.25">
      <c r="A1538" s="90" t="s">
        <v>4037</v>
      </c>
      <c r="B1538" s="90" t="s">
        <v>3290</v>
      </c>
      <c r="C1538" s="98" t="s">
        <v>4038</v>
      </c>
      <c r="D1538" s="92" t="s">
        <v>4039</v>
      </c>
      <c r="E1538" s="90" t="s">
        <v>16</v>
      </c>
      <c r="F1538" s="99">
        <v>4</v>
      </c>
      <c r="G1538" s="94">
        <v>675.7</v>
      </c>
      <c r="H1538" s="94">
        <v>117.12</v>
      </c>
      <c r="I1538" s="95">
        <v>792.82</v>
      </c>
      <c r="J1538" s="95">
        <v>2702.8</v>
      </c>
      <c r="K1538" s="95">
        <v>468.48</v>
      </c>
      <c r="L1538" s="95">
        <v>3171.28</v>
      </c>
      <c r="M1538" s="96">
        <v>0.27529999999999999</v>
      </c>
      <c r="N1538" s="95">
        <v>861.72</v>
      </c>
      <c r="O1538" s="95">
        <v>149.36000000000001</v>
      </c>
      <c r="P1538" s="95">
        <v>1011.08</v>
      </c>
      <c r="Q1538" s="95">
        <v>3446.88</v>
      </c>
      <c r="R1538" s="95">
        <v>597.44000000000005</v>
      </c>
      <c r="S1538" s="95">
        <v>4044.32</v>
      </c>
      <c r="U1538" s="106" t="str">
        <f>_xlfn.XLOOKUP(I1538,'[1]MAPA DE COTAÇÕES'!$D$12:$D$1058,'[1]MAPA DE COTAÇÕES'!$A$12:$A$1058,"")</f>
        <v/>
      </c>
    </row>
    <row r="1539" spans="1:21" ht="15" x14ac:dyDescent="0.25">
      <c r="A1539" s="90" t="s">
        <v>4040</v>
      </c>
      <c r="B1539" s="90" t="s">
        <v>3290</v>
      </c>
      <c r="C1539" s="98" t="s">
        <v>4041</v>
      </c>
      <c r="D1539" s="92" t="s">
        <v>4042</v>
      </c>
      <c r="E1539" s="90" t="s">
        <v>16</v>
      </c>
      <c r="F1539" s="99">
        <v>1</v>
      </c>
      <c r="G1539" s="94">
        <v>418.67</v>
      </c>
      <c r="H1539" s="94">
        <v>117.12</v>
      </c>
      <c r="I1539" s="95">
        <v>535.79</v>
      </c>
      <c r="J1539" s="95">
        <v>418.67</v>
      </c>
      <c r="K1539" s="95">
        <v>117.12</v>
      </c>
      <c r="L1539" s="95">
        <v>535.79</v>
      </c>
      <c r="M1539" s="96">
        <v>0.27529999999999999</v>
      </c>
      <c r="N1539" s="95">
        <v>533.92999999999995</v>
      </c>
      <c r="O1539" s="95">
        <v>149.36000000000001</v>
      </c>
      <c r="P1539" s="95">
        <v>683.29</v>
      </c>
      <c r="Q1539" s="95">
        <v>533.92999999999995</v>
      </c>
      <c r="R1539" s="95">
        <v>149.36000000000001</v>
      </c>
      <c r="S1539" s="95">
        <v>683.29</v>
      </c>
      <c r="U1539" s="106" t="str">
        <f>_xlfn.XLOOKUP(I1539,'[1]MAPA DE COTAÇÕES'!$D$12:$D$1058,'[1]MAPA DE COTAÇÕES'!$A$12:$A$1058,"")</f>
        <v/>
      </c>
    </row>
    <row r="1540" spans="1:21" ht="15" x14ac:dyDescent="0.25">
      <c r="A1540" s="90" t="s">
        <v>4043</v>
      </c>
      <c r="B1540" s="90" t="s">
        <v>3290</v>
      </c>
      <c r="C1540" s="98" t="s">
        <v>4044</v>
      </c>
      <c r="D1540" s="92" t="s">
        <v>4045</v>
      </c>
      <c r="E1540" s="90" t="s">
        <v>16</v>
      </c>
      <c r="F1540" s="99">
        <v>2</v>
      </c>
      <c r="G1540" s="94">
        <v>515.05999999999995</v>
      </c>
      <c r="H1540" s="94">
        <v>117.12</v>
      </c>
      <c r="I1540" s="95">
        <v>632.17999999999995</v>
      </c>
      <c r="J1540" s="95">
        <v>1030.1199999999999</v>
      </c>
      <c r="K1540" s="95">
        <v>234.24</v>
      </c>
      <c r="L1540" s="95">
        <v>1264.3599999999999</v>
      </c>
      <c r="M1540" s="96">
        <v>0.27529999999999999</v>
      </c>
      <c r="N1540" s="95">
        <v>656.86</v>
      </c>
      <c r="O1540" s="95">
        <v>149.36000000000001</v>
      </c>
      <c r="P1540" s="95">
        <v>806.22</v>
      </c>
      <c r="Q1540" s="95">
        <v>1313.72</v>
      </c>
      <c r="R1540" s="95">
        <v>298.72000000000003</v>
      </c>
      <c r="S1540" s="95">
        <v>1612.44</v>
      </c>
      <c r="U1540" s="106" t="str">
        <f>_xlfn.XLOOKUP(I1540,'[1]MAPA DE COTAÇÕES'!$D$12:$D$1058,'[1]MAPA DE COTAÇÕES'!$A$12:$A$1058,"")</f>
        <v/>
      </c>
    </row>
    <row r="1541" spans="1:21" ht="15" x14ac:dyDescent="0.25">
      <c r="A1541" s="90" t="s">
        <v>4046</v>
      </c>
      <c r="B1541" s="90" t="s">
        <v>3290</v>
      </c>
      <c r="C1541" s="98" t="s">
        <v>4047</v>
      </c>
      <c r="D1541" s="92" t="s">
        <v>4048</v>
      </c>
      <c r="E1541" s="90" t="s">
        <v>16</v>
      </c>
      <c r="F1541" s="99">
        <v>2</v>
      </c>
      <c r="G1541" s="94">
        <v>611.44000000000005</v>
      </c>
      <c r="H1541" s="94">
        <v>117.12</v>
      </c>
      <c r="I1541" s="95">
        <v>728.56000000000006</v>
      </c>
      <c r="J1541" s="95">
        <v>1222.8800000000001</v>
      </c>
      <c r="K1541" s="95">
        <v>234.24</v>
      </c>
      <c r="L1541" s="95">
        <v>1457.1200000000001</v>
      </c>
      <c r="M1541" s="96">
        <v>0.27529999999999999</v>
      </c>
      <c r="N1541" s="95">
        <v>779.77</v>
      </c>
      <c r="O1541" s="95">
        <v>149.36000000000001</v>
      </c>
      <c r="P1541" s="95">
        <v>929.13</v>
      </c>
      <c r="Q1541" s="95">
        <v>1559.54</v>
      </c>
      <c r="R1541" s="95">
        <v>298.72000000000003</v>
      </c>
      <c r="S1541" s="95">
        <v>1858.26</v>
      </c>
      <c r="U1541" s="106" t="str">
        <f>_xlfn.XLOOKUP(I1541,'[1]MAPA DE COTAÇÕES'!$D$12:$D$1058,'[1]MAPA DE COTAÇÕES'!$A$12:$A$1058,"")</f>
        <v/>
      </c>
    </row>
    <row r="1542" spans="1:21" ht="15" x14ac:dyDescent="0.25">
      <c r="A1542" s="90" t="s">
        <v>4049</v>
      </c>
      <c r="B1542" s="90" t="s">
        <v>3290</v>
      </c>
      <c r="C1542" s="98" t="s">
        <v>4050</v>
      </c>
      <c r="D1542" s="92" t="s">
        <v>4051</v>
      </c>
      <c r="E1542" s="90" t="s">
        <v>16</v>
      </c>
      <c r="F1542" s="99">
        <v>1</v>
      </c>
      <c r="G1542" s="94">
        <v>820.28</v>
      </c>
      <c r="H1542" s="94">
        <v>117.12</v>
      </c>
      <c r="I1542" s="95">
        <v>937.4</v>
      </c>
      <c r="J1542" s="95">
        <v>820.28</v>
      </c>
      <c r="K1542" s="95">
        <v>117.12</v>
      </c>
      <c r="L1542" s="95">
        <v>937.4</v>
      </c>
      <c r="M1542" s="96">
        <v>0.27529999999999999</v>
      </c>
      <c r="N1542" s="95">
        <v>1046.0999999999999</v>
      </c>
      <c r="O1542" s="95">
        <v>149.36000000000001</v>
      </c>
      <c r="P1542" s="95">
        <v>1195.46</v>
      </c>
      <c r="Q1542" s="95">
        <v>1046.0999999999999</v>
      </c>
      <c r="R1542" s="95">
        <v>149.36000000000001</v>
      </c>
      <c r="S1542" s="95">
        <v>1195.46</v>
      </c>
      <c r="U1542" s="106" t="str">
        <f>_xlfn.XLOOKUP(I1542,'[1]MAPA DE COTAÇÕES'!$D$12:$D$1058,'[1]MAPA DE COTAÇÕES'!$A$12:$A$1058,"")</f>
        <v/>
      </c>
    </row>
    <row r="1543" spans="1:21" ht="15" x14ac:dyDescent="0.25">
      <c r="A1543" s="90" t="s">
        <v>4052</v>
      </c>
      <c r="B1543" s="90" t="s">
        <v>3290</v>
      </c>
      <c r="C1543" s="98" t="s">
        <v>4053</v>
      </c>
      <c r="D1543" s="92" t="s">
        <v>4054</v>
      </c>
      <c r="E1543" s="90" t="s">
        <v>16</v>
      </c>
      <c r="F1543" s="99">
        <v>3</v>
      </c>
      <c r="G1543" s="94">
        <v>932.73</v>
      </c>
      <c r="H1543" s="94">
        <v>117.12</v>
      </c>
      <c r="I1543" s="95">
        <v>1049.8499999999999</v>
      </c>
      <c r="J1543" s="95">
        <v>2798.19</v>
      </c>
      <c r="K1543" s="95">
        <v>351.36</v>
      </c>
      <c r="L1543" s="95">
        <v>3149.55</v>
      </c>
      <c r="M1543" s="96">
        <v>0.27529999999999999</v>
      </c>
      <c r="N1543" s="95">
        <v>1189.51</v>
      </c>
      <c r="O1543" s="95">
        <v>149.36000000000001</v>
      </c>
      <c r="P1543" s="95">
        <v>1338.87</v>
      </c>
      <c r="Q1543" s="95">
        <v>3568.53</v>
      </c>
      <c r="R1543" s="95">
        <v>448.08</v>
      </c>
      <c r="S1543" s="95">
        <v>4016.61</v>
      </c>
      <c r="U1543" s="106" t="str">
        <f>_xlfn.XLOOKUP(I1543,'[1]MAPA DE COTAÇÕES'!$D$12:$D$1058,'[1]MAPA DE COTAÇÕES'!$A$12:$A$1058,"")</f>
        <v/>
      </c>
    </row>
    <row r="1544" spans="1:21" ht="15" x14ac:dyDescent="0.25">
      <c r="A1544" s="90" t="s">
        <v>4055</v>
      </c>
      <c r="B1544" s="90" t="s">
        <v>3290</v>
      </c>
      <c r="C1544" s="98" t="s">
        <v>4056</v>
      </c>
      <c r="D1544" s="92" t="s">
        <v>4057</v>
      </c>
      <c r="E1544" s="90" t="s">
        <v>16</v>
      </c>
      <c r="F1544" s="99">
        <v>1</v>
      </c>
      <c r="G1544" s="94">
        <v>547.19000000000005</v>
      </c>
      <c r="H1544" s="94">
        <v>117.12</v>
      </c>
      <c r="I1544" s="95">
        <v>664.31000000000006</v>
      </c>
      <c r="J1544" s="95">
        <v>547.19000000000005</v>
      </c>
      <c r="K1544" s="95">
        <v>117.12</v>
      </c>
      <c r="L1544" s="95">
        <v>664.31000000000006</v>
      </c>
      <c r="M1544" s="96">
        <v>0.27529999999999999</v>
      </c>
      <c r="N1544" s="95">
        <v>697.83</v>
      </c>
      <c r="O1544" s="95">
        <v>149.36000000000001</v>
      </c>
      <c r="P1544" s="95">
        <v>847.19</v>
      </c>
      <c r="Q1544" s="95">
        <v>697.83</v>
      </c>
      <c r="R1544" s="95">
        <v>149.36000000000001</v>
      </c>
      <c r="S1544" s="95">
        <v>847.19</v>
      </c>
      <c r="U1544" s="106" t="str">
        <f>_xlfn.XLOOKUP(I1544,'[1]MAPA DE COTAÇÕES'!$D$12:$D$1058,'[1]MAPA DE COTAÇÕES'!$A$12:$A$1058,"")</f>
        <v/>
      </c>
    </row>
    <row r="1545" spans="1:21" ht="15" x14ac:dyDescent="0.25">
      <c r="A1545" s="90" t="s">
        <v>4058</v>
      </c>
      <c r="B1545" s="90" t="s">
        <v>3290</v>
      </c>
      <c r="C1545" s="98" t="s">
        <v>4059</v>
      </c>
      <c r="D1545" s="92" t="s">
        <v>4060</v>
      </c>
      <c r="E1545" s="90" t="s">
        <v>16</v>
      </c>
      <c r="F1545" s="99">
        <v>1</v>
      </c>
      <c r="G1545" s="94">
        <v>675.7</v>
      </c>
      <c r="H1545" s="94">
        <v>117.12</v>
      </c>
      <c r="I1545" s="95">
        <v>792.82</v>
      </c>
      <c r="J1545" s="95">
        <v>675.7</v>
      </c>
      <c r="K1545" s="95">
        <v>117.12</v>
      </c>
      <c r="L1545" s="95">
        <v>792.82</v>
      </c>
      <c r="M1545" s="96">
        <v>0.27529999999999999</v>
      </c>
      <c r="N1545" s="95">
        <v>861.72</v>
      </c>
      <c r="O1545" s="95">
        <v>149.36000000000001</v>
      </c>
      <c r="P1545" s="95">
        <v>1011.08</v>
      </c>
      <c r="Q1545" s="95">
        <v>861.72</v>
      </c>
      <c r="R1545" s="95">
        <v>149.36000000000001</v>
      </c>
      <c r="S1545" s="95">
        <v>1011.08</v>
      </c>
      <c r="U1545" s="106" t="str">
        <f>_xlfn.XLOOKUP(I1545,'[1]MAPA DE COTAÇÕES'!$D$12:$D$1058,'[1]MAPA DE COTAÇÕES'!$A$12:$A$1058,"")</f>
        <v/>
      </c>
    </row>
    <row r="1546" spans="1:21" ht="15" x14ac:dyDescent="0.25">
      <c r="A1546" s="90" t="s">
        <v>4061</v>
      </c>
      <c r="B1546" s="90" t="s">
        <v>3290</v>
      </c>
      <c r="C1546" s="98" t="s">
        <v>4062</v>
      </c>
      <c r="D1546" s="92" t="s">
        <v>4063</v>
      </c>
      <c r="E1546" s="90" t="s">
        <v>16</v>
      </c>
      <c r="F1546" s="99">
        <v>4</v>
      </c>
      <c r="G1546" s="94">
        <v>1061.24</v>
      </c>
      <c r="H1546" s="94">
        <v>117.12</v>
      </c>
      <c r="I1546" s="95">
        <v>1178.3600000000001</v>
      </c>
      <c r="J1546" s="95">
        <v>4244.96</v>
      </c>
      <c r="K1546" s="95">
        <v>468.48</v>
      </c>
      <c r="L1546" s="95">
        <v>4713.4400000000005</v>
      </c>
      <c r="M1546" s="96">
        <v>0.27529999999999999</v>
      </c>
      <c r="N1546" s="95">
        <v>1353.4</v>
      </c>
      <c r="O1546" s="95">
        <v>149.36000000000001</v>
      </c>
      <c r="P1546" s="95">
        <v>1502.7600000000002</v>
      </c>
      <c r="Q1546" s="95">
        <v>5413.6</v>
      </c>
      <c r="R1546" s="95">
        <v>597.44000000000005</v>
      </c>
      <c r="S1546" s="95">
        <v>6011.0400000000009</v>
      </c>
      <c r="U1546" s="106" t="str">
        <f>_xlfn.XLOOKUP(I1546,'[1]MAPA DE COTAÇÕES'!$D$12:$D$1058,'[1]MAPA DE COTAÇÕES'!$A$12:$A$1058,"")</f>
        <v/>
      </c>
    </row>
    <row r="1547" spans="1:21" ht="15" x14ac:dyDescent="0.25">
      <c r="A1547" s="90" t="s">
        <v>4064</v>
      </c>
      <c r="B1547" s="90" t="s">
        <v>3290</v>
      </c>
      <c r="C1547" s="98" t="s">
        <v>4065</v>
      </c>
      <c r="D1547" s="92" t="s">
        <v>4066</v>
      </c>
      <c r="E1547" s="90" t="s">
        <v>16</v>
      </c>
      <c r="F1547" s="99">
        <v>1</v>
      </c>
      <c r="G1547" s="94">
        <v>756.02</v>
      </c>
      <c r="H1547" s="94">
        <v>117.12</v>
      </c>
      <c r="I1547" s="95">
        <v>873.14</v>
      </c>
      <c r="J1547" s="95">
        <v>756.02</v>
      </c>
      <c r="K1547" s="95">
        <v>117.12</v>
      </c>
      <c r="L1547" s="95">
        <v>873.14</v>
      </c>
      <c r="M1547" s="96">
        <v>0.27529999999999999</v>
      </c>
      <c r="N1547" s="95">
        <v>964.15</v>
      </c>
      <c r="O1547" s="95">
        <v>149.36000000000001</v>
      </c>
      <c r="P1547" s="95">
        <v>1113.51</v>
      </c>
      <c r="Q1547" s="95">
        <v>964.15</v>
      </c>
      <c r="R1547" s="95">
        <v>149.36000000000001</v>
      </c>
      <c r="S1547" s="95">
        <v>1113.51</v>
      </c>
      <c r="U1547" s="106" t="str">
        <f>_xlfn.XLOOKUP(I1547,'[1]MAPA DE COTAÇÕES'!$D$12:$D$1058,'[1]MAPA DE COTAÇÕES'!$A$12:$A$1058,"")</f>
        <v/>
      </c>
    </row>
    <row r="1548" spans="1:21" ht="15" x14ac:dyDescent="0.25">
      <c r="A1548" s="90" t="s">
        <v>4067</v>
      </c>
      <c r="B1548" s="90" t="s">
        <v>3290</v>
      </c>
      <c r="C1548" s="98" t="s">
        <v>4068</v>
      </c>
      <c r="D1548" s="92" t="s">
        <v>4069</v>
      </c>
      <c r="E1548" s="90" t="s">
        <v>16</v>
      </c>
      <c r="F1548" s="99">
        <v>1</v>
      </c>
      <c r="G1548" s="94">
        <v>1045.18</v>
      </c>
      <c r="H1548" s="94">
        <v>117.12</v>
      </c>
      <c r="I1548" s="95">
        <v>1162.3000000000002</v>
      </c>
      <c r="J1548" s="95">
        <v>1045.18</v>
      </c>
      <c r="K1548" s="95">
        <v>117.12</v>
      </c>
      <c r="L1548" s="95">
        <v>1162.3000000000002</v>
      </c>
      <c r="M1548" s="96">
        <v>0.27529999999999999</v>
      </c>
      <c r="N1548" s="95">
        <v>1332.92</v>
      </c>
      <c r="O1548" s="95">
        <v>149.36000000000001</v>
      </c>
      <c r="P1548" s="95">
        <v>1482.2800000000002</v>
      </c>
      <c r="Q1548" s="95">
        <v>1332.92</v>
      </c>
      <c r="R1548" s="95">
        <v>149.36000000000001</v>
      </c>
      <c r="S1548" s="95">
        <v>1482.2800000000002</v>
      </c>
      <c r="U1548" s="106" t="str">
        <f>_xlfn.XLOOKUP(I1548,'[1]MAPA DE COTAÇÕES'!$D$12:$D$1058,'[1]MAPA DE COTAÇÕES'!$A$12:$A$1058,"")</f>
        <v/>
      </c>
    </row>
    <row r="1549" spans="1:21" ht="15" x14ac:dyDescent="0.25">
      <c r="A1549" s="90" t="s">
        <v>4070</v>
      </c>
      <c r="B1549" s="90" t="s">
        <v>3290</v>
      </c>
      <c r="C1549" s="98" t="s">
        <v>4071</v>
      </c>
      <c r="D1549" s="92" t="s">
        <v>4072</v>
      </c>
      <c r="E1549" s="90" t="s">
        <v>16</v>
      </c>
      <c r="F1549" s="99">
        <v>4</v>
      </c>
      <c r="G1549" s="94">
        <v>1189.75</v>
      </c>
      <c r="H1549" s="94">
        <v>117.12</v>
      </c>
      <c r="I1549" s="95">
        <v>1306.8699999999999</v>
      </c>
      <c r="J1549" s="95">
        <v>4759</v>
      </c>
      <c r="K1549" s="95">
        <v>468.48</v>
      </c>
      <c r="L1549" s="95">
        <v>5227.4799999999996</v>
      </c>
      <c r="M1549" s="96">
        <v>0.27529999999999999</v>
      </c>
      <c r="N1549" s="95">
        <v>1517.29</v>
      </c>
      <c r="O1549" s="95">
        <v>149.36000000000001</v>
      </c>
      <c r="P1549" s="95">
        <v>1666.65</v>
      </c>
      <c r="Q1549" s="95">
        <v>6069.16</v>
      </c>
      <c r="R1549" s="95">
        <v>597.44000000000005</v>
      </c>
      <c r="S1549" s="95">
        <v>6666.6</v>
      </c>
      <c r="U1549" s="106" t="str">
        <f>_xlfn.XLOOKUP(I1549,'[1]MAPA DE COTAÇÕES'!$D$12:$D$1058,'[1]MAPA DE COTAÇÕES'!$A$12:$A$1058,"")</f>
        <v/>
      </c>
    </row>
    <row r="1550" spans="1:21" ht="15" x14ac:dyDescent="0.25">
      <c r="A1550" s="90" t="s">
        <v>4073</v>
      </c>
      <c r="B1550" s="90" t="s">
        <v>3290</v>
      </c>
      <c r="C1550" s="98" t="s">
        <v>4074</v>
      </c>
      <c r="D1550" s="92" t="s">
        <v>4075</v>
      </c>
      <c r="E1550" s="90" t="s">
        <v>16</v>
      </c>
      <c r="F1550" s="99">
        <v>1</v>
      </c>
      <c r="G1550" s="94">
        <v>1157.6300000000001</v>
      </c>
      <c r="H1550" s="94">
        <v>117.12</v>
      </c>
      <c r="I1550" s="95">
        <v>1274.75</v>
      </c>
      <c r="J1550" s="95">
        <v>1157.6300000000001</v>
      </c>
      <c r="K1550" s="95">
        <v>117.12</v>
      </c>
      <c r="L1550" s="95">
        <v>1274.75</v>
      </c>
      <c r="M1550" s="96">
        <v>0.27529999999999999</v>
      </c>
      <c r="N1550" s="95">
        <v>1476.33</v>
      </c>
      <c r="O1550" s="95">
        <v>149.36000000000001</v>
      </c>
      <c r="P1550" s="95">
        <v>1625.69</v>
      </c>
      <c r="Q1550" s="95">
        <v>1476.33</v>
      </c>
      <c r="R1550" s="95">
        <v>149.36000000000001</v>
      </c>
      <c r="S1550" s="95">
        <v>1625.69</v>
      </c>
      <c r="U1550" s="106" t="str">
        <f>_xlfn.XLOOKUP(I1550,'[1]MAPA DE COTAÇÕES'!$D$12:$D$1058,'[1]MAPA DE COTAÇÕES'!$A$12:$A$1058,"")</f>
        <v/>
      </c>
    </row>
    <row r="1551" spans="1:21" ht="15" x14ac:dyDescent="0.25">
      <c r="A1551" s="90" t="s">
        <v>4076</v>
      </c>
      <c r="B1551" s="90" t="s">
        <v>3290</v>
      </c>
      <c r="C1551" s="98" t="s">
        <v>4077</v>
      </c>
      <c r="D1551" s="92" t="s">
        <v>4078</v>
      </c>
      <c r="E1551" s="90" t="s">
        <v>16</v>
      </c>
      <c r="F1551" s="99">
        <v>4</v>
      </c>
      <c r="G1551" s="94">
        <v>1318.27</v>
      </c>
      <c r="H1551" s="94">
        <v>117.12</v>
      </c>
      <c r="I1551" s="95">
        <v>1435.3899999999999</v>
      </c>
      <c r="J1551" s="95">
        <v>5273.08</v>
      </c>
      <c r="K1551" s="95">
        <v>468.48</v>
      </c>
      <c r="L1551" s="95">
        <v>5741.5599999999995</v>
      </c>
      <c r="M1551" s="96">
        <v>0.27529999999999999</v>
      </c>
      <c r="N1551" s="95">
        <v>1681.19</v>
      </c>
      <c r="O1551" s="95">
        <v>149.36000000000001</v>
      </c>
      <c r="P1551" s="95">
        <v>1830.5500000000002</v>
      </c>
      <c r="Q1551" s="95">
        <v>6724.76</v>
      </c>
      <c r="R1551" s="95">
        <v>597.44000000000005</v>
      </c>
      <c r="S1551" s="95">
        <v>7322.2000000000007</v>
      </c>
      <c r="U1551" s="106" t="str">
        <f>_xlfn.XLOOKUP(I1551,'[1]MAPA DE COTAÇÕES'!$D$12:$D$1058,'[1]MAPA DE COTAÇÕES'!$A$12:$A$1058,"")</f>
        <v/>
      </c>
    </row>
    <row r="1552" spans="1:21" ht="15" x14ac:dyDescent="0.25">
      <c r="A1552" s="90" t="s">
        <v>4079</v>
      </c>
      <c r="B1552" s="90" t="s">
        <v>3290</v>
      </c>
      <c r="C1552" s="98" t="s">
        <v>4080</v>
      </c>
      <c r="D1552" s="92" t="s">
        <v>4081</v>
      </c>
      <c r="E1552" s="90" t="s">
        <v>16</v>
      </c>
      <c r="F1552" s="99">
        <v>4</v>
      </c>
      <c r="G1552" s="94">
        <v>1446.78</v>
      </c>
      <c r="H1552" s="94">
        <v>117.12</v>
      </c>
      <c r="I1552" s="95">
        <v>1563.9</v>
      </c>
      <c r="J1552" s="95">
        <v>5787.12</v>
      </c>
      <c r="K1552" s="95">
        <v>468.48</v>
      </c>
      <c r="L1552" s="95">
        <v>6255.6</v>
      </c>
      <c r="M1552" s="96">
        <v>0.27529999999999999</v>
      </c>
      <c r="N1552" s="95">
        <v>1845.08</v>
      </c>
      <c r="O1552" s="95">
        <v>149.36000000000001</v>
      </c>
      <c r="P1552" s="95">
        <v>1994.44</v>
      </c>
      <c r="Q1552" s="95">
        <v>7380.32</v>
      </c>
      <c r="R1552" s="95">
        <v>597.44000000000005</v>
      </c>
      <c r="S1552" s="95">
        <v>7977.76</v>
      </c>
      <c r="U1552" s="106" t="str">
        <f>_xlfn.XLOOKUP(I1552,'[1]MAPA DE COTAÇÕES'!$D$12:$D$1058,'[1]MAPA DE COTAÇÕES'!$A$12:$A$1058,"")</f>
        <v/>
      </c>
    </row>
    <row r="1553" spans="1:21" ht="15" x14ac:dyDescent="0.25">
      <c r="A1553" s="90" t="s">
        <v>4082</v>
      </c>
      <c r="B1553" s="90" t="s">
        <v>3290</v>
      </c>
      <c r="C1553" s="98" t="s">
        <v>4083</v>
      </c>
      <c r="D1553" s="92" t="s">
        <v>4084</v>
      </c>
      <c r="E1553" s="90" t="s">
        <v>16</v>
      </c>
      <c r="F1553" s="99">
        <v>1</v>
      </c>
      <c r="G1553" s="94">
        <v>1382.52</v>
      </c>
      <c r="H1553" s="94">
        <v>117.12</v>
      </c>
      <c r="I1553" s="95">
        <v>1499.6399999999999</v>
      </c>
      <c r="J1553" s="95">
        <v>1382.52</v>
      </c>
      <c r="K1553" s="95">
        <v>117.12</v>
      </c>
      <c r="L1553" s="95">
        <v>1499.6399999999999</v>
      </c>
      <c r="M1553" s="96">
        <v>0.27529999999999999</v>
      </c>
      <c r="N1553" s="95">
        <v>1763.13</v>
      </c>
      <c r="O1553" s="95">
        <v>149.36000000000001</v>
      </c>
      <c r="P1553" s="95">
        <v>1912.4900000000002</v>
      </c>
      <c r="Q1553" s="95">
        <v>1763.13</v>
      </c>
      <c r="R1553" s="95">
        <v>149.36000000000001</v>
      </c>
      <c r="S1553" s="95">
        <v>1912.4900000000002</v>
      </c>
      <c r="U1553" s="106" t="str">
        <f>_xlfn.XLOOKUP(I1553,'[1]MAPA DE COTAÇÕES'!$D$12:$D$1058,'[1]MAPA DE COTAÇÕES'!$A$12:$A$1058,"")</f>
        <v/>
      </c>
    </row>
    <row r="1554" spans="1:21" ht="15" x14ac:dyDescent="0.25">
      <c r="A1554" s="90" t="s">
        <v>4085</v>
      </c>
      <c r="B1554" s="90" t="s">
        <v>3290</v>
      </c>
      <c r="C1554" s="98" t="s">
        <v>4086</v>
      </c>
      <c r="D1554" s="92" t="s">
        <v>4087</v>
      </c>
      <c r="E1554" s="90" t="s">
        <v>16</v>
      </c>
      <c r="F1554" s="99">
        <v>4</v>
      </c>
      <c r="G1554" s="94">
        <v>1575.29</v>
      </c>
      <c r="H1554" s="94">
        <v>117.12</v>
      </c>
      <c r="I1554" s="95">
        <v>1692.4099999999999</v>
      </c>
      <c r="J1554" s="95">
        <v>6301.16</v>
      </c>
      <c r="K1554" s="95">
        <v>468.48</v>
      </c>
      <c r="L1554" s="95">
        <v>6769.6399999999994</v>
      </c>
      <c r="M1554" s="96">
        <v>0.27529999999999999</v>
      </c>
      <c r="N1554" s="95">
        <v>2008.97</v>
      </c>
      <c r="O1554" s="95">
        <v>149.36000000000001</v>
      </c>
      <c r="P1554" s="95">
        <v>2158.33</v>
      </c>
      <c r="Q1554" s="95">
        <v>8035.88</v>
      </c>
      <c r="R1554" s="95">
        <v>597.44000000000005</v>
      </c>
      <c r="S1554" s="95">
        <v>8633.32</v>
      </c>
      <c r="U1554" s="106" t="str">
        <f>_xlfn.XLOOKUP(I1554,'[1]MAPA DE COTAÇÕES'!$D$12:$D$1058,'[1]MAPA DE COTAÇÕES'!$A$12:$A$1058,"")</f>
        <v/>
      </c>
    </row>
    <row r="1555" spans="1:21" ht="15" x14ac:dyDescent="0.25">
      <c r="A1555" s="90" t="s">
        <v>4088</v>
      </c>
      <c r="B1555" s="90" t="s">
        <v>3290</v>
      </c>
      <c r="C1555" s="98" t="s">
        <v>4089</v>
      </c>
      <c r="D1555" s="92" t="s">
        <v>4090</v>
      </c>
      <c r="E1555" s="90" t="s">
        <v>16</v>
      </c>
      <c r="F1555" s="99">
        <v>1</v>
      </c>
      <c r="G1555" s="94">
        <v>2346.37</v>
      </c>
      <c r="H1555" s="94">
        <v>117.12</v>
      </c>
      <c r="I1555" s="95">
        <v>2463.4899999999998</v>
      </c>
      <c r="J1555" s="95">
        <v>2346.37</v>
      </c>
      <c r="K1555" s="95">
        <v>117.12</v>
      </c>
      <c r="L1555" s="95">
        <v>2463.4899999999998</v>
      </c>
      <c r="M1555" s="96">
        <v>0.27529999999999999</v>
      </c>
      <c r="N1555" s="95">
        <v>2992.33</v>
      </c>
      <c r="O1555" s="95">
        <v>149.36000000000001</v>
      </c>
      <c r="P1555" s="95">
        <v>3141.69</v>
      </c>
      <c r="Q1555" s="95">
        <v>2992.33</v>
      </c>
      <c r="R1555" s="95">
        <v>149.36000000000001</v>
      </c>
      <c r="S1555" s="95">
        <v>3141.69</v>
      </c>
      <c r="U1555" s="106" t="str">
        <f>_xlfn.XLOOKUP(I1555,'[1]MAPA DE COTAÇÕES'!$D$12:$D$1058,'[1]MAPA DE COTAÇÕES'!$A$12:$A$1058,"")</f>
        <v/>
      </c>
    </row>
    <row r="1556" spans="1:21" ht="15" x14ac:dyDescent="0.25">
      <c r="A1556" s="90" t="s">
        <v>4091</v>
      </c>
      <c r="B1556" s="90" t="s">
        <v>3290</v>
      </c>
      <c r="C1556" s="98" t="s">
        <v>4092</v>
      </c>
      <c r="D1556" s="92" t="s">
        <v>4093</v>
      </c>
      <c r="E1556" s="90" t="s">
        <v>16</v>
      </c>
      <c r="F1556" s="99">
        <v>2</v>
      </c>
      <c r="G1556" s="94">
        <v>1703.81</v>
      </c>
      <c r="H1556" s="94">
        <v>117.12</v>
      </c>
      <c r="I1556" s="95">
        <v>1820.9299999999998</v>
      </c>
      <c r="J1556" s="95">
        <v>3407.62</v>
      </c>
      <c r="K1556" s="95">
        <v>234.24</v>
      </c>
      <c r="L1556" s="95">
        <v>3641.8599999999997</v>
      </c>
      <c r="M1556" s="96">
        <v>0.27529999999999999</v>
      </c>
      <c r="N1556" s="95">
        <v>2172.87</v>
      </c>
      <c r="O1556" s="95">
        <v>149.36000000000001</v>
      </c>
      <c r="P1556" s="95">
        <v>2322.23</v>
      </c>
      <c r="Q1556" s="95">
        <v>4345.74</v>
      </c>
      <c r="R1556" s="95">
        <v>298.72000000000003</v>
      </c>
      <c r="S1556" s="95">
        <v>4644.46</v>
      </c>
      <c r="U1556" s="106" t="str">
        <f>_xlfn.XLOOKUP(I1556,'[1]MAPA DE COTAÇÕES'!$D$12:$D$1058,'[1]MAPA DE COTAÇÕES'!$A$12:$A$1058,"")</f>
        <v/>
      </c>
    </row>
    <row r="1557" spans="1:21" ht="15" x14ac:dyDescent="0.25">
      <c r="A1557" s="90" t="s">
        <v>4094</v>
      </c>
      <c r="B1557" s="90" t="s">
        <v>3290</v>
      </c>
      <c r="C1557" s="98" t="s">
        <v>4095</v>
      </c>
      <c r="D1557" s="92" t="s">
        <v>4096</v>
      </c>
      <c r="E1557" s="90" t="s">
        <v>16</v>
      </c>
      <c r="F1557" s="99">
        <v>1</v>
      </c>
      <c r="G1557" s="94">
        <v>2539.14</v>
      </c>
      <c r="H1557" s="94">
        <v>117.12</v>
      </c>
      <c r="I1557" s="95">
        <v>2656.2599999999998</v>
      </c>
      <c r="J1557" s="95">
        <v>2539.14</v>
      </c>
      <c r="K1557" s="95">
        <v>117.12</v>
      </c>
      <c r="L1557" s="95">
        <v>2656.2599999999998</v>
      </c>
      <c r="M1557" s="96">
        <v>0.27529999999999999</v>
      </c>
      <c r="N1557" s="95">
        <v>3238.17</v>
      </c>
      <c r="O1557" s="95">
        <v>149.36000000000001</v>
      </c>
      <c r="P1557" s="95">
        <v>3387.53</v>
      </c>
      <c r="Q1557" s="95">
        <v>3238.17</v>
      </c>
      <c r="R1557" s="95">
        <v>149.36000000000001</v>
      </c>
      <c r="S1557" s="95">
        <v>3387.53</v>
      </c>
      <c r="U1557" s="106" t="str">
        <f>_xlfn.XLOOKUP(I1557,'[1]MAPA DE COTAÇÕES'!$D$12:$D$1058,'[1]MAPA DE COTAÇÕES'!$A$12:$A$1058,"")</f>
        <v/>
      </c>
    </row>
    <row r="1558" spans="1:21" ht="15" x14ac:dyDescent="0.25">
      <c r="A1558" s="90" t="s">
        <v>4097</v>
      </c>
      <c r="B1558" s="90" t="s">
        <v>3290</v>
      </c>
      <c r="C1558" s="98" t="s">
        <v>4098</v>
      </c>
      <c r="D1558" s="92" t="s">
        <v>4099</v>
      </c>
      <c r="E1558" s="90" t="s">
        <v>16</v>
      </c>
      <c r="F1558" s="99">
        <v>2</v>
      </c>
      <c r="G1558" s="94">
        <v>2747.98</v>
      </c>
      <c r="H1558" s="94">
        <v>117.12</v>
      </c>
      <c r="I1558" s="95">
        <v>2865.1</v>
      </c>
      <c r="J1558" s="95">
        <v>5495.96</v>
      </c>
      <c r="K1558" s="95">
        <v>234.24</v>
      </c>
      <c r="L1558" s="95">
        <v>5730.2</v>
      </c>
      <c r="M1558" s="96">
        <v>0.27529999999999999</v>
      </c>
      <c r="N1558" s="95">
        <v>3504.5</v>
      </c>
      <c r="O1558" s="95">
        <v>149.36000000000001</v>
      </c>
      <c r="P1558" s="95">
        <v>3653.86</v>
      </c>
      <c r="Q1558" s="95">
        <v>7009</v>
      </c>
      <c r="R1558" s="95">
        <v>298.72000000000003</v>
      </c>
      <c r="S1558" s="95">
        <v>7307.72</v>
      </c>
      <c r="U1558" s="106" t="str">
        <f>_xlfn.XLOOKUP(I1558,'[1]MAPA DE COTAÇÕES'!$D$12:$D$1058,'[1]MAPA DE COTAÇÕES'!$A$12:$A$1058,"")</f>
        <v/>
      </c>
    </row>
    <row r="1559" spans="1:21" ht="15" x14ac:dyDescent="0.25">
      <c r="A1559" s="90" t="s">
        <v>4100</v>
      </c>
      <c r="B1559" s="90" t="s">
        <v>3290</v>
      </c>
      <c r="C1559" s="98" t="s">
        <v>4101</v>
      </c>
      <c r="D1559" s="92" t="s">
        <v>4102</v>
      </c>
      <c r="E1559" s="90" t="s">
        <v>16</v>
      </c>
      <c r="F1559" s="99">
        <v>1</v>
      </c>
      <c r="G1559" s="94">
        <v>1607.42</v>
      </c>
      <c r="H1559" s="94">
        <v>117.12</v>
      </c>
      <c r="I1559" s="95">
        <v>1724.54</v>
      </c>
      <c r="J1559" s="95">
        <v>1607.42</v>
      </c>
      <c r="K1559" s="95">
        <v>117.12</v>
      </c>
      <c r="L1559" s="95">
        <v>1724.54</v>
      </c>
      <c r="M1559" s="96">
        <v>0.27529999999999999</v>
      </c>
      <c r="N1559" s="95">
        <v>2049.94</v>
      </c>
      <c r="O1559" s="95">
        <v>149.36000000000001</v>
      </c>
      <c r="P1559" s="95">
        <v>2199.3000000000002</v>
      </c>
      <c r="Q1559" s="95">
        <v>2049.94</v>
      </c>
      <c r="R1559" s="95">
        <v>149.36000000000001</v>
      </c>
      <c r="S1559" s="95">
        <v>2199.3000000000002</v>
      </c>
      <c r="U1559" s="106" t="str">
        <f>_xlfn.XLOOKUP(I1559,'[1]MAPA DE COTAÇÕES'!$D$12:$D$1058,'[1]MAPA DE COTAÇÕES'!$A$12:$A$1058,"")</f>
        <v/>
      </c>
    </row>
    <row r="1560" spans="1:21" ht="15" x14ac:dyDescent="0.25">
      <c r="A1560" s="90" t="s">
        <v>4103</v>
      </c>
      <c r="B1560" s="90" t="s">
        <v>3290</v>
      </c>
      <c r="C1560" s="98" t="s">
        <v>4104</v>
      </c>
      <c r="D1560" s="92" t="s">
        <v>4105</v>
      </c>
      <c r="E1560" s="90" t="s">
        <v>16</v>
      </c>
      <c r="F1560" s="99">
        <v>2</v>
      </c>
      <c r="G1560" s="94">
        <v>1832.32</v>
      </c>
      <c r="H1560" s="94">
        <v>117.12</v>
      </c>
      <c r="I1560" s="95">
        <v>1949.44</v>
      </c>
      <c r="J1560" s="95">
        <v>3664.64</v>
      </c>
      <c r="K1560" s="95">
        <v>234.24</v>
      </c>
      <c r="L1560" s="95">
        <v>3898.88</v>
      </c>
      <c r="M1560" s="96">
        <v>0.27529999999999999</v>
      </c>
      <c r="N1560" s="95">
        <v>2336.7600000000002</v>
      </c>
      <c r="O1560" s="95">
        <v>149.36000000000001</v>
      </c>
      <c r="P1560" s="95">
        <v>2486.1200000000003</v>
      </c>
      <c r="Q1560" s="95">
        <v>4673.5200000000004</v>
      </c>
      <c r="R1560" s="95">
        <v>298.72000000000003</v>
      </c>
      <c r="S1560" s="95">
        <v>4972.2400000000007</v>
      </c>
      <c r="U1560" s="106" t="str">
        <f>_xlfn.XLOOKUP(I1560,'[1]MAPA DE COTAÇÕES'!$D$12:$D$1058,'[1]MAPA DE COTAÇÕES'!$A$12:$A$1058,"")</f>
        <v/>
      </c>
    </row>
    <row r="1561" spans="1:21" ht="15" x14ac:dyDescent="0.25">
      <c r="A1561" s="90" t="s">
        <v>4106</v>
      </c>
      <c r="B1561" s="90" t="s">
        <v>3290</v>
      </c>
      <c r="C1561" s="98" t="s">
        <v>4107</v>
      </c>
      <c r="D1561" s="92" t="s">
        <v>4108</v>
      </c>
      <c r="E1561" s="90" t="s">
        <v>16</v>
      </c>
      <c r="F1561" s="99">
        <v>1</v>
      </c>
      <c r="G1561" s="94">
        <v>1960.83</v>
      </c>
      <c r="H1561" s="94">
        <v>117.12</v>
      </c>
      <c r="I1561" s="95">
        <v>2077.9499999999998</v>
      </c>
      <c r="J1561" s="95">
        <v>1960.83</v>
      </c>
      <c r="K1561" s="95">
        <v>117.12</v>
      </c>
      <c r="L1561" s="95">
        <v>2077.9499999999998</v>
      </c>
      <c r="M1561" s="96">
        <v>0.27529999999999999</v>
      </c>
      <c r="N1561" s="95">
        <v>2500.65</v>
      </c>
      <c r="O1561" s="95">
        <v>149.36000000000001</v>
      </c>
      <c r="P1561" s="95">
        <v>2650.01</v>
      </c>
      <c r="Q1561" s="95">
        <v>2500.65</v>
      </c>
      <c r="R1561" s="95">
        <v>149.36000000000001</v>
      </c>
      <c r="S1561" s="95">
        <v>2650.01</v>
      </c>
      <c r="U1561" s="106" t="str">
        <f>_xlfn.XLOOKUP(I1561,'[1]MAPA DE COTAÇÕES'!$D$12:$D$1058,'[1]MAPA DE COTAÇÕES'!$A$12:$A$1058,"")</f>
        <v/>
      </c>
    </row>
    <row r="1562" spans="1:21" ht="15" x14ac:dyDescent="0.25">
      <c r="A1562" s="90" t="s">
        <v>4109</v>
      </c>
      <c r="B1562" s="90" t="s">
        <v>3290</v>
      </c>
      <c r="C1562" s="98" t="s">
        <v>4110</v>
      </c>
      <c r="D1562" s="92" t="s">
        <v>4111</v>
      </c>
      <c r="E1562" s="90" t="s">
        <v>16</v>
      </c>
      <c r="F1562" s="99">
        <v>1</v>
      </c>
      <c r="G1562" s="94">
        <v>2089.35</v>
      </c>
      <c r="H1562" s="94">
        <v>117.12</v>
      </c>
      <c r="I1562" s="95">
        <v>2206.4699999999998</v>
      </c>
      <c r="J1562" s="95">
        <v>2089.35</v>
      </c>
      <c r="K1562" s="95">
        <v>117.12</v>
      </c>
      <c r="L1562" s="95">
        <v>2206.4699999999998</v>
      </c>
      <c r="M1562" s="96">
        <v>0.27529999999999999</v>
      </c>
      <c r="N1562" s="95">
        <v>2664.55</v>
      </c>
      <c r="O1562" s="95">
        <v>149.36000000000001</v>
      </c>
      <c r="P1562" s="95">
        <v>2813.9100000000003</v>
      </c>
      <c r="Q1562" s="95">
        <v>2664.55</v>
      </c>
      <c r="R1562" s="95">
        <v>149.36000000000001</v>
      </c>
      <c r="S1562" s="95">
        <v>2813.9100000000003</v>
      </c>
      <c r="U1562" s="106" t="str">
        <f>_xlfn.XLOOKUP(I1562,'[1]MAPA DE COTAÇÕES'!$D$12:$D$1058,'[1]MAPA DE COTAÇÕES'!$A$12:$A$1058,"")</f>
        <v/>
      </c>
    </row>
    <row r="1563" spans="1:21" ht="15" x14ac:dyDescent="0.25">
      <c r="A1563" s="90" t="s">
        <v>4112</v>
      </c>
      <c r="B1563" s="90" t="s">
        <v>3290</v>
      </c>
      <c r="C1563" s="98" t="s">
        <v>4113</v>
      </c>
      <c r="D1563" s="92" t="s">
        <v>4114</v>
      </c>
      <c r="E1563" s="90" t="s">
        <v>16</v>
      </c>
      <c r="F1563" s="99">
        <v>2</v>
      </c>
      <c r="G1563" s="94">
        <v>2346.37</v>
      </c>
      <c r="H1563" s="94">
        <v>117.12</v>
      </c>
      <c r="I1563" s="95">
        <v>2463.4899999999998</v>
      </c>
      <c r="J1563" s="95">
        <v>4692.74</v>
      </c>
      <c r="K1563" s="95">
        <v>234.24</v>
      </c>
      <c r="L1563" s="95">
        <v>4926.9799999999996</v>
      </c>
      <c r="M1563" s="96">
        <v>0.27529999999999999</v>
      </c>
      <c r="N1563" s="95">
        <v>2992.33</v>
      </c>
      <c r="O1563" s="95">
        <v>149.36000000000001</v>
      </c>
      <c r="P1563" s="95">
        <v>3141.69</v>
      </c>
      <c r="Q1563" s="95">
        <v>5984.66</v>
      </c>
      <c r="R1563" s="95">
        <v>298.72000000000003</v>
      </c>
      <c r="S1563" s="95">
        <v>6283.38</v>
      </c>
      <c r="U1563" s="106" t="str">
        <f>_xlfn.XLOOKUP(I1563,'[1]MAPA DE COTAÇÕES'!$D$12:$D$1058,'[1]MAPA DE COTAÇÕES'!$A$12:$A$1058,"")</f>
        <v/>
      </c>
    </row>
    <row r="1564" spans="1:21" ht="15" x14ac:dyDescent="0.25">
      <c r="A1564" s="90" t="s">
        <v>4115</v>
      </c>
      <c r="B1564" s="90" t="s">
        <v>3290</v>
      </c>
      <c r="C1564" s="98" t="s">
        <v>4116</v>
      </c>
      <c r="D1564" s="92" t="s">
        <v>4117</v>
      </c>
      <c r="E1564" s="90" t="s">
        <v>16</v>
      </c>
      <c r="F1564" s="99">
        <v>1</v>
      </c>
      <c r="G1564" s="94">
        <v>2603.4</v>
      </c>
      <c r="H1564" s="94">
        <v>117.12</v>
      </c>
      <c r="I1564" s="95">
        <v>2720.52</v>
      </c>
      <c r="J1564" s="95">
        <v>2603.4</v>
      </c>
      <c r="K1564" s="95">
        <v>117.12</v>
      </c>
      <c r="L1564" s="95">
        <v>2720.52</v>
      </c>
      <c r="M1564" s="96">
        <v>0.27529999999999999</v>
      </c>
      <c r="N1564" s="95">
        <v>3320.12</v>
      </c>
      <c r="O1564" s="95">
        <v>149.36000000000001</v>
      </c>
      <c r="P1564" s="95">
        <v>3469.48</v>
      </c>
      <c r="Q1564" s="95">
        <v>3320.12</v>
      </c>
      <c r="R1564" s="95">
        <v>149.36000000000001</v>
      </c>
      <c r="S1564" s="95">
        <v>3469.48</v>
      </c>
      <c r="U1564" s="106" t="str">
        <f>_xlfn.XLOOKUP(I1564,'[1]MAPA DE COTAÇÕES'!$D$12:$D$1058,'[1]MAPA DE COTAÇÕES'!$A$12:$A$1058,"")</f>
        <v/>
      </c>
    </row>
    <row r="1565" spans="1:21" ht="15" x14ac:dyDescent="0.25">
      <c r="A1565" s="90" t="s">
        <v>4118</v>
      </c>
      <c r="B1565" s="90" t="s">
        <v>3290</v>
      </c>
      <c r="C1565" s="98" t="s">
        <v>4119</v>
      </c>
      <c r="D1565" s="92" t="s">
        <v>4120</v>
      </c>
      <c r="E1565" s="90" t="s">
        <v>16</v>
      </c>
      <c r="F1565" s="99">
        <v>1</v>
      </c>
      <c r="G1565" s="94">
        <v>2988.94</v>
      </c>
      <c r="H1565" s="94">
        <v>117.12</v>
      </c>
      <c r="I1565" s="95">
        <v>3106.06</v>
      </c>
      <c r="J1565" s="95">
        <v>2988.94</v>
      </c>
      <c r="K1565" s="95">
        <v>117.12</v>
      </c>
      <c r="L1565" s="95">
        <v>3106.06</v>
      </c>
      <c r="M1565" s="96">
        <v>0.27529999999999999</v>
      </c>
      <c r="N1565" s="95">
        <v>3811.8</v>
      </c>
      <c r="O1565" s="95">
        <v>149.36000000000001</v>
      </c>
      <c r="P1565" s="95">
        <v>3961.1600000000003</v>
      </c>
      <c r="Q1565" s="95">
        <v>3811.8</v>
      </c>
      <c r="R1565" s="95">
        <v>149.36000000000001</v>
      </c>
      <c r="S1565" s="95">
        <v>3961.1600000000003</v>
      </c>
      <c r="U1565" s="106" t="str">
        <f>_xlfn.XLOOKUP(I1565,'[1]MAPA DE COTAÇÕES'!$D$12:$D$1058,'[1]MAPA DE COTAÇÕES'!$A$12:$A$1058,"")</f>
        <v/>
      </c>
    </row>
    <row r="1566" spans="1:21" ht="15" x14ac:dyDescent="0.25">
      <c r="A1566" s="90" t="s">
        <v>4121</v>
      </c>
      <c r="B1566" s="90" t="s">
        <v>3290</v>
      </c>
      <c r="C1566" s="98" t="s">
        <v>4122</v>
      </c>
      <c r="D1566" s="92" t="s">
        <v>4123</v>
      </c>
      <c r="E1566" s="90" t="s">
        <v>16</v>
      </c>
      <c r="F1566" s="99">
        <v>1</v>
      </c>
      <c r="G1566" s="94">
        <v>3245.97</v>
      </c>
      <c r="H1566" s="94">
        <v>117.12</v>
      </c>
      <c r="I1566" s="95">
        <v>3363.0899999999997</v>
      </c>
      <c r="J1566" s="95">
        <v>3245.97</v>
      </c>
      <c r="K1566" s="95">
        <v>117.12</v>
      </c>
      <c r="L1566" s="95">
        <v>3363.0899999999997</v>
      </c>
      <c r="M1566" s="96">
        <v>0.27529999999999999</v>
      </c>
      <c r="N1566" s="95">
        <v>4139.59</v>
      </c>
      <c r="O1566" s="95">
        <v>149.36000000000001</v>
      </c>
      <c r="P1566" s="95">
        <v>4288.95</v>
      </c>
      <c r="Q1566" s="95">
        <v>4139.59</v>
      </c>
      <c r="R1566" s="95">
        <v>149.36000000000001</v>
      </c>
      <c r="S1566" s="95">
        <v>4288.95</v>
      </c>
      <c r="U1566" s="106" t="str">
        <f>_xlfn.XLOOKUP(I1566,'[1]MAPA DE COTAÇÕES'!$D$12:$D$1058,'[1]MAPA DE COTAÇÕES'!$A$12:$A$1058,"")</f>
        <v/>
      </c>
    </row>
    <row r="1567" spans="1:21" ht="15" x14ac:dyDescent="0.25">
      <c r="A1567" s="90" t="s">
        <v>4124</v>
      </c>
      <c r="B1567" s="90" t="s">
        <v>3290</v>
      </c>
      <c r="C1567" s="98" t="s">
        <v>4125</v>
      </c>
      <c r="D1567" s="92" t="s">
        <v>4126</v>
      </c>
      <c r="E1567" s="90" t="s">
        <v>16</v>
      </c>
      <c r="F1567" s="99">
        <v>1</v>
      </c>
      <c r="G1567" s="94">
        <v>3888.53</v>
      </c>
      <c r="H1567" s="94">
        <v>117.12</v>
      </c>
      <c r="I1567" s="95">
        <v>4005.65</v>
      </c>
      <c r="J1567" s="95">
        <v>3888.53</v>
      </c>
      <c r="K1567" s="95">
        <v>117.12</v>
      </c>
      <c r="L1567" s="95">
        <v>4005.65</v>
      </c>
      <c r="M1567" s="96">
        <v>0.27529999999999999</v>
      </c>
      <c r="N1567" s="95">
        <v>4959.04</v>
      </c>
      <c r="O1567" s="95">
        <v>149.36000000000001</v>
      </c>
      <c r="P1567" s="95">
        <v>5108.3999999999996</v>
      </c>
      <c r="Q1567" s="95">
        <v>4959.04</v>
      </c>
      <c r="R1567" s="95">
        <v>149.36000000000001</v>
      </c>
      <c r="S1567" s="95">
        <v>5108.3999999999996</v>
      </c>
      <c r="U1567" s="106" t="str">
        <f>_xlfn.XLOOKUP(I1567,'[1]MAPA DE COTAÇÕES'!$D$12:$D$1058,'[1]MAPA DE COTAÇÕES'!$A$12:$A$1058,"")</f>
        <v/>
      </c>
    </row>
    <row r="1568" spans="1:21" ht="15" x14ac:dyDescent="0.25">
      <c r="A1568" s="90" t="s">
        <v>4127</v>
      </c>
      <c r="B1568" s="90" t="s">
        <v>3290</v>
      </c>
      <c r="C1568" s="98" t="s">
        <v>4128</v>
      </c>
      <c r="D1568" s="92" t="s">
        <v>4129</v>
      </c>
      <c r="E1568" s="90" t="s">
        <v>93</v>
      </c>
      <c r="F1568" s="99">
        <v>200</v>
      </c>
      <c r="G1568" s="94">
        <v>53.2</v>
      </c>
      <c r="H1568" s="94">
        <v>28.94</v>
      </c>
      <c r="I1568" s="95">
        <v>82.14</v>
      </c>
      <c r="J1568" s="95">
        <v>10640</v>
      </c>
      <c r="K1568" s="95">
        <v>5788</v>
      </c>
      <c r="L1568" s="95">
        <v>16428</v>
      </c>
      <c r="M1568" s="96">
        <v>0.27529999999999999</v>
      </c>
      <c r="N1568" s="95">
        <v>67.849999999999994</v>
      </c>
      <c r="O1568" s="95">
        <v>36.909999999999997</v>
      </c>
      <c r="P1568" s="95">
        <v>104.75999999999999</v>
      </c>
      <c r="Q1568" s="95">
        <v>13570</v>
      </c>
      <c r="R1568" s="95">
        <v>7382</v>
      </c>
      <c r="S1568" s="95">
        <v>20952</v>
      </c>
      <c r="U1568" s="106" t="str">
        <f>_xlfn.XLOOKUP(I1568,'[1]MAPA DE COTAÇÕES'!$D$12:$D$1058,'[1]MAPA DE COTAÇÕES'!$A$12:$A$1058,"")</f>
        <v/>
      </c>
    </row>
    <row r="1569" spans="1:21" ht="15" x14ac:dyDescent="0.25">
      <c r="A1569" s="90" t="s">
        <v>4130</v>
      </c>
      <c r="B1569" s="90"/>
      <c r="C1569" s="98"/>
      <c r="D1569" s="92" t="s">
        <v>4131</v>
      </c>
      <c r="E1569" s="90"/>
      <c r="F1569" s="99"/>
      <c r="G1569" s="94"/>
      <c r="H1569" s="94"/>
      <c r="I1569" s="95"/>
      <c r="J1569" s="95"/>
      <c r="K1569" s="95"/>
      <c r="L1569" s="95"/>
      <c r="M1569" s="96"/>
      <c r="N1569" s="95"/>
      <c r="O1569" s="95"/>
      <c r="P1569" s="95"/>
      <c r="Q1569" s="95"/>
      <c r="R1569" s="95"/>
      <c r="S1569" s="95"/>
      <c r="U1569" s="106">
        <f>_xlfn.XLOOKUP(I1569,'[1]MAPA DE COTAÇÕES'!$D$12:$D$1058,'[1]MAPA DE COTAÇÕES'!$A$12:$A$1058,"")</f>
        <v>0</v>
      </c>
    </row>
    <row r="1570" spans="1:21" ht="15" x14ac:dyDescent="0.25">
      <c r="A1570" s="90" t="s">
        <v>4132</v>
      </c>
      <c r="B1570" s="90" t="s">
        <v>184</v>
      </c>
      <c r="C1570" s="98">
        <v>9439</v>
      </c>
      <c r="D1570" s="92" t="s">
        <v>4133</v>
      </c>
      <c r="E1570" s="90" t="s">
        <v>249</v>
      </c>
      <c r="F1570" s="99">
        <v>30</v>
      </c>
      <c r="G1570" s="94">
        <v>1170.95</v>
      </c>
      <c r="H1570" s="94">
        <v>1390.1</v>
      </c>
      <c r="I1570" s="95">
        <v>2561.0500000000002</v>
      </c>
      <c r="J1570" s="95">
        <v>35128.5</v>
      </c>
      <c r="K1570" s="95">
        <v>41703</v>
      </c>
      <c r="L1570" s="95">
        <v>76831.5</v>
      </c>
      <c r="M1570" s="96">
        <v>0.27529999999999999</v>
      </c>
      <c r="N1570" s="95">
        <v>1493.31</v>
      </c>
      <c r="O1570" s="95">
        <v>1772.79</v>
      </c>
      <c r="P1570" s="95">
        <v>3266.1</v>
      </c>
      <c r="Q1570" s="95">
        <v>44799.3</v>
      </c>
      <c r="R1570" s="95">
        <v>53183.7</v>
      </c>
      <c r="S1570" s="95">
        <v>97983</v>
      </c>
      <c r="U1570" s="106" t="str">
        <f>_xlfn.XLOOKUP(I1570,'[1]MAPA DE COTAÇÕES'!$D$12:$D$1058,'[1]MAPA DE COTAÇÕES'!$A$12:$A$1058,"")</f>
        <v/>
      </c>
    </row>
    <row r="1571" spans="1:21" ht="15" x14ac:dyDescent="0.25">
      <c r="A1571" s="90" t="s">
        <v>4134</v>
      </c>
      <c r="B1571" s="90" t="s">
        <v>184</v>
      </c>
      <c r="C1571" s="98">
        <v>9438</v>
      </c>
      <c r="D1571" s="92" t="s">
        <v>4135</v>
      </c>
      <c r="E1571" s="90" t="s">
        <v>249</v>
      </c>
      <c r="F1571" s="99">
        <v>90</v>
      </c>
      <c r="G1571" s="94">
        <v>695.37</v>
      </c>
      <c r="H1571" s="94">
        <v>163.86</v>
      </c>
      <c r="I1571" s="95">
        <v>859.23</v>
      </c>
      <c r="J1571" s="95">
        <v>62583.3</v>
      </c>
      <c r="K1571" s="95">
        <v>14747.4</v>
      </c>
      <c r="L1571" s="95">
        <v>77330.7</v>
      </c>
      <c r="M1571" s="96">
        <v>0.27529999999999999</v>
      </c>
      <c r="N1571" s="95">
        <v>886.81</v>
      </c>
      <c r="O1571" s="95">
        <v>208.97</v>
      </c>
      <c r="P1571" s="95">
        <v>1095.78</v>
      </c>
      <c r="Q1571" s="95">
        <v>79812.899999999994</v>
      </c>
      <c r="R1571" s="95">
        <v>18807.3</v>
      </c>
      <c r="S1571" s="95">
        <v>98620.2</v>
      </c>
      <c r="U1571" s="106" t="str">
        <f>_xlfn.XLOOKUP(I1571,'[1]MAPA DE COTAÇÕES'!$D$12:$D$1058,'[1]MAPA DE COTAÇÕES'!$A$12:$A$1058,"")</f>
        <v/>
      </c>
    </row>
    <row r="1572" spans="1:21" ht="15" x14ac:dyDescent="0.25">
      <c r="A1572" s="90" t="s">
        <v>4136</v>
      </c>
      <c r="B1572" s="90" t="s">
        <v>3290</v>
      </c>
      <c r="C1572" s="98" t="s">
        <v>4137</v>
      </c>
      <c r="D1572" s="92" t="s">
        <v>4138</v>
      </c>
      <c r="E1572" s="90" t="s">
        <v>16</v>
      </c>
      <c r="F1572" s="99">
        <v>1</v>
      </c>
      <c r="G1572" s="94">
        <v>899.43</v>
      </c>
      <c r="H1572" s="94">
        <v>3056.98</v>
      </c>
      <c r="I1572" s="95">
        <v>3956.41</v>
      </c>
      <c r="J1572" s="95">
        <v>899.43</v>
      </c>
      <c r="K1572" s="95">
        <v>3056.98</v>
      </c>
      <c r="L1572" s="95">
        <v>3956.41</v>
      </c>
      <c r="M1572" s="96">
        <v>0.27529999999999999</v>
      </c>
      <c r="N1572" s="95">
        <v>1147.04</v>
      </c>
      <c r="O1572" s="95">
        <v>3898.57</v>
      </c>
      <c r="P1572" s="95">
        <v>5045.6100000000006</v>
      </c>
      <c r="Q1572" s="95">
        <v>1147.04</v>
      </c>
      <c r="R1572" s="95">
        <v>3898.57</v>
      </c>
      <c r="S1572" s="95">
        <v>5045.6100000000006</v>
      </c>
      <c r="U1572" s="106" t="str">
        <f>_xlfn.XLOOKUP(I1572,'[1]MAPA DE COTAÇÕES'!$D$12:$D$1058,'[1]MAPA DE COTAÇÕES'!$A$12:$A$1058,"")</f>
        <v/>
      </c>
    </row>
    <row r="1573" spans="1:21" ht="15" x14ac:dyDescent="0.25">
      <c r="A1573" s="90" t="s">
        <v>4139</v>
      </c>
      <c r="B1573" s="90" t="s">
        <v>3290</v>
      </c>
      <c r="C1573" s="98" t="s">
        <v>4140</v>
      </c>
      <c r="D1573" s="92" t="s">
        <v>4141</v>
      </c>
      <c r="E1573" s="90" t="s">
        <v>16</v>
      </c>
      <c r="F1573" s="99">
        <v>3</v>
      </c>
      <c r="G1573" s="94">
        <v>981.86</v>
      </c>
      <c r="H1573" s="94">
        <v>3952.46</v>
      </c>
      <c r="I1573" s="95">
        <v>4934.32</v>
      </c>
      <c r="J1573" s="95">
        <v>2945.58</v>
      </c>
      <c r="K1573" s="95">
        <v>11857.38</v>
      </c>
      <c r="L1573" s="95">
        <v>14802.96</v>
      </c>
      <c r="M1573" s="96">
        <v>0.27529999999999999</v>
      </c>
      <c r="N1573" s="95">
        <v>1252.17</v>
      </c>
      <c r="O1573" s="95">
        <v>5040.57</v>
      </c>
      <c r="P1573" s="95">
        <v>6292.74</v>
      </c>
      <c r="Q1573" s="95">
        <v>3756.51</v>
      </c>
      <c r="R1573" s="95">
        <v>15121.71</v>
      </c>
      <c r="S1573" s="95">
        <v>18878.22</v>
      </c>
      <c r="U1573" s="106" t="str">
        <f>_xlfn.XLOOKUP(I1573,'[1]MAPA DE COTAÇÕES'!$D$12:$D$1058,'[1]MAPA DE COTAÇÕES'!$A$12:$A$1058,"")</f>
        <v/>
      </c>
    </row>
    <row r="1574" spans="1:21" ht="15" x14ac:dyDescent="0.25">
      <c r="A1574" s="90" t="s">
        <v>4142</v>
      </c>
      <c r="B1574" s="90" t="s">
        <v>3290</v>
      </c>
      <c r="C1574" s="98" t="s">
        <v>4143</v>
      </c>
      <c r="D1574" s="92" t="s">
        <v>4144</v>
      </c>
      <c r="E1574" s="90" t="s">
        <v>16</v>
      </c>
      <c r="F1574" s="99">
        <v>2</v>
      </c>
      <c r="G1574" s="94">
        <v>2680.99</v>
      </c>
      <c r="H1574" s="94">
        <v>1550.64</v>
      </c>
      <c r="I1574" s="95">
        <v>4231.63</v>
      </c>
      <c r="J1574" s="95">
        <v>5361.98</v>
      </c>
      <c r="K1574" s="95">
        <v>3101.28</v>
      </c>
      <c r="L1574" s="95">
        <v>8463.26</v>
      </c>
      <c r="M1574" s="96">
        <v>0.27529999999999999</v>
      </c>
      <c r="N1574" s="95">
        <v>3419.07</v>
      </c>
      <c r="O1574" s="95">
        <v>1977.53</v>
      </c>
      <c r="P1574" s="95">
        <v>5396.6</v>
      </c>
      <c r="Q1574" s="95">
        <v>6838.14</v>
      </c>
      <c r="R1574" s="95">
        <v>3955.06</v>
      </c>
      <c r="S1574" s="95">
        <v>10793.2</v>
      </c>
      <c r="U1574" s="106" t="str">
        <f>_xlfn.XLOOKUP(I1574,'[1]MAPA DE COTAÇÕES'!$D$12:$D$1058,'[1]MAPA DE COTAÇÕES'!$A$12:$A$1058,"")</f>
        <v/>
      </c>
    </row>
    <row r="1575" spans="1:21" ht="15" x14ac:dyDescent="0.25">
      <c r="A1575" s="90" t="s">
        <v>4145</v>
      </c>
      <c r="B1575" s="109" t="s">
        <v>3489</v>
      </c>
      <c r="C1575" s="110" t="s">
        <v>4146</v>
      </c>
      <c r="D1575" s="92" t="s">
        <v>4147</v>
      </c>
      <c r="E1575" s="90" t="s">
        <v>16</v>
      </c>
      <c r="F1575" s="99">
        <v>2</v>
      </c>
      <c r="G1575" s="94">
        <v>1249.53</v>
      </c>
      <c r="H1575" s="94">
        <v>11.98</v>
      </c>
      <c r="I1575" s="95">
        <v>1261.51</v>
      </c>
      <c r="J1575" s="95">
        <v>2499.06</v>
      </c>
      <c r="K1575" s="95">
        <v>23.96</v>
      </c>
      <c r="L1575" s="95">
        <v>2523.02</v>
      </c>
      <c r="M1575" s="96">
        <v>0.27529999999999999</v>
      </c>
      <c r="N1575" s="95">
        <v>1593.53</v>
      </c>
      <c r="O1575" s="95">
        <v>15.28</v>
      </c>
      <c r="P1575" s="95">
        <v>1608.81</v>
      </c>
      <c r="Q1575" s="95">
        <v>3187.06</v>
      </c>
      <c r="R1575" s="95">
        <v>30.56</v>
      </c>
      <c r="S1575" s="95">
        <v>3217.62</v>
      </c>
      <c r="U1575" s="106" t="str">
        <f>_xlfn.XLOOKUP(I1575,'[1]MAPA DE COTAÇÕES'!$D$12:$D$1058,'[1]MAPA DE COTAÇÕES'!$A$12:$A$1058,"")</f>
        <v/>
      </c>
    </row>
    <row r="1576" spans="1:21" ht="15" x14ac:dyDescent="0.25">
      <c r="A1576" s="90" t="s">
        <v>4148</v>
      </c>
      <c r="B1576" s="90" t="s">
        <v>3290</v>
      </c>
      <c r="C1576" s="98" t="s">
        <v>4149</v>
      </c>
      <c r="D1576" s="92" t="s">
        <v>4150</v>
      </c>
      <c r="E1576" s="90" t="s">
        <v>16</v>
      </c>
      <c r="F1576" s="99">
        <v>3</v>
      </c>
      <c r="G1576" s="94">
        <v>7775.4</v>
      </c>
      <c r="H1576" s="94">
        <v>647.70000000000005</v>
      </c>
      <c r="I1576" s="95">
        <v>8423.1</v>
      </c>
      <c r="J1576" s="95">
        <v>23326.2</v>
      </c>
      <c r="K1576" s="95">
        <v>1943.1</v>
      </c>
      <c r="L1576" s="95">
        <v>25269.3</v>
      </c>
      <c r="M1576" s="96">
        <v>0.27529999999999999</v>
      </c>
      <c r="N1576" s="95">
        <v>9915.9699999999993</v>
      </c>
      <c r="O1576" s="95">
        <v>826.01</v>
      </c>
      <c r="P1576" s="95">
        <v>10741.98</v>
      </c>
      <c r="Q1576" s="95">
        <v>29747.91</v>
      </c>
      <c r="R1576" s="95">
        <v>2478.0300000000002</v>
      </c>
      <c r="S1576" s="95">
        <v>32225.94</v>
      </c>
      <c r="U1576" s="106" t="str">
        <f>_xlfn.XLOOKUP(I1576,'[1]MAPA DE COTAÇÕES'!$D$12:$D$1058,'[1]MAPA DE COTAÇÕES'!$A$12:$A$1058,"")</f>
        <v/>
      </c>
    </row>
    <row r="1577" spans="1:21" ht="15" x14ac:dyDescent="0.25">
      <c r="A1577" s="90" t="s">
        <v>4151</v>
      </c>
      <c r="B1577" s="90" t="s">
        <v>3290</v>
      </c>
      <c r="C1577" s="98" t="s">
        <v>4152</v>
      </c>
      <c r="D1577" s="92" t="s">
        <v>4153</v>
      </c>
      <c r="E1577" s="90" t="s">
        <v>16</v>
      </c>
      <c r="F1577" s="99">
        <v>1</v>
      </c>
      <c r="G1577" s="94">
        <v>16287.6</v>
      </c>
      <c r="H1577" s="94">
        <v>647.70000000000005</v>
      </c>
      <c r="I1577" s="95">
        <v>16935.3</v>
      </c>
      <c r="J1577" s="95">
        <v>16287.6</v>
      </c>
      <c r="K1577" s="95">
        <v>647.70000000000005</v>
      </c>
      <c r="L1577" s="95">
        <v>16935.3</v>
      </c>
      <c r="M1577" s="96">
        <v>0.27529999999999999</v>
      </c>
      <c r="N1577" s="95">
        <v>20771.580000000002</v>
      </c>
      <c r="O1577" s="95">
        <v>826.01</v>
      </c>
      <c r="P1577" s="95">
        <v>21597.59</v>
      </c>
      <c r="Q1577" s="95">
        <v>20771.580000000002</v>
      </c>
      <c r="R1577" s="95">
        <v>826.01</v>
      </c>
      <c r="S1577" s="95">
        <v>21597.59</v>
      </c>
      <c r="U1577" s="106" t="str">
        <f>_xlfn.XLOOKUP(I1577,'[1]MAPA DE COTAÇÕES'!$D$12:$D$1058,'[1]MAPA DE COTAÇÕES'!$A$12:$A$1058,"")</f>
        <v/>
      </c>
    </row>
    <row r="1578" spans="1:21" ht="15" x14ac:dyDescent="0.25">
      <c r="A1578" s="90" t="s">
        <v>4154</v>
      </c>
      <c r="B1578" s="90"/>
      <c r="C1578" s="98"/>
      <c r="D1578" s="92" t="s">
        <v>4155</v>
      </c>
      <c r="E1578" s="90"/>
      <c r="F1578" s="99"/>
      <c r="G1578" s="94"/>
      <c r="H1578" s="94"/>
      <c r="I1578" s="95"/>
      <c r="J1578" s="95"/>
      <c r="K1578" s="95"/>
      <c r="L1578" s="95"/>
      <c r="M1578" s="96"/>
      <c r="N1578" s="95"/>
      <c r="O1578" s="95"/>
      <c r="P1578" s="95"/>
      <c r="Q1578" s="95"/>
      <c r="R1578" s="95"/>
      <c r="S1578" s="95"/>
      <c r="U1578" s="106">
        <f>_xlfn.XLOOKUP(I1578,'[1]MAPA DE COTAÇÕES'!$D$12:$D$1058,'[1]MAPA DE COTAÇÕES'!$A$12:$A$1058,"")</f>
        <v>0</v>
      </c>
    </row>
    <row r="1579" spans="1:21" ht="15" x14ac:dyDescent="0.25">
      <c r="A1579" s="90" t="s">
        <v>4156</v>
      </c>
      <c r="B1579" s="90" t="s">
        <v>3290</v>
      </c>
      <c r="C1579" s="98" t="s">
        <v>4157</v>
      </c>
      <c r="D1579" s="92" t="s">
        <v>4158</v>
      </c>
      <c r="E1579" s="90" t="s">
        <v>4159</v>
      </c>
      <c r="F1579" s="99">
        <v>1500</v>
      </c>
      <c r="G1579" s="94">
        <v>25.39</v>
      </c>
      <c r="H1579" s="94">
        <v>152.74</v>
      </c>
      <c r="I1579" s="95">
        <v>178.13</v>
      </c>
      <c r="J1579" s="95">
        <v>38085</v>
      </c>
      <c r="K1579" s="95">
        <v>229110</v>
      </c>
      <c r="L1579" s="95">
        <v>267195</v>
      </c>
      <c r="M1579" s="96">
        <v>0.27529999999999999</v>
      </c>
      <c r="N1579" s="95">
        <v>32.380000000000003</v>
      </c>
      <c r="O1579" s="95">
        <v>194.79</v>
      </c>
      <c r="P1579" s="95">
        <v>227.17</v>
      </c>
      <c r="Q1579" s="95">
        <v>48570</v>
      </c>
      <c r="R1579" s="95">
        <v>292185</v>
      </c>
      <c r="S1579" s="95">
        <v>340755</v>
      </c>
      <c r="U1579" s="106" t="str">
        <f>_xlfn.XLOOKUP(I1579,'[1]MAPA DE COTAÇÕES'!$D$12:$D$1058,'[1]MAPA DE COTAÇÕES'!$A$12:$A$1058,"")</f>
        <v/>
      </c>
    </row>
    <row r="1580" spans="1:21" s="89" customFormat="1" x14ac:dyDescent="0.25">
      <c r="A1580" s="82">
        <v>29</v>
      </c>
      <c r="B1580" s="82"/>
      <c r="C1580" s="83" t="s">
        <v>4160</v>
      </c>
      <c r="D1580" s="84"/>
      <c r="E1580" s="85"/>
      <c r="F1580" s="101"/>
      <c r="G1580" s="87"/>
      <c r="H1580" s="87"/>
      <c r="I1580" s="88"/>
      <c r="J1580" s="87">
        <v>110909.62</v>
      </c>
      <c r="K1580" s="87">
        <v>344656.85000000003</v>
      </c>
      <c r="L1580" s="87">
        <v>455566.47</v>
      </c>
      <c r="M1580" s="87"/>
      <c r="N1580" s="87"/>
      <c r="O1580" s="87"/>
      <c r="P1580" s="87"/>
      <c r="Q1580" s="87">
        <v>141559.56</v>
      </c>
      <c r="R1580" s="87">
        <v>775358.08</v>
      </c>
      <c r="S1580" s="87">
        <v>916917.6399999999</v>
      </c>
      <c r="U1580" s="106">
        <f>_xlfn.XLOOKUP(I1580,'[1]MAPA DE COTAÇÕES'!$D$12:$D$1058,'[1]MAPA DE COTAÇÕES'!$A$12:$A$1058,"")</f>
        <v>0</v>
      </c>
    </row>
    <row r="1581" spans="1:21" ht="25.5" x14ac:dyDescent="0.25">
      <c r="A1581" s="90" t="s">
        <v>4161</v>
      </c>
      <c r="B1581" s="90" t="s">
        <v>31</v>
      </c>
      <c r="C1581" s="98" t="s">
        <v>4162</v>
      </c>
      <c r="D1581" s="92" t="s">
        <v>4163</v>
      </c>
      <c r="E1581" s="90" t="s">
        <v>78</v>
      </c>
      <c r="F1581" s="99">
        <v>400</v>
      </c>
      <c r="G1581" s="94">
        <v>7.95</v>
      </c>
      <c r="H1581" s="94">
        <v>2.0099999999999998</v>
      </c>
      <c r="I1581" s="95">
        <v>9.9600000000000009</v>
      </c>
      <c r="J1581" s="95">
        <v>3180</v>
      </c>
      <c r="K1581" s="95">
        <v>804</v>
      </c>
      <c r="L1581" s="95">
        <v>3984</v>
      </c>
      <c r="M1581" s="96">
        <v>0.27529999999999999</v>
      </c>
      <c r="N1581" s="95">
        <v>10.14</v>
      </c>
      <c r="O1581" s="95">
        <v>2.56</v>
      </c>
      <c r="P1581" s="95">
        <v>12.700000000000001</v>
      </c>
      <c r="Q1581" s="95">
        <v>4056</v>
      </c>
      <c r="R1581" s="95">
        <v>1024</v>
      </c>
      <c r="S1581" s="95">
        <v>5080</v>
      </c>
      <c r="U1581" s="106" t="str">
        <f>_xlfn.XLOOKUP(I1581,'[1]MAPA DE COTAÇÕES'!$D$12:$D$1058,'[1]MAPA DE COTAÇÕES'!$A$12:$A$1058,"")</f>
        <v/>
      </c>
    </row>
    <row r="1582" spans="1:21" ht="15" x14ac:dyDescent="0.25">
      <c r="A1582" s="90" t="s">
        <v>4164</v>
      </c>
      <c r="B1582" s="90" t="s">
        <v>31</v>
      </c>
      <c r="C1582" s="98" t="s">
        <v>4165</v>
      </c>
      <c r="D1582" s="92" t="s">
        <v>4166</v>
      </c>
      <c r="E1582" s="90" t="s">
        <v>4167</v>
      </c>
      <c r="F1582" s="99">
        <v>8111.63</v>
      </c>
      <c r="G1582" s="94">
        <v>2.57</v>
      </c>
      <c r="H1582" s="94">
        <v>0.56999999999999995</v>
      </c>
      <c r="I1582" s="95">
        <v>3.1399999999999997</v>
      </c>
      <c r="J1582" s="95">
        <v>20846.88</v>
      </c>
      <c r="K1582" s="95">
        <v>4273.119999999999</v>
      </c>
      <c r="L1582" s="95">
        <v>25120</v>
      </c>
      <c r="M1582" s="96">
        <v>0.27529999999999999</v>
      </c>
      <c r="N1582" s="95">
        <v>3.28</v>
      </c>
      <c r="O1582" s="95">
        <v>0.73</v>
      </c>
      <c r="P1582" s="95">
        <v>4.01</v>
      </c>
      <c r="Q1582" s="95">
        <v>26606.15</v>
      </c>
      <c r="R1582" s="95">
        <v>5921.49</v>
      </c>
      <c r="S1582" s="95">
        <v>32527.64</v>
      </c>
      <c r="U1582" s="106" t="str">
        <f>_xlfn.XLOOKUP(I1582,'[1]MAPA DE COTAÇÕES'!$D$12:$D$1058,'[1]MAPA DE COTAÇÕES'!$A$12:$A$1058,"")</f>
        <v/>
      </c>
    </row>
    <row r="1583" spans="1:21" ht="15" x14ac:dyDescent="0.25">
      <c r="A1583" s="90" t="s">
        <v>4168</v>
      </c>
      <c r="B1583" s="90" t="s">
        <v>31</v>
      </c>
      <c r="C1583" s="98" t="s">
        <v>80</v>
      </c>
      <c r="D1583" s="92" t="s">
        <v>4169</v>
      </c>
      <c r="E1583" s="90" t="s">
        <v>34</v>
      </c>
      <c r="F1583" s="99">
        <v>1496</v>
      </c>
      <c r="G1583" s="94">
        <v>5.78</v>
      </c>
      <c r="H1583" s="94">
        <v>14.31</v>
      </c>
      <c r="I1583" s="95">
        <v>20.09</v>
      </c>
      <c r="J1583" s="95">
        <v>8646.8799999999992</v>
      </c>
      <c r="K1583" s="95">
        <v>21407.760000000002</v>
      </c>
      <c r="L1583" s="95">
        <v>30054.639999999999</v>
      </c>
      <c r="M1583" s="96">
        <v>0.27529999999999999</v>
      </c>
      <c r="N1583" s="95">
        <v>7.37</v>
      </c>
      <c r="O1583" s="95">
        <v>18.25</v>
      </c>
      <c r="P1583" s="95">
        <v>25.62</v>
      </c>
      <c r="Q1583" s="95">
        <v>11025.52</v>
      </c>
      <c r="R1583" s="95">
        <v>27302</v>
      </c>
      <c r="S1583" s="95">
        <v>38327.520000000004</v>
      </c>
      <c r="U1583" s="106" t="str">
        <f>_xlfn.XLOOKUP(I1583,'[1]MAPA DE COTAÇÕES'!$D$12:$D$1058,'[1]MAPA DE COTAÇÕES'!$A$12:$A$1058,"")</f>
        <v/>
      </c>
    </row>
    <row r="1584" spans="1:21" ht="15" x14ac:dyDescent="0.25">
      <c r="A1584" s="90" t="s">
        <v>4170</v>
      </c>
      <c r="B1584" s="90" t="s">
        <v>95</v>
      </c>
      <c r="C1584" s="98" t="s">
        <v>4171</v>
      </c>
      <c r="D1584" s="92" t="s">
        <v>4172</v>
      </c>
      <c r="E1584" s="90" t="s">
        <v>98</v>
      </c>
      <c r="F1584" s="99">
        <v>1</v>
      </c>
      <c r="G1584" s="94">
        <v>6143.49</v>
      </c>
      <c r="H1584" s="94">
        <v>102004.61</v>
      </c>
      <c r="I1584" s="95">
        <v>108148.1</v>
      </c>
      <c r="J1584" s="95">
        <v>6143.49</v>
      </c>
      <c r="K1584" s="95">
        <v>102004.61</v>
      </c>
      <c r="L1584" s="95">
        <v>108148.1</v>
      </c>
      <c r="M1584" s="96">
        <v>0.27529999999999999</v>
      </c>
      <c r="N1584" s="95">
        <v>7834.79</v>
      </c>
      <c r="O1584" s="95">
        <v>130086.48</v>
      </c>
      <c r="P1584" s="95">
        <v>137921.26999999999</v>
      </c>
      <c r="Q1584" s="95">
        <v>7834.79</v>
      </c>
      <c r="R1584" s="95">
        <v>130086.48</v>
      </c>
      <c r="S1584" s="95">
        <v>137921.26999999999</v>
      </c>
      <c r="U1584" s="106" t="str">
        <f>_xlfn.XLOOKUP(I1584,'[1]MAPA DE COTAÇÕES'!$D$12:$D$1058,'[1]MAPA DE COTAÇÕES'!$A$12:$A$1058,"")</f>
        <v/>
      </c>
    </row>
    <row r="1585" spans="1:21" ht="15" x14ac:dyDescent="0.25">
      <c r="A1585" s="90" t="s">
        <v>4173</v>
      </c>
      <c r="B1585" s="90" t="s">
        <v>95</v>
      </c>
      <c r="C1585" s="98" t="s">
        <v>4174</v>
      </c>
      <c r="D1585" s="92" t="s">
        <v>4175</v>
      </c>
      <c r="E1585" s="90" t="s">
        <v>98</v>
      </c>
      <c r="F1585" s="99">
        <v>1</v>
      </c>
      <c r="G1585" s="94">
        <v>0</v>
      </c>
      <c r="H1585" s="94">
        <v>405059.6</v>
      </c>
      <c r="I1585" s="95">
        <v>405059.6</v>
      </c>
      <c r="J1585" s="95">
        <v>0</v>
      </c>
      <c r="K1585" s="95">
        <v>142054.73000000001</v>
      </c>
      <c r="L1585" s="95">
        <v>142054.73000000001</v>
      </c>
      <c r="M1585" s="96">
        <v>0.27529999999999999</v>
      </c>
      <c r="N1585" s="95">
        <v>0</v>
      </c>
      <c r="O1585" s="95">
        <v>516572.51</v>
      </c>
      <c r="P1585" s="95">
        <v>516572.51</v>
      </c>
      <c r="Q1585" s="95">
        <v>0</v>
      </c>
      <c r="R1585" s="95">
        <v>516572.51</v>
      </c>
      <c r="S1585" s="95">
        <v>516572.51</v>
      </c>
      <c r="U1585" s="106" t="str">
        <f>_xlfn.XLOOKUP(I1585,'[1]MAPA DE COTAÇÕES'!$D$12:$D$1058,'[1]MAPA DE COTAÇÕES'!$A$12:$A$1058,"")</f>
        <v/>
      </c>
    </row>
    <row r="1586" spans="1:21" ht="25.5" x14ac:dyDescent="0.25">
      <c r="A1586" s="90" t="s">
        <v>4176</v>
      </c>
      <c r="B1586" s="90" t="s">
        <v>108</v>
      </c>
      <c r="C1586" s="98" t="s">
        <v>109</v>
      </c>
      <c r="D1586" s="92" t="s">
        <v>110</v>
      </c>
      <c r="E1586" s="90" t="s">
        <v>111</v>
      </c>
      <c r="F1586" s="99">
        <v>1</v>
      </c>
      <c r="G1586" s="94">
        <v>2258.37</v>
      </c>
      <c r="H1586" s="94">
        <v>1227.6300000000001</v>
      </c>
      <c r="I1586" s="95">
        <v>3486</v>
      </c>
      <c r="J1586" s="95">
        <v>2258.37</v>
      </c>
      <c r="K1586" s="95">
        <v>1227.6300000000001</v>
      </c>
      <c r="L1586" s="95">
        <v>3486</v>
      </c>
      <c r="M1586" s="96">
        <v>0.27529999999999999</v>
      </c>
      <c r="N1586" s="95">
        <v>2880.1</v>
      </c>
      <c r="O1586" s="95">
        <v>1565.6</v>
      </c>
      <c r="P1586" s="95">
        <v>4445.7</v>
      </c>
      <c r="Q1586" s="95">
        <v>2880.1</v>
      </c>
      <c r="R1586" s="95">
        <v>1565.6</v>
      </c>
      <c r="S1586" s="95">
        <v>4445.7</v>
      </c>
      <c r="U1586" s="106" t="str">
        <f>_xlfn.XLOOKUP(I1586,'[1]MAPA DE COTAÇÕES'!$D$12:$D$1058,'[1]MAPA DE COTAÇÕES'!$A$12:$A$1058,"")</f>
        <v/>
      </c>
    </row>
    <row r="1587" spans="1:21" ht="15" x14ac:dyDescent="0.25">
      <c r="A1587" s="90" t="s">
        <v>4177</v>
      </c>
      <c r="B1587" s="90" t="s">
        <v>1805</v>
      </c>
      <c r="C1587" s="98" t="s">
        <v>4178</v>
      </c>
      <c r="D1587" s="92" t="s">
        <v>4179</v>
      </c>
      <c r="E1587" s="90" t="s">
        <v>249</v>
      </c>
      <c r="F1587" s="99">
        <v>33900</v>
      </c>
      <c r="G1587" s="94">
        <v>2.06</v>
      </c>
      <c r="H1587" s="94">
        <v>2.15</v>
      </c>
      <c r="I1587" s="95">
        <v>4.21</v>
      </c>
      <c r="J1587" s="95">
        <v>69834</v>
      </c>
      <c r="K1587" s="95">
        <v>72885</v>
      </c>
      <c r="L1587" s="95">
        <v>142719</v>
      </c>
      <c r="M1587" s="96">
        <v>0.27529999999999999</v>
      </c>
      <c r="N1587" s="95">
        <v>2.63</v>
      </c>
      <c r="O1587" s="95">
        <v>2.74</v>
      </c>
      <c r="P1587" s="95">
        <v>5.37</v>
      </c>
      <c r="Q1587" s="95">
        <v>89157</v>
      </c>
      <c r="R1587" s="95">
        <v>92886</v>
      </c>
      <c r="S1587" s="95">
        <v>182043</v>
      </c>
      <c r="U1587" s="106" t="str">
        <f>_xlfn.XLOOKUP(I1587,'[1]MAPA DE COTAÇÕES'!$D$12:$D$1058,'[1]MAPA DE COTAÇÕES'!$A$12:$A$1058,"")</f>
        <v/>
      </c>
    </row>
    <row r="1588" spans="1:21" ht="15" x14ac:dyDescent="0.25">
      <c r="C1588" s="113"/>
      <c r="E1588" s="114"/>
      <c r="F1588" s="115"/>
      <c r="G1588" s="115"/>
      <c r="H1588" s="115"/>
      <c r="N1588" s="118"/>
      <c r="O1588" s="118"/>
      <c r="P1588" s="118"/>
      <c r="Q1588" s="118"/>
      <c r="R1588" s="118"/>
      <c r="U1588" s="106">
        <f>_xlfn.XLOOKUP(I1588,'[1]MAPA DE COTAÇÕES'!$D$12:$D$1058,'[1]MAPA DE COTAÇÕES'!$A$12:$A$1058,"")</f>
        <v>0</v>
      </c>
    </row>
    <row r="1589" spans="1:21" ht="16.5" customHeight="1" thickBot="1" x14ac:dyDescent="0.3">
      <c r="A1589" s="119"/>
      <c r="B1589" s="120"/>
      <c r="C1589" s="120"/>
      <c r="D1589" s="120"/>
      <c r="E1589" s="121"/>
      <c r="F1589" s="122"/>
      <c r="G1589" s="123"/>
      <c r="H1589" s="124" t="s">
        <v>4180</v>
      </c>
      <c r="I1589" s="125"/>
      <c r="J1589" s="126">
        <v>164979099.2100001</v>
      </c>
      <c r="K1589" s="126">
        <v>30611308.910000004</v>
      </c>
      <c r="L1589" s="126">
        <v>195590408.11999995</v>
      </c>
      <c r="M1589" s="126"/>
      <c r="N1589" s="126"/>
      <c r="O1589" s="126"/>
      <c r="P1589" s="126"/>
      <c r="Q1589" s="126">
        <v>207539119.99999997</v>
      </c>
      <c r="R1589" s="126">
        <v>39368573.600000001</v>
      </c>
      <c r="S1589" s="126">
        <v>246907693.59999993</v>
      </c>
      <c r="U1589" s="106">
        <f>_xlfn.XLOOKUP(I1589,'[1]MAPA DE COTAÇÕES'!$D$12:$D$1058,'[1]MAPA DE COTAÇÕES'!$A$12:$A$1058,"")</f>
        <v>0</v>
      </c>
    </row>
    <row r="1590" spans="1:21" x14ac:dyDescent="0.25">
      <c r="U1590" s="106">
        <f>_xlfn.XLOOKUP(I1590,'[1]MAPA DE COTAÇÕES'!$D$12:$D$1058,'[1]MAPA DE COTAÇÕES'!$A$12:$A$1058,"")</f>
        <v>0</v>
      </c>
    </row>
    <row r="1591" spans="1:21" x14ac:dyDescent="0.25">
      <c r="U1591" s="106">
        <f>_xlfn.XLOOKUP(I1591,'[1]MAPA DE COTAÇÕES'!$D$12:$D$1058,'[1]MAPA DE COTAÇÕES'!$A$12:$A$1058,"")</f>
        <v>0</v>
      </c>
    </row>
    <row r="1592" spans="1:21" x14ac:dyDescent="0.25">
      <c r="U1592" s="106">
        <f>_xlfn.XLOOKUP(I1592,'[1]MAPA DE COTAÇÕES'!$D$12:$D$1058,'[1]MAPA DE COTAÇÕES'!$A$12:$A$1058,"")</f>
        <v>0</v>
      </c>
    </row>
    <row r="1593" spans="1:21" x14ac:dyDescent="0.25">
      <c r="U1593" s="106">
        <f>_xlfn.XLOOKUP(I1593,'[1]MAPA DE COTAÇÕES'!$D$12:$D$1058,'[1]MAPA DE COTAÇÕES'!$A$12:$A$1058,"")</f>
        <v>0</v>
      </c>
    </row>
    <row r="1594" spans="1:21" x14ac:dyDescent="0.25">
      <c r="U1594" s="106">
        <f>_xlfn.XLOOKUP(I1594,'[1]MAPA DE COTAÇÕES'!$D$12:$D$1058,'[1]MAPA DE COTAÇÕES'!$A$12:$A$1058,"")</f>
        <v>0</v>
      </c>
    </row>
    <row r="1595" spans="1:21" x14ac:dyDescent="0.25">
      <c r="U1595" s="106">
        <f>_xlfn.XLOOKUP(I1595,'[1]MAPA DE COTAÇÕES'!$D$12:$D$1058,'[1]MAPA DE COTAÇÕES'!$A$12:$A$1058,"")</f>
        <v>0</v>
      </c>
    </row>
    <row r="1596" spans="1:21" x14ac:dyDescent="0.25">
      <c r="U1596" s="106">
        <f>_xlfn.XLOOKUP(I1596,'[1]MAPA DE COTAÇÕES'!$D$12:$D$1058,'[1]MAPA DE COTAÇÕES'!$A$12:$A$1058,"")</f>
        <v>0</v>
      </c>
    </row>
    <row r="1597" spans="1:21" x14ac:dyDescent="0.25">
      <c r="U1597" s="106">
        <f>_xlfn.XLOOKUP(I1597,'[1]MAPA DE COTAÇÕES'!$D$12:$D$1058,'[1]MAPA DE COTAÇÕES'!$A$12:$A$1058,"")</f>
        <v>0</v>
      </c>
    </row>
    <row r="1598" spans="1:21" x14ac:dyDescent="0.25">
      <c r="U1598" s="106">
        <f>_xlfn.XLOOKUP(I1598,'[1]MAPA DE COTAÇÕES'!$D$12:$D$1058,'[1]MAPA DE COTAÇÕES'!$A$12:$A$1058,"")</f>
        <v>0</v>
      </c>
    </row>
    <row r="1599" spans="1:21" x14ac:dyDescent="0.25">
      <c r="U1599" s="106">
        <f>_xlfn.XLOOKUP(I1599,'[1]MAPA DE COTAÇÕES'!$D$12:$D$1058,'[1]MAPA DE COTAÇÕES'!$A$12:$A$1058,"")</f>
        <v>0</v>
      </c>
    </row>
    <row r="1600" spans="1:21" x14ac:dyDescent="0.25">
      <c r="U1600" s="106">
        <f>_xlfn.XLOOKUP(I1600,'[1]MAPA DE COTAÇÕES'!$D$12:$D$1058,'[1]MAPA DE COTAÇÕES'!$A$12:$A$1058,"")</f>
        <v>0</v>
      </c>
    </row>
    <row r="1601" spans="19:21" s="97" customFormat="1" x14ac:dyDescent="0.25">
      <c r="S1601" s="117">
        <v>0</v>
      </c>
      <c r="U1601" s="106">
        <f>_xlfn.XLOOKUP(I1601,'[1]MAPA DE COTAÇÕES'!$D$12:$D$1058,'[1]MAPA DE COTAÇÕES'!$A$12:$A$1058,"")</f>
        <v>0</v>
      </c>
    </row>
    <row r="1602" spans="19:21" x14ac:dyDescent="0.25">
      <c r="U1602" s="106">
        <f>_xlfn.XLOOKUP(I1602,'[1]MAPA DE COTAÇÕES'!$D$12:$D$1058,'[1]MAPA DE COTAÇÕES'!$A$12:$A$1058,"")</f>
        <v>0</v>
      </c>
    </row>
    <row r="1603" spans="19:21" s="97" customFormat="1" x14ac:dyDescent="0.25">
      <c r="S1603" s="117">
        <v>405059.6</v>
      </c>
      <c r="U1603" s="106">
        <f>_xlfn.XLOOKUP(I1603,'[1]MAPA DE COTAÇÕES'!$D$12:$D$1058,'[1]MAPA DE COTAÇÕES'!$A$12:$A$1058,"")</f>
        <v>0</v>
      </c>
    </row>
    <row r="1604" spans="19:21" x14ac:dyDescent="0.25">
      <c r="U1604" s="106">
        <f>_xlfn.XLOOKUP(I1604,'[1]MAPA DE COTAÇÕES'!$D$12:$D$1058,'[1]MAPA DE COTAÇÕES'!$A$12:$A$1058,"")</f>
        <v>0</v>
      </c>
    </row>
    <row r="1605" spans="19:21" x14ac:dyDescent="0.25">
      <c r="U1605" s="106">
        <f>_xlfn.XLOOKUP(I1605,'[1]MAPA DE COTAÇÕES'!$D$12:$D$1058,'[1]MAPA DE COTAÇÕES'!$A$12:$A$1058,"")</f>
        <v>0</v>
      </c>
    </row>
    <row r="1606" spans="19:21" x14ac:dyDescent="0.25">
      <c r="U1606" s="106">
        <f>_xlfn.XLOOKUP(I1606,'[1]MAPA DE COTAÇÕES'!$D$12:$D$1058,'[1]MAPA DE COTAÇÕES'!$A$12:$A$1058,"")</f>
        <v>0</v>
      </c>
    </row>
    <row r="1607" spans="19:21" x14ac:dyDescent="0.25">
      <c r="U1607" s="106">
        <f>_xlfn.XLOOKUP(I1607,'[1]MAPA DE COTAÇÕES'!$D$12:$D$1058,'[1]MAPA DE COTAÇÕES'!$A$12:$A$1058,"")</f>
        <v>0</v>
      </c>
    </row>
    <row r="1608" spans="19:21" x14ac:dyDescent="0.25">
      <c r="U1608" s="106">
        <f>_xlfn.XLOOKUP(I1608,'[1]MAPA DE COTAÇÕES'!$D$12:$D$1058,'[1]MAPA DE COTAÇÕES'!$A$12:$A$1058,"")</f>
        <v>0</v>
      </c>
    </row>
    <row r="1609" spans="19:21" x14ac:dyDescent="0.25">
      <c r="U1609" s="106">
        <f>_xlfn.XLOOKUP(I1609,'[1]MAPA DE COTAÇÕES'!$D$12:$D$1058,'[1]MAPA DE COTAÇÕES'!$A$12:$A$1058,"")</f>
        <v>0</v>
      </c>
    </row>
    <row r="1610" spans="19:21" x14ac:dyDescent="0.25">
      <c r="U1610" s="106">
        <f>_xlfn.XLOOKUP(I1610,'[1]MAPA DE COTAÇÕES'!$D$12:$D$1058,'[1]MAPA DE COTAÇÕES'!$A$12:$A$1058,"")</f>
        <v>0</v>
      </c>
    </row>
    <row r="1611" spans="19:21" x14ac:dyDescent="0.25">
      <c r="U1611" s="106">
        <f>_xlfn.XLOOKUP(I1611,'[1]MAPA DE COTAÇÕES'!$D$12:$D$1058,'[1]MAPA DE COTAÇÕES'!$A$12:$A$1058,"")</f>
        <v>0</v>
      </c>
    </row>
    <row r="1612" spans="19:21" x14ac:dyDescent="0.25">
      <c r="U1612" s="106">
        <f>_xlfn.XLOOKUP(I1612,'[1]MAPA DE COTAÇÕES'!$D$12:$D$1058,'[1]MAPA DE COTAÇÕES'!$A$12:$A$1058,"")</f>
        <v>0</v>
      </c>
    </row>
    <row r="1613" spans="19:21" x14ac:dyDescent="0.25">
      <c r="U1613" s="106">
        <f>_xlfn.XLOOKUP(I1613,'[1]MAPA DE COTAÇÕES'!$D$12:$D$1058,'[1]MAPA DE COTAÇÕES'!$A$12:$A$1058,"")</f>
        <v>0</v>
      </c>
    </row>
    <row r="1614" spans="19:21" x14ac:dyDescent="0.25">
      <c r="U1614" s="106">
        <f>_xlfn.XLOOKUP(I1614,'[1]MAPA DE COTAÇÕES'!$D$12:$D$1058,'[1]MAPA DE COTAÇÕES'!$A$12:$A$1058,"")</f>
        <v>0</v>
      </c>
    </row>
    <row r="1615" spans="19:21" x14ac:dyDescent="0.25">
      <c r="U1615" s="106">
        <f>_xlfn.XLOOKUP(I1615,'[1]MAPA DE COTAÇÕES'!$D$12:$D$1058,'[1]MAPA DE COTAÇÕES'!$A$12:$A$1058,"")</f>
        <v>0</v>
      </c>
    </row>
    <row r="1616" spans="19:21" x14ac:dyDescent="0.25">
      <c r="U1616" s="106">
        <f>_xlfn.XLOOKUP(I1616,'[1]MAPA DE COTAÇÕES'!$D$12:$D$1058,'[1]MAPA DE COTAÇÕES'!$A$12:$A$1058,"")</f>
        <v>0</v>
      </c>
    </row>
    <row r="1617" spans="21:21" x14ac:dyDescent="0.25">
      <c r="U1617" s="106">
        <f>_xlfn.XLOOKUP(I1617,'[1]MAPA DE COTAÇÕES'!$D$12:$D$1058,'[1]MAPA DE COTAÇÕES'!$A$12:$A$1058,"")</f>
        <v>0</v>
      </c>
    </row>
    <row r="1618" spans="21:21" x14ac:dyDescent="0.25">
      <c r="U1618" s="106">
        <f>_xlfn.XLOOKUP(I1618,'[1]MAPA DE COTAÇÕES'!$D$12:$D$1058,'[1]MAPA DE COTAÇÕES'!$A$12:$A$1058,"")</f>
        <v>0</v>
      </c>
    </row>
    <row r="1619" spans="21:21" x14ac:dyDescent="0.25">
      <c r="U1619" s="106">
        <f>_xlfn.XLOOKUP(I1619,'[1]MAPA DE COTAÇÕES'!$D$12:$D$1058,'[1]MAPA DE COTAÇÕES'!$A$12:$A$1058,"")</f>
        <v>0</v>
      </c>
    </row>
  </sheetData>
  <mergeCells count="12">
    <mergeCell ref="N11:P11"/>
    <mergeCell ref="Q11:S11"/>
    <mergeCell ref="I2:L3"/>
    <mergeCell ref="B3:E3"/>
    <mergeCell ref="G4:I4"/>
    <mergeCell ref="J4:L4"/>
    <mergeCell ref="A9:S9"/>
    <mergeCell ref="A11:A12"/>
    <mergeCell ref="B11:B12"/>
    <mergeCell ref="C11:C12"/>
    <mergeCell ref="G11:I11"/>
    <mergeCell ref="J11:L11"/>
  </mergeCells>
  <conditionalFormatting sqref="A340:L350">
    <cfRule type="expression" dxfId="70" priority="22">
      <formula>$B340=""</formula>
    </cfRule>
  </conditionalFormatting>
  <conditionalFormatting sqref="A359:L359">
    <cfRule type="expression" dxfId="69" priority="21">
      <formula>$B359=""</formula>
    </cfRule>
  </conditionalFormatting>
  <conditionalFormatting sqref="A443:L443 N443:S443">
    <cfRule type="expression" dxfId="68" priority="16">
      <formula>$B443=""</formula>
    </cfRule>
  </conditionalFormatting>
  <conditionalFormatting sqref="A447:L447 N447:S447">
    <cfRule type="expression" dxfId="67" priority="14">
      <formula>$B447=""</formula>
    </cfRule>
  </conditionalFormatting>
  <conditionalFormatting sqref="A14:S71 A256:S271 A280:S322 A378:L421 A536:L586 A589:S702 A704:S744">
    <cfRule type="expression" dxfId="66" priority="28">
      <formula>$B14=""</formula>
    </cfRule>
  </conditionalFormatting>
  <conditionalFormatting sqref="A75:S95">
    <cfRule type="expression" dxfId="65" priority="26">
      <formula>$B75=""</formula>
    </cfRule>
  </conditionalFormatting>
  <conditionalFormatting sqref="A140:S206">
    <cfRule type="expression" dxfId="64" priority="23">
      <formula>$B140=""</formula>
    </cfRule>
  </conditionalFormatting>
  <conditionalFormatting sqref="A424:S424">
    <cfRule type="expression" dxfId="63" priority="19">
      <formula>$B424=""</formula>
    </cfRule>
  </conditionalFormatting>
  <conditionalFormatting sqref="A431:S431">
    <cfRule type="expression" dxfId="62" priority="18">
      <formula>$B431=""</formula>
    </cfRule>
  </conditionalFormatting>
  <conditionalFormatting sqref="A437:S437">
    <cfRule type="expression" dxfId="61" priority="17">
      <formula>$B437=""</formula>
    </cfRule>
  </conditionalFormatting>
  <conditionalFormatting sqref="A455:S455">
    <cfRule type="expression" dxfId="60" priority="13">
      <formula>$B455=""</formula>
    </cfRule>
  </conditionalFormatting>
  <conditionalFormatting sqref="A458:S458">
    <cfRule type="expression" dxfId="59" priority="11">
      <formula>$B458=""</formula>
    </cfRule>
  </conditionalFormatting>
  <conditionalFormatting sqref="A461:S461">
    <cfRule type="expression" dxfId="58" priority="10">
      <formula>$B461=""</formula>
    </cfRule>
  </conditionalFormatting>
  <conditionalFormatting sqref="A465:S534">
    <cfRule type="expression" dxfId="57" priority="12">
      <formula>$B465=""</formula>
    </cfRule>
  </conditionalFormatting>
  <conditionalFormatting sqref="A751:S1255">
    <cfRule type="expression" dxfId="56" priority="1">
      <formula>$B751=""</formula>
    </cfRule>
  </conditionalFormatting>
  <conditionalFormatting sqref="A1257:S1257">
    <cfRule type="expression" dxfId="55" priority="9">
      <formula>$B1257=""</formula>
    </cfRule>
  </conditionalFormatting>
  <conditionalFormatting sqref="A1308:S1308">
    <cfRule type="expression" dxfId="54" priority="8">
      <formula>$B1308=""</formula>
    </cfRule>
  </conditionalFormatting>
  <conditionalFormatting sqref="A1339:S1339">
    <cfRule type="expression" dxfId="53" priority="7">
      <formula>$B1339=""</formula>
    </cfRule>
  </conditionalFormatting>
  <conditionalFormatting sqref="A1346:S1346">
    <cfRule type="expression" dxfId="52" priority="6">
      <formula>$B1346=""</formula>
    </cfRule>
  </conditionalFormatting>
  <conditionalFormatting sqref="A1397:S1397">
    <cfRule type="expression" dxfId="51" priority="5">
      <formula>$B1397=""</formula>
    </cfRule>
  </conditionalFormatting>
  <conditionalFormatting sqref="A1429:S1429">
    <cfRule type="expression" dxfId="50" priority="4">
      <formula>$B1429=""</formula>
    </cfRule>
  </conditionalFormatting>
  <conditionalFormatting sqref="A1569:S1569">
    <cfRule type="expression" dxfId="49" priority="3">
      <formula>$B1569=""</formula>
    </cfRule>
  </conditionalFormatting>
  <conditionalFormatting sqref="A1578:S1578">
    <cfRule type="expression" dxfId="48" priority="2">
      <formula>$B1578=""</formula>
    </cfRule>
  </conditionalFormatting>
  <conditionalFormatting sqref="F73">
    <cfRule type="expression" dxfId="47" priority="27">
      <formula>$B73=""</formula>
    </cfRule>
  </conditionalFormatting>
  <conditionalFormatting sqref="F97:F102">
    <cfRule type="expression" dxfId="46" priority="25">
      <formula>$B97=""</formula>
    </cfRule>
  </conditionalFormatting>
  <conditionalFormatting sqref="F104:F138">
    <cfRule type="expression" dxfId="45" priority="24">
      <formula>$B104=""</formula>
    </cfRule>
  </conditionalFormatting>
  <conditionalFormatting sqref="M443:M447">
    <cfRule type="expression" dxfId="44" priority="15">
      <formula>$B443=""</formula>
    </cfRule>
  </conditionalFormatting>
  <conditionalFormatting sqref="M536:M587">
    <cfRule type="expression" dxfId="43" priority="69">
      <formula>$B536=""</formula>
    </cfRule>
  </conditionalFormatting>
  <conditionalFormatting sqref="M746:M749">
    <cfRule type="expression" dxfId="42" priority="61">
      <formula>$B746=""</formula>
    </cfRule>
  </conditionalFormatting>
  <conditionalFormatting sqref="M1258:M1307">
    <cfRule type="expression" dxfId="41" priority="60">
      <formula>$B1258=""</formula>
    </cfRule>
  </conditionalFormatting>
  <conditionalFormatting sqref="M1309:M1338">
    <cfRule type="expression" dxfId="40" priority="59">
      <formula>$B1309=""</formula>
    </cfRule>
  </conditionalFormatting>
  <conditionalFormatting sqref="M1340:M1345">
    <cfRule type="expression" dxfId="39" priority="68">
      <formula>$B1340=""</formula>
    </cfRule>
  </conditionalFormatting>
  <conditionalFormatting sqref="M1347:M1396">
    <cfRule type="expression" dxfId="38" priority="67">
      <formula>$B1347=""</formula>
    </cfRule>
  </conditionalFormatting>
  <conditionalFormatting sqref="M1398:M1428">
    <cfRule type="expression" dxfId="37" priority="66">
      <formula>$B1398=""</formula>
    </cfRule>
  </conditionalFormatting>
  <conditionalFormatting sqref="M1430:M1568">
    <cfRule type="expression" dxfId="36" priority="65">
      <formula>$B1430=""</formula>
    </cfRule>
  </conditionalFormatting>
  <conditionalFormatting sqref="M1570:M1577">
    <cfRule type="expression" dxfId="35" priority="64">
      <formula>$B1570=""</formula>
    </cfRule>
  </conditionalFormatting>
  <conditionalFormatting sqref="M1579">
    <cfRule type="expression" dxfId="34" priority="63">
      <formula>$B1579=""</formula>
    </cfRule>
  </conditionalFormatting>
  <conditionalFormatting sqref="M1581:M1587">
    <cfRule type="expression" dxfId="33" priority="62">
      <formula>$B1581=""</formula>
    </cfRule>
  </conditionalFormatting>
  <conditionalFormatting sqref="M73:S73">
    <cfRule type="expression" dxfId="32" priority="58">
      <formula>$B73=""</formula>
    </cfRule>
  </conditionalFormatting>
  <conditionalFormatting sqref="M97:S102">
    <cfRule type="expression" dxfId="31" priority="57">
      <formula>$B97=""</formula>
    </cfRule>
  </conditionalFormatting>
  <conditionalFormatting sqref="M104:S138">
    <cfRule type="expression" dxfId="30" priority="56">
      <formula>$B104=""</formula>
    </cfRule>
  </conditionalFormatting>
  <conditionalFormatting sqref="M208:S210">
    <cfRule type="expression" dxfId="29" priority="55">
      <formula>$B208=""</formula>
    </cfRule>
  </conditionalFormatting>
  <conditionalFormatting sqref="M212:S218">
    <cfRule type="expression" dxfId="28" priority="54">
      <formula>$B212=""</formula>
    </cfRule>
  </conditionalFormatting>
  <conditionalFormatting sqref="M220:S226">
    <cfRule type="expression" dxfId="27" priority="53">
      <formula>$B220=""</formula>
    </cfRule>
  </conditionalFormatting>
  <conditionalFormatting sqref="M228:S233">
    <cfRule type="expression" dxfId="26" priority="52">
      <formula>$B228=""</formula>
    </cfRule>
  </conditionalFormatting>
  <conditionalFormatting sqref="M235:S243">
    <cfRule type="expression" dxfId="25" priority="51">
      <formula>$B235=""</formula>
    </cfRule>
  </conditionalFormatting>
  <conditionalFormatting sqref="M245:S254">
    <cfRule type="expression" dxfId="24" priority="50">
      <formula>$B245=""</formula>
    </cfRule>
  </conditionalFormatting>
  <conditionalFormatting sqref="M273:S278">
    <cfRule type="expression" dxfId="23" priority="49">
      <formula>$B273=""</formula>
    </cfRule>
  </conditionalFormatting>
  <conditionalFormatting sqref="M324:S332">
    <cfRule type="expression" dxfId="22" priority="48">
      <formula>$B324=""</formula>
    </cfRule>
  </conditionalFormatting>
  <conditionalFormatting sqref="M334:S338">
    <cfRule type="expression" dxfId="21" priority="47">
      <formula>$B334=""</formula>
    </cfRule>
  </conditionalFormatting>
  <conditionalFormatting sqref="M340:S376 A373:L373">
    <cfRule type="expression" dxfId="20" priority="20">
      <formula>$B340=""</formula>
    </cfRule>
  </conditionalFormatting>
  <conditionalFormatting sqref="M378:S422">
    <cfRule type="expression" dxfId="19" priority="46">
      <formula>$B378=""</formula>
    </cfRule>
  </conditionalFormatting>
  <conditionalFormatting sqref="M425:S430">
    <cfRule type="expression" dxfId="18" priority="45">
      <formula>$B425=""</formula>
    </cfRule>
  </conditionalFormatting>
  <conditionalFormatting sqref="M432:S436">
    <cfRule type="expression" dxfId="17" priority="44">
      <formula>$B432=""</formula>
    </cfRule>
  </conditionalFormatting>
  <conditionalFormatting sqref="M438:S442">
    <cfRule type="expression" dxfId="16" priority="43">
      <formula>$B438=""</formula>
    </cfRule>
  </conditionalFormatting>
  <conditionalFormatting sqref="M448:S453">
    <cfRule type="expression" dxfId="15" priority="41">
      <formula>$B448=""</formula>
    </cfRule>
  </conditionalFormatting>
  <conditionalFormatting sqref="M456:S457 M459:S460 M462:S463">
    <cfRule type="expression" dxfId="14" priority="40">
      <formula>$B456=""</formula>
    </cfRule>
  </conditionalFormatting>
  <conditionalFormatting sqref="N536:P586">
    <cfRule type="expression" dxfId="13" priority="70">
      <formula>$B536=""</formula>
    </cfRule>
  </conditionalFormatting>
  <conditionalFormatting sqref="Q444:S446">
    <cfRule type="expression" dxfId="12" priority="42">
      <formula>$B444=""</formula>
    </cfRule>
  </conditionalFormatting>
  <conditionalFormatting sqref="Q536:S587">
    <cfRule type="expression" dxfId="11" priority="39">
      <formula>$B536=""</formula>
    </cfRule>
  </conditionalFormatting>
  <conditionalFormatting sqref="Q746:S749">
    <cfRule type="expression" dxfId="10" priority="38">
      <formula>$B746=""</formula>
    </cfRule>
  </conditionalFormatting>
  <conditionalFormatting sqref="Q1258:S1307">
    <cfRule type="expression" dxfId="9" priority="37">
      <formula>$B1258=""</formula>
    </cfRule>
  </conditionalFormatting>
  <conditionalFormatting sqref="Q1309:S1338">
    <cfRule type="expression" dxfId="8" priority="36">
      <formula>$B1309=""</formula>
    </cfRule>
  </conditionalFormatting>
  <conditionalFormatting sqref="Q1340:S1345">
    <cfRule type="expression" dxfId="7" priority="35">
      <formula>$B1340=""</formula>
    </cfRule>
  </conditionalFormatting>
  <conditionalFormatting sqref="Q1347:S1396">
    <cfRule type="expression" dxfId="6" priority="34">
      <formula>$B1347=""</formula>
    </cfRule>
  </conditionalFormatting>
  <conditionalFormatting sqref="Q1398:S1428">
    <cfRule type="expression" dxfId="5" priority="33">
      <formula>$B1398=""</formula>
    </cfRule>
  </conditionalFormatting>
  <conditionalFormatting sqref="Q1430:S1568">
    <cfRule type="expression" dxfId="4" priority="32">
      <formula>$B1430=""</formula>
    </cfRule>
  </conditionalFormatting>
  <conditionalFormatting sqref="Q1570:S1577">
    <cfRule type="expression" dxfId="3" priority="31">
      <formula>$B1570=""</formula>
    </cfRule>
  </conditionalFormatting>
  <conditionalFormatting sqref="Q1579:S1579">
    <cfRule type="expression" dxfId="2" priority="30">
      <formula>$B1579=""</formula>
    </cfRule>
  </conditionalFormatting>
  <conditionalFormatting sqref="Q1581:S1587">
    <cfRule type="expression" dxfId="1" priority="29">
      <formula>$B1581=""</formula>
    </cfRule>
  </conditionalFormatting>
  <conditionalFormatting sqref="AH456:AM463 BB456:BG463 BV456:CA463 CP456:CU463 DJ456:DO463 ED456:EI463 EX456:FC463 FR456:FW463 GL456:GQ463 HF456:HK463 HZ456:IE463 IT456:IY463 JN456:JS463 KH456:KM463 LB456:LG463 LV456:MA463 MP456:MU463 NJ456:NO463 OD456:OI463 OX456:PC463 PR456:PW463 QL456:QQ463 RF456:RK463 RZ456:SE463 ST456:SY463 TN456:TS463 UH456:UM463 VB456:VG463 VV456:WA463 WP456:WU463 XJ456:XO463 YD456:YI463 YX456:ZC463 ZR456:ZW463 AAL456:AAQ463 ABF456:ABK463 ABZ456:ACE463 ACT456:ACY463 ADN456:ADS463 AEH456:AEM463 AFB456:AFG463 AFV456:AGA463 AGP456:AGU463 AHJ456:AHO463 AID456:AII463 AIX456:AJC463 AJR456:AJW463 AKL456:AKQ463 ALF456:ALK463 ALZ456:AME463 AMT456:AMY463 ANN456:ANS463 AOH456:AOM463 APB456:APG463 APV456:AQA463 AQP456:AQU463 ARJ456:ARO463 ASD456:ASI463 ASX456:ATC463 ATR456:ATW463 AUL456:AUQ463 AVF456:AVK463 AVZ456:AWE463 AWT456:AWY463 AXN456:AXS463 AYH456:AYM463 AZB456:AZG463 AZV456:BAA463 BAP456:BAU463 BBJ456:BBO463 BCD456:BCI463 BCX456:BDC463 BDR456:BDW463 BEL456:BEQ463 BFF456:BFK463 BFZ456:BGE463 BGT456:BGY463 BHN456:BHS463 BIH456:BIM463 BJB456:BJG463 BJV456:BKA463 BKP456:BKU463 BLJ456:BLO463 BMD456:BMI463 BMX456:BNC463 BNR456:BNW463 BOL456:BOQ463 BPF456:BPK463 BPZ456:BQE463 BQT456:BQY463 BRN456:BRS463 BSH456:BSM463 BTB456:BTG463 BTV456:BUA463 BUP456:BUU463 BVJ456:BVO463 BWD456:BWI463 BWX456:BXC463 BXR456:BXW463 BYL456:BYQ463 BZF456:BZK463 BZZ456:CAE463 CAT456:CAY463 CBN456:CBS463 CCH456:CCM463 CDB456:CDG463 CDV456:CEA463 CEP456:CEU463 CFJ456:CFO463 CGD456:CGI463 CGX456:CHC463 CHR456:CHW463 CIL456:CIQ463 CJF456:CJK463 CJZ456:CKE463 CKT456:CKY463 CLN456:CLS463 CMH456:CMM463 CNB456:CNG463 CNV456:COA463 COP456:COU463 CPJ456:CPO463 CQD456:CQI463 CQX456:CRC463 CRR456:CRW463 CSL456:CSQ463 CTF456:CTK463 CTZ456:CUE463 CUT456:CUY463 CVN456:CVS463 CWH456:CWM463 CXB456:CXG463 CXV456:CYA463 CYP456:CYU463 CZJ456:CZO463 DAD456:DAI463 DAX456:DBC463 DBR456:DBW463 DCL456:DCQ463 DDF456:DDK463 DDZ456:DEE463 DET456:DEY463 DFN456:DFS463 DGH456:DGM463 DHB456:DHG463 DHV456:DIA463 DIP456:DIU463 DJJ456:DJO463 DKD456:DKI463 DKX456:DLC463 DLR456:DLW463 DML456:DMQ463 DNF456:DNK463 DNZ456:DOE463 DOT456:DOY463 DPN456:DPS463 DQH456:DQM463 DRB456:DRG463 DRV456:DSA463 DSP456:DSU463 DTJ456:DTO463 DUD456:DUI463 DUX456:DVC463 DVR456:DVW463 DWL456:DWQ463 DXF456:DXK463 DXZ456:DYE463 DYT456:DYY463 DZN456:DZS463 EAH456:EAM463 EBB456:EBG463 EBV456:ECA463 ECP456:ECU463 EDJ456:EDO463 EED456:EEI463 EEX456:EFC463 EFR456:EFW463 EGL456:EGQ463 EHF456:EHK463 EHZ456:EIE463 EIT456:EIY463 EJN456:EJS463 EKH456:EKM463 ELB456:ELG463 ELV456:EMA463 EMP456:EMU463 ENJ456:ENO463 EOD456:EOI463 EOX456:EPC463 EPR456:EPW463 EQL456:EQQ463 ERF456:ERK463 ERZ456:ESE463 EST456:ESY463 ETN456:ETS463 EUH456:EUM463 EVB456:EVG463 EVV456:EWA463 EWP456:EWU463 EXJ456:EXO463 EYD456:EYI463 EYX456:EZC463 EZR456:EZW463 FAL456:FAQ463 FBF456:FBK463 FBZ456:FCE463 FCT456:FCY463 FDN456:FDS463 FEH456:FEM463 FFB456:FFG463 FFV456:FGA463 FGP456:FGU463 FHJ456:FHO463 FID456:FII463 FIX456:FJC463 FJR456:FJW463 FKL456:FKQ463 FLF456:FLK463 FLZ456:FME463 FMT456:FMY463 FNN456:FNS463 FOH456:FOM463 FPB456:FPG463 FPV456:FQA463 FQP456:FQU463 FRJ456:FRO463 FSD456:FSI463 FSX456:FTC463 FTR456:FTW463 FUL456:FUQ463 FVF456:FVK463 FVZ456:FWE463 FWT456:FWY463 FXN456:FXS463 FYH456:FYM463 FZB456:FZG463 FZV456:GAA463 GAP456:GAU463 GBJ456:GBO463 GCD456:GCI463 GCX456:GDC463 GDR456:GDW463 GEL456:GEQ463 GFF456:GFK463 GFZ456:GGE463 GGT456:GGY463 GHN456:GHS463 GIH456:GIM463 GJB456:GJG463 GJV456:GKA463 GKP456:GKU463 GLJ456:GLO463 GMD456:GMI463 GMX456:GNC463 GNR456:GNW463 GOL456:GOQ463 GPF456:GPK463 GPZ456:GQE463 GQT456:GQY463 GRN456:GRS463 GSH456:GSM463 GTB456:GTG463 GTV456:GUA463 GUP456:GUU463 GVJ456:GVO463 GWD456:GWI463 GWX456:GXC463 GXR456:GXW463 GYL456:GYQ463 GZF456:GZK463 GZZ456:HAE463 HAT456:HAY463 HBN456:HBS463 HCH456:HCM463 HDB456:HDG463 HDV456:HEA463 HEP456:HEU463 HFJ456:HFO463 HGD456:HGI463 HGX456:HHC463 HHR456:HHW463 HIL456:HIQ463 HJF456:HJK463 HJZ456:HKE463 HKT456:HKY463 HLN456:HLS463 HMH456:HMM463 HNB456:HNG463 HNV456:HOA463 HOP456:HOU463 HPJ456:HPO463 HQD456:HQI463 HQX456:HRC463 HRR456:HRW463 HSL456:HSQ463 HTF456:HTK463 HTZ456:HUE463 HUT456:HUY463 HVN456:HVS463 HWH456:HWM463 HXB456:HXG463 HXV456:HYA463 HYP456:HYU463 HZJ456:HZO463 IAD456:IAI463 IAX456:IBC463 IBR456:IBW463 ICL456:ICQ463 IDF456:IDK463 IDZ456:IEE463 IET456:IEY463 IFN456:IFS463 IGH456:IGM463 IHB456:IHG463 IHV456:IIA463 IIP456:IIU463 IJJ456:IJO463 IKD456:IKI463 IKX456:ILC463 ILR456:ILW463 IML456:IMQ463 INF456:INK463 INZ456:IOE463 IOT456:IOY463 IPN456:IPS463 IQH456:IQM463 IRB456:IRG463 IRV456:ISA463 ISP456:ISU463 ITJ456:ITO463 IUD456:IUI463 IUX456:IVC463 IVR456:IVW463 IWL456:IWQ463 IXF456:IXK463 IXZ456:IYE463 IYT456:IYY463 IZN456:IZS463 JAH456:JAM463 JBB456:JBG463 JBV456:JCA463 JCP456:JCU463 JDJ456:JDO463 JED456:JEI463 JEX456:JFC463 JFR456:JFW463 JGL456:JGQ463 JHF456:JHK463 JHZ456:JIE463 JIT456:JIY463 JJN456:JJS463 JKH456:JKM463 JLB456:JLG463 JLV456:JMA463 JMP456:JMU463 JNJ456:JNO463 JOD456:JOI463 JOX456:JPC463 JPR456:JPW463 JQL456:JQQ463 JRF456:JRK463 JRZ456:JSE463 JST456:JSY463 JTN456:JTS463 JUH456:JUM463 JVB456:JVG463 JVV456:JWA463 JWP456:JWU463 JXJ456:JXO463 JYD456:JYI463 JYX456:JZC463 JZR456:JZW463 KAL456:KAQ463 KBF456:KBK463 KBZ456:KCE463 KCT456:KCY463 KDN456:KDS463 KEH456:KEM463 KFB456:KFG463 KFV456:KGA463 KGP456:KGU463 KHJ456:KHO463 KID456:KII463 KIX456:KJC463 KJR456:KJW463 KKL456:KKQ463 KLF456:KLK463 KLZ456:KME463 KMT456:KMY463 KNN456:KNS463 KOH456:KOM463 KPB456:KPG463 KPV456:KQA463 KQP456:KQU463 KRJ456:KRO463 KSD456:KSI463 KSX456:KTC463 KTR456:KTW463 KUL456:KUQ463 KVF456:KVK463 KVZ456:KWE463 KWT456:KWY463 KXN456:KXS463 KYH456:KYM463 KZB456:KZG463 KZV456:LAA463 LAP456:LAU463 LBJ456:LBO463 LCD456:LCI463 LCX456:LDC463 LDR456:LDW463 LEL456:LEQ463 LFF456:LFK463 LFZ456:LGE463 LGT456:LGY463 LHN456:LHS463 LIH456:LIM463 LJB456:LJG463 LJV456:LKA463 LKP456:LKU463 LLJ456:LLO463 LMD456:LMI463 LMX456:LNC463 LNR456:LNW463 LOL456:LOQ463 LPF456:LPK463 LPZ456:LQE463 LQT456:LQY463 LRN456:LRS463 LSH456:LSM463 LTB456:LTG463 LTV456:LUA463 LUP456:LUU463 LVJ456:LVO463 LWD456:LWI463 LWX456:LXC463 LXR456:LXW463 LYL456:LYQ463 LZF456:LZK463 LZZ456:MAE463 MAT456:MAY463 MBN456:MBS463 MCH456:MCM463 MDB456:MDG463 MDV456:MEA463 MEP456:MEU463 MFJ456:MFO463 MGD456:MGI463 MGX456:MHC463 MHR456:MHW463 MIL456:MIQ463 MJF456:MJK463 MJZ456:MKE463 MKT456:MKY463 MLN456:MLS463 MMH456:MMM463 MNB456:MNG463 MNV456:MOA463 MOP456:MOU463 MPJ456:MPO463 MQD456:MQI463 MQX456:MRC463 MRR456:MRW463 MSL456:MSQ463 MTF456:MTK463 MTZ456:MUE463 MUT456:MUY463 MVN456:MVS463 MWH456:MWM463 MXB456:MXG463 MXV456:MYA463 MYP456:MYU463 MZJ456:MZO463 NAD456:NAI463 NAX456:NBC463 NBR456:NBW463 NCL456:NCQ463 NDF456:NDK463 NDZ456:NEE463 NET456:NEY463 NFN456:NFS463 NGH456:NGM463 NHB456:NHG463 NHV456:NIA463 NIP456:NIU463 NJJ456:NJO463 NKD456:NKI463 NKX456:NLC463 NLR456:NLW463 NML456:NMQ463 NNF456:NNK463 NNZ456:NOE463 NOT456:NOY463 NPN456:NPS463 NQH456:NQM463 NRB456:NRG463 NRV456:NSA463 NSP456:NSU463 NTJ456:NTO463 NUD456:NUI463 NUX456:NVC463 NVR456:NVW463 NWL456:NWQ463 NXF456:NXK463 NXZ456:NYE463 NYT456:NYY463 NZN456:NZS463 OAH456:OAM463 OBB456:OBG463 OBV456:OCA463 OCP456:OCU463 ODJ456:ODO463 OED456:OEI463 OEX456:OFC463 OFR456:OFW463 OGL456:OGQ463 OHF456:OHK463 OHZ456:OIE463 OIT456:OIY463 OJN456:OJS463 OKH456:OKM463 OLB456:OLG463 OLV456:OMA463 OMP456:OMU463 ONJ456:ONO463 OOD456:OOI463 OOX456:OPC463 OPR456:OPW463 OQL456:OQQ463 ORF456:ORK463 ORZ456:OSE463 OST456:OSY463 OTN456:OTS463 OUH456:OUM463 OVB456:OVG463 OVV456:OWA463 OWP456:OWU463 OXJ456:OXO463 OYD456:OYI463 OYX456:OZC463 OZR456:OZW463 PAL456:PAQ463 PBF456:PBK463 PBZ456:PCE463 PCT456:PCY463 PDN456:PDS463 PEH456:PEM463 PFB456:PFG463 PFV456:PGA463 PGP456:PGU463 PHJ456:PHO463 PID456:PII463 PIX456:PJC463 PJR456:PJW463 PKL456:PKQ463 PLF456:PLK463 PLZ456:PME463 PMT456:PMY463 PNN456:PNS463 POH456:POM463 PPB456:PPG463 PPV456:PQA463 PQP456:PQU463 PRJ456:PRO463 PSD456:PSI463 PSX456:PTC463 PTR456:PTW463 PUL456:PUQ463 PVF456:PVK463 PVZ456:PWE463 PWT456:PWY463 PXN456:PXS463 PYH456:PYM463 PZB456:PZG463 PZV456:QAA463 QAP456:QAU463 QBJ456:QBO463 QCD456:QCI463 QCX456:QDC463 QDR456:QDW463 QEL456:QEQ463 QFF456:QFK463 QFZ456:QGE463 QGT456:QGY463 QHN456:QHS463 QIH456:QIM463 QJB456:QJG463 QJV456:QKA463 QKP456:QKU463 QLJ456:QLO463 QMD456:QMI463 QMX456:QNC463 QNR456:QNW463 QOL456:QOQ463 QPF456:QPK463 QPZ456:QQE463 QQT456:QQY463 QRN456:QRS463 QSH456:QSM463 QTB456:QTG463 QTV456:QUA463 QUP456:QUU463 QVJ456:QVO463 QWD456:QWI463 QWX456:QXC463 QXR456:QXW463 QYL456:QYQ463 QZF456:QZK463 QZZ456:RAE463 RAT456:RAY463 RBN456:RBS463 RCH456:RCM463 RDB456:RDG463 RDV456:REA463 REP456:REU463 RFJ456:RFO463 RGD456:RGI463 RGX456:RHC463 RHR456:RHW463 RIL456:RIQ463 RJF456:RJK463 RJZ456:RKE463 RKT456:RKY463 RLN456:RLS463 RMH456:RMM463 RNB456:RNG463 RNV456:ROA463 ROP456:ROU463 RPJ456:RPO463 RQD456:RQI463 RQX456:RRC463 RRR456:RRW463 RSL456:RSQ463 RTF456:RTK463 RTZ456:RUE463 RUT456:RUY463 RVN456:RVS463 RWH456:RWM463 RXB456:RXG463 RXV456:RYA463 RYP456:RYU463 RZJ456:RZO463 SAD456:SAI463 SAX456:SBC463 SBR456:SBW463 SCL456:SCQ463 SDF456:SDK463 SDZ456:SEE463 SET456:SEY463 SFN456:SFS463 SGH456:SGM463 SHB456:SHG463 SHV456:SIA463 SIP456:SIU463 SJJ456:SJO463 SKD456:SKI463 SKX456:SLC463 SLR456:SLW463 SML456:SMQ463 SNF456:SNK463 SNZ456:SOE463 SOT456:SOY463 SPN456:SPS463 SQH456:SQM463 SRB456:SRG463 SRV456:SSA463 SSP456:SSU463 STJ456:STO463 SUD456:SUI463 SUX456:SVC463 SVR456:SVW463 SWL456:SWQ463 SXF456:SXK463 SXZ456:SYE463 SYT456:SYY463 SZN456:SZS463 TAH456:TAM463 TBB456:TBG463 TBV456:TCA463 TCP456:TCU463 TDJ456:TDO463 TED456:TEI463 TEX456:TFC463 TFR456:TFW463 TGL456:TGQ463 THF456:THK463 THZ456:TIE463 TIT456:TIY463 TJN456:TJS463 TKH456:TKM463 TLB456:TLG463 TLV456:TMA463 TMP456:TMU463 TNJ456:TNO463 TOD456:TOI463 TOX456:TPC463 TPR456:TPW463 TQL456:TQQ463 TRF456:TRK463 TRZ456:TSE463 TST456:TSY463 TTN456:TTS463 TUH456:TUM463 TVB456:TVG463 TVV456:TWA463 TWP456:TWU463 TXJ456:TXO463 TYD456:TYI463 TYX456:TZC463 TZR456:TZW463 UAL456:UAQ463 UBF456:UBK463 UBZ456:UCE463 UCT456:UCY463 UDN456:UDS463 UEH456:UEM463 UFB456:UFG463 UFV456:UGA463 UGP456:UGU463 UHJ456:UHO463 UID456:UII463 UIX456:UJC463 UJR456:UJW463 UKL456:UKQ463 ULF456:ULK463 ULZ456:UME463 UMT456:UMY463 UNN456:UNS463 UOH456:UOM463 UPB456:UPG463 UPV456:UQA463 UQP456:UQU463 URJ456:URO463 USD456:USI463 USX456:UTC463 UTR456:UTW463 UUL456:UUQ463 UVF456:UVK463 UVZ456:UWE463 UWT456:UWY463 UXN456:UXS463 UYH456:UYM463 UZB456:UZG463 UZV456:VAA463 VAP456:VAU463 VBJ456:VBO463 VCD456:VCI463 VCX456:VDC463 VDR456:VDW463 VEL456:VEQ463 VFF456:VFK463 VFZ456:VGE463 VGT456:VGY463 VHN456:VHS463 VIH456:VIM463 VJB456:VJG463 VJV456:VKA463 VKP456:VKU463 VLJ456:VLO463 VMD456:VMI463 VMX456:VNC463 VNR456:VNW463 VOL456:VOQ463 VPF456:VPK463 VPZ456:VQE463 VQT456:VQY463 VRN456:VRS463 VSH456:VSM463 VTB456:VTG463 VTV456:VUA463 VUP456:VUU463 VVJ456:VVO463 VWD456:VWI463 VWX456:VXC463 VXR456:VXW463 VYL456:VYQ463 VZF456:VZK463 VZZ456:WAE463 WAT456:WAY463 WBN456:WBS463 WCH456:WCM463 WDB456:WDG463 WDV456:WEA463 WEP456:WEU463 WFJ456:WFO463 WGD456:WGI463 WGX456:WHC463 WHR456:WHW463 WIL456:WIQ463 WJF456:WJK463 WJZ456:WKE463 WKT456:WKY463 WLN456:WLS463 WMH456:WMM463 WNB456:WNG463 WNV456:WOA463 WOP456:WOU463 WPJ456:WPO463 WQD456:WQI463 WQX456:WRC463 WRR456:WRW463 WSL456:WSQ463 WTF456:WTK463 WTZ456:WUE463 WUT456:WUY463 WVN456:WVS463 WWH456:WWM463 WXB456:WXG463 WXV456:WYA463 WYP456:WYU463 WZJ456:WZO463 XAD456:XAI463 XAX456:XBC463 XBR456:XBW463 XCL456:XCQ463 XDF456:XDK463 XDZ456:XEE463 XET456:XEY463">
    <cfRule type="expression" dxfId="0" priority="71">
      <formula>$B456=""</formula>
    </cfRule>
  </conditionalFormatting>
  <pageMargins left="0.51181102362204722" right="0.51181102362204722" top="0.78740157480314965" bottom="0.78740157480314965" header="0.31496062992125984" footer="0.31496062992125984"/>
  <pageSetup paperSize="9" scale="30" fitToHeight="8" orientation="landscape" horizontalDpi="30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Rabello</dc:creator>
  <cp:lastModifiedBy>Rodrigo Rabello</cp:lastModifiedBy>
  <dcterms:created xsi:type="dcterms:W3CDTF">2025-12-29T07:36:39Z</dcterms:created>
  <dcterms:modified xsi:type="dcterms:W3CDTF">2025-12-29T07:37:46Z</dcterms:modified>
</cp:coreProperties>
</file>